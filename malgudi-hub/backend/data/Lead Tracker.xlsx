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d.docs.live.net/d16196e134b82b54/MALGUDI ASSOCIATES/MARKETING AND SALES/malgudi-hub/backend/data/"/>
    </mc:Choice>
  </mc:AlternateContent>
  <xr:revisionPtr revIDLastSave="5321" documentId="8_{5E7B464E-7D6D-4FFB-8C0F-DF2FBDBED77B}" xr6:coauthVersionLast="47" xr6:coauthVersionMax="47" xr10:uidLastSave="{611AF1BB-DECD-41A4-BA29-9F9530DB891B}"/>
  <bookViews>
    <workbookView xWindow="-120" yWindow="-120" windowWidth="29040" windowHeight="15720" xr2:uid="{00000000-000D-0000-FFFF-FFFF00000000}"/>
  </bookViews>
  <sheets>
    <sheet name="2026-2027" sheetId="1" r:id="rId1"/>
    <sheet name="2025-2026" sheetId="2" r:id="rId2"/>
    <sheet name="Dashboard" sheetId="3" r:id="rId3"/>
    <sheet name="DASHBOARD (2)" sheetId="5" r:id="rId4"/>
    <sheet name="DATA SHEET" sheetId="4" r:id="rId5"/>
    <sheet name="SUMMARY" sheetId="6" r:id="rId6"/>
  </sheets>
  <definedNames>
    <definedName name="_xlnm._FilterDatabase" localSheetId="1" hidden="1">'2025-2026'!$A$1:$S$779</definedName>
    <definedName name="_xlnm._FilterDatabase" localSheetId="0" hidden="1">'2026-2027'!$A$1:$S$511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33" i="1" l="1"/>
  <c r="A832" i="1"/>
  <c r="A822" i="1"/>
  <c r="A823" i="1"/>
  <c r="A824" i="1"/>
  <c r="A807" i="1"/>
  <c r="A808" i="1"/>
  <c r="A809" i="1"/>
  <c r="A810" i="1"/>
  <c r="A811" i="1"/>
  <c r="A812" i="1"/>
  <c r="A813" i="1"/>
  <c r="A804" i="1"/>
  <c r="A831" i="1"/>
  <c r="A830" i="1"/>
  <c r="A829" i="1"/>
  <c r="A821" i="1"/>
  <c r="A820" i="1"/>
  <c r="A819" i="1"/>
  <c r="A818" i="1"/>
  <c r="A817" i="1"/>
  <c r="A816" i="1"/>
  <c r="A815" i="1"/>
  <c r="A806" i="1"/>
  <c r="A805" i="1"/>
  <c r="A803" i="1"/>
  <c r="A802" i="1"/>
  <c r="A801" i="1"/>
  <c r="A828" i="1"/>
  <c r="A786" i="1"/>
  <c r="A785" i="1"/>
  <c r="A784" i="1"/>
  <c r="A767" i="1"/>
  <c r="A766" i="1"/>
  <c r="A827" i="1"/>
  <c r="A826" i="1"/>
  <c r="A825" i="1"/>
  <c r="A579" i="1"/>
  <c r="A800" i="1"/>
  <c r="A814" i="1"/>
  <c r="A799" i="1"/>
  <c r="A798" i="1"/>
  <c r="A783" i="1"/>
  <c r="A782" i="1"/>
  <c r="A762" i="1"/>
  <c r="A662" i="1"/>
  <c r="A749" i="1"/>
  <c r="A748" i="1"/>
  <c r="A702" i="1"/>
  <c r="A529" i="1"/>
  <c r="A726" i="1"/>
  <c r="A703" i="1"/>
  <c r="P269" i="1" l="1"/>
  <c r="P557" i="1"/>
  <c r="P792" i="1"/>
  <c r="A3" i="1"/>
  <c r="A4" i="1"/>
  <c r="A11" i="1"/>
  <c r="A5" i="1"/>
  <c r="A15" i="1"/>
  <c r="A6" i="1"/>
  <c r="A8" i="1"/>
  <c r="A7" i="1"/>
  <c r="A12" i="1"/>
  <c r="A13" i="1"/>
  <c r="A14" i="1"/>
  <c r="A10" i="1"/>
  <c r="A16" i="1"/>
  <c r="A9" i="1"/>
  <c r="A17" i="1"/>
  <c r="A19" i="1"/>
  <c r="A18" i="1"/>
  <c r="A20" i="1"/>
  <c r="A23" i="1"/>
  <c r="A27" i="1"/>
  <c r="A24" i="1"/>
  <c r="A22" i="1"/>
  <c r="A25" i="1"/>
  <c r="A28" i="1"/>
  <c r="A21" i="1"/>
  <c r="A30" i="1"/>
  <c r="A29" i="1"/>
  <c r="A26" i="1"/>
  <c r="A35" i="1"/>
  <c r="A34" i="1"/>
  <c r="A33" i="1"/>
  <c r="A38" i="1"/>
  <c r="A39" i="1"/>
  <c r="A31" i="1"/>
  <c r="A32" i="1"/>
  <c r="A37" i="1"/>
  <c r="A36" i="1"/>
  <c r="A40" i="1"/>
  <c r="A44" i="1"/>
  <c r="A41" i="1"/>
  <c r="A43" i="1"/>
  <c r="A45" i="1"/>
  <c r="A46" i="1"/>
  <c r="A42" i="1"/>
  <c r="A53" i="1"/>
  <c r="A55" i="1"/>
  <c r="A52" i="1"/>
  <c r="A51" i="1"/>
  <c r="A58" i="1"/>
  <c r="A54" i="1"/>
  <c r="A48" i="1"/>
  <c r="A60" i="1"/>
  <c r="A61" i="1"/>
  <c r="A49" i="1"/>
  <c r="A59" i="1"/>
  <c r="A47" i="1"/>
  <c r="A56" i="1"/>
  <c r="A50" i="1"/>
  <c r="A57" i="1"/>
  <c r="A64" i="1"/>
  <c r="A70" i="1"/>
  <c r="A65" i="1"/>
  <c r="A67" i="1"/>
  <c r="A63" i="1"/>
  <c r="A66" i="1"/>
  <c r="A69" i="1"/>
  <c r="A68" i="1"/>
  <c r="A62" i="1"/>
  <c r="A75" i="1"/>
  <c r="A72" i="1"/>
  <c r="A71" i="1"/>
  <c r="A73" i="1"/>
  <c r="A76" i="1"/>
  <c r="A74" i="1"/>
  <c r="A82" i="1"/>
  <c r="A83" i="1"/>
  <c r="A80" i="1"/>
  <c r="A79" i="1"/>
  <c r="A81" i="1"/>
  <c r="A78" i="1"/>
  <c r="A77" i="1"/>
  <c r="A84" i="1"/>
  <c r="A85" i="1"/>
  <c r="A87" i="1"/>
  <c r="A86" i="1"/>
  <c r="A95" i="1"/>
  <c r="A92" i="1"/>
  <c r="A89" i="1"/>
  <c r="A99" i="1"/>
  <c r="A97" i="1"/>
  <c r="A93" i="1"/>
  <c r="A98" i="1"/>
  <c r="A94" i="1"/>
  <c r="A96" i="1"/>
  <c r="A90" i="1"/>
  <c r="A91" i="1"/>
  <c r="A88" i="1"/>
  <c r="A102" i="1"/>
  <c r="A112" i="1"/>
  <c r="A103" i="1"/>
  <c r="A113" i="1"/>
  <c r="A110" i="1"/>
  <c r="A109" i="1"/>
  <c r="A108" i="1"/>
  <c r="A106" i="1"/>
  <c r="A111" i="1"/>
  <c r="A107" i="1"/>
  <c r="A105" i="1"/>
  <c r="A101" i="1"/>
  <c r="A104" i="1"/>
  <c r="A100" i="1"/>
  <c r="A124" i="1"/>
  <c r="A121" i="1"/>
  <c r="A122" i="1"/>
  <c r="A125" i="1"/>
  <c r="A118" i="1"/>
  <c r="A126" i="1"/>
  <c r="A117" i="1"/>
  <c r="A120" i="1"/>
  <c r="A114" i="1"/>
  <c r="A123" i="1"/>
  <c r="A119" i="1"/>
  <c r="A115" i="1"/>
  <c r="A116" i="1"/>
  <c r="A127" i="1"/>
  <c r="A131" i="1"/>
  <c r="A135" i="1"/>
  <c r="A134" i="1"/>
  <c r="A129" i="1"/>
  <c r="A130" i="1"/>
  <c r="A132" i="1"/>
  <c r="A128" i="1"/>
  <c r="A133" i="1"/>
  <c r="A148" i="1"/>
  <c r="A139" i="1"/>
  <c r="A142" i="1"/>
  <c r="A143" i="1"/>
  <c r="A136" i="1"/>
  <c r="A141" i="1"/>
  <c r="A151" i="1"/>
  <c r="A144" i="1"/>
  <c r="A146" i="1"/>
  <c r="A137" i="1"/>
  <c r="A140" i="1"/>
  <c r="A138" i="1"/>
  <c r="A147" i="1"/>
  <c r="A149" i="1"/>
  <c r="A145" i="1"/>
  <c r="A150" i="1"/>
  <c r="A155" i="1"/>
  <c r="A153" i="1"/>
  <c r="A156" i="1"/>
  <c r="A154" i="1"/>
  <c r="A152" i="1"/>
  <c r="A157" i="1"/>
  <c r="A158" i="1"/>
  <c r="A175" i="1"/>
  <c r="A164" i="1"/>
  <c r="A171" i="1"/>
  <c r="A168" i="1"/>
  <c r="A170" i="1"/>
  <c r="A161" i="1"/>
  <c r="A177" i="1"/>
  <c r="A160" i="1"/>
  <c r="A169" i="1"/>
  <c r="A174" i="1"/>
  <c r="A176" i="1"/>
  <c r="A167" i="1"/>
  <c r="A178" i="1"/>
  <c r="A163" i="1"/>
  <c r="A165" i="1"/>
  <c r="A166" i="1"/>
  <c r="A172" i="1"/>
  <c r="A173" i="1"/>
  <c r="A159" i="1"/>
  <c r="A162" i="1"/>
  <c r="A180" i="1"/>
  <c r="A179" i="1"/>
  <c r="A186" i="1"/>
  <c r="A187" i="1"/>
  <c r="A188" i="1"/>
  <c r="A190" i="1"/>
  <c r="A183" i="1"/>
  <c r="A184" i="1"/>
  <c r="A182" i="1"/>
  <c r="A185" i="1"/>
  <c r="A181" i="1"/>
  <c r="A189" i="1"/>
  <c r="A205" i="1"/>
  <c r="A195" i="1"/>
  <c r="A211" i="1"/>
  <c r="A192" i="1"/>
  <c r="A194" i="1"/>
  <c r="A209" i="1"/>
  <c r="A200" i="1"/>
  <c r="A191" i="1"/>
  <c r="A207" i="1"/>
  <c r="A202" i="1"/>
  <c r="A206" i="1"/>
  <c r="A201" i="1"/>
  <c r="A197" i="1"/>
  <c r="A203" i="1"/>
  <c r="A210" i="1"/>
  <c r="A198" i="1"/>
  <c r="A204" i="1"/>
  <c r="A199" i="1"/>
  <c r="A193" i="1"/>
  <c r="A208" i="1"/>
  <c r="A196" i="1"/>
  <c r="A212" i="1"/>
  <c r="A213" i="1"/>
  <c r="A223" i="1"/>
  <c r="A219" i="1"/>
  <c r="A221" i="1"/>
  <c r="A214" i="1"/>
  <c r="A215" i="1"/>
  <c r="A222" i="1"/>
  <c r="A220" i="1"/>
  <c r="A217" i="1"/>
  <c r="A218" i="1"/>
  <c r="A224" i="1"/>
  <c r="A216" i="1"/>
  <c r="A226" i="1"/>
  <c r="A237" i="1"/>
  <c r="A238" i="1"/>
  <c r="A236" i="1"/>
  <c r="A233" i="1"/>
  <c r="A234" i="1"/>
  <c r="A228" i="1"/>
  <c r="A229" i="1"/>
  <c r="A235" i="1"/>
  <c r="A232" i="1"/>
  <c r="A225" i="1"/>
  <c r="A227" i="1"/>
  <c r="A231" i="1"/>
  <c r="A230" i="1"/>
  <c r="A243" i="1"/>
  <c r="A244" i="1"/>
  <c r="A239" i="1"/>
  <c r="A242" i="1"/>
  <c r="A240" i="1"/>
  <c r="A241" i="1"/>
  <c r="A250" i="1"/>
  <c r="A247" i="1"/>
  <c r="A248" i="1"/>
  <c r="A249" i="1"/>
  <c r="A245" i="1"/>
  <c r="A246" i="1"/>
  <c r="A255" i="1"/>
  <c r="A254" i="1"/>
  <c r="A253" i="1"/>
  <c r="A252" i="1"/>
  <c r="A251" i="1"/>
  <c r="A260" i="1"/>
  <c r="A271" i="1"/>
  <c r="A266" i="1"/>
  <c r="A267" i="1"/>
  <c r="A263" i="1"/>
  <c r="A270" i="1"/>
  <c r="A264" i="1"/>
  <c r="A268" i="1"/>
  <c r="A257" i="1"/>
  <c r="A262" i="1"/>
  <c r="A265" i="1"/>
  <c r="A258" i="1"/>
  <c r="A256" i="1"/>
  <c r="A259" i="1"/>
  <c r="A269" i="1"/>
  <c r="A261" i="1"/>
  <c r="A272" i="1"/>
  <c r="A274" i="1"/>
  <c r="A273" i="1"/>
  <c r="A279" i="1"/>
  <c r="A278" i="1"/>
  <c r="A275" i="1"/>
  <c r="A276" i="1"/>
  <c r="A280" i="1"/>
  <c r="A277" i="1"/>
  <c r="A281" i="1"/>
  <c r="A285" i="1"/>
  <c r="A284" i="1"/>
  <c r="A288" i="1"/>
  <c r="A289" i="1"/>
  <c r="A292" i="1"/>
  <c r="A290" i="1"/>
  <c r="A294" i="1"/>
  <c r="A283" i="1"/>
  <c r="A293" i="1"/>
  <c r="A291" i="1"/>
  <c r="A286" i="1"/>
  <c r="A282" i="1"/>
  <c r="A287" i="1"/>
  <c r="A297" i="1"/>
  <c r="A298" i="1"/>
  <c r="A295" i="1"/>
  <c r="A296" i="1"/>
  <c r="A301" i="1"/>
  <c r="A300" i="1"/>
  <c r="A304" i="1"/>
  <c r="A303" i="1"/>
  <c r="A302" i="1"/>
  <c r="A299" i="1"/>
  <c r="A306" i="1"/>
  <c r="A305" i="1"/>
  <c r="A308" i="1"/>
  <c r="A309" i="1"/>
  <c r="A310" i="1"/>
  <c r="A312" i="1"/>
  <c r="A313" i="1"/>
  <c r="A311" i="1"/>
  <c r="A314" i="1"/>
  <c r="A307" i="1"/>
  <c r="A316" i="1"/>
  <c r="A317" i="1"/>
  <c r="A315" i="1"/>
  <c r="A323" i="1"/>
  <c r="A320" i="1"/>
  <c r="A318" i="1"/>
  <c r="A319" i="1"/>
  <c r="A322" i="1"/>
  <c r="A321" i="1"/>
  <c r="A324" i="1"/>
  <c r="A326" i="1"/>
  <c r="A325" i="1"/>
  <c r="A327" i="1"/>
  <c r="A340" i="1"/>
  <c r="A339" i="1"/>
  <c r="A342" i="1"/>
  <c r="A329" i="1"/>
  <c r="A344" i="1"/>
  <c r="A337" i="1"/>
  <c r="A335" i="1"/>
  <c r="A336" i="1"/>
  <c r="A332" i="1"/>
  <c r="A333" i="1"/>
  <c r="A343" i="1"/>
  <c r="A330" i="1"/>
  <c r="A338" i="1"/>
  <c r="A341" i="1"/>
  <c r="A328" i="1"/>
  <c r="A334" i="1"/>
  <c r="A331" i="1"/>
  <c r="A345" i="1"/>
  <c r="A353" i="1"/>
  <c r="A349" i="1"/>
  <c r="A351" i="1"/>
  <c r="A346" i="1"/>
  <c r="A350" i="1"/>
  <c r="A352" i="1"/>
  <c r="A348" i="1"/>
  <c r="A347" i="1"/>
  <c r="A354" i="1"/>
  <c r="A355" i="1"/>
  <c r="A356" i="1"/>
  <c r="A365" i="1"/>
  <c r="A362" i="1"/>
  <c r="A364" i="1"/>
  <c r="A366" i="1"/>
  <c r="A363" i="1"/>
  <c r="A367" i="1"/>
  <c r="A357" i="1"/>
  <c r="A361" i="1"/>
  <c r="A358" i="1"/>
  <c r="A359" i="1"/>
  <c r="A360" i="1"/>
  <c r="A375" i="1"/>
  <c r="A372" i="1"/>
  <c r="A371" i="1"/>
  <c r="A370" i="1"/>
  <c r="A373" i="1"/>
  <c r="A377" i="1"/>
  <c r="A374" i="1"/>
  <c r="A379" i="1"/>
  <c r="A368" i="1"/>
  <c r="A376" i="1"/>
  <c r="A378" i="1"/>
  <c r="A369" i="1"/>
  <c r="A381" i="1"/>
  <c r="A382" i="1"/>
  <c r="A385" i="1"/>
  <c r="A380" i="1"/>
  <c r="A383" i="1"/>
  <c r="A384" i="1"/>
  <c r="A386" i="1"/>
  <c r="A388" i="1"/>
  <c r="A390" i="1"/>
  <c r="A387" i="1"/>
  <c r="A389" i="1"/>
  <c r="A392" i="1"/>
  <c r="A405" i="1"/>
  <c r="A402" i="1"/>
  <c r="A394" i="1"/>
  <c r="A400" i="1"/>
  <c r="A393" i="1"/>
  <c r="A396" i="1"/>
  <c r="A391" i="1"/>
  <c r="A395" i="1"/>
  <c r="A399" i="1"/>
  <c r="A404" i="1"/>
  <c r="A403" i="1"/>
  <c r="A398" i="1"/>
  <c r="A401" i="1"/>
  <c r="A397" i="1"/>
  <c r="A407" i="1"/>
  <c r="A409" i="1"/>
  <c r="A408" i="1"/>
  <c r="A406" i="1"/>
  <c r="A411" i="1"/>
  <c r="A410" i="1"/>
  <c r="A412" i="1"/>
  <c r="A413" i="1"/>
  <c r="A414" i="1"/>
  <c r="A424" i="1"/>
  <c r="A417" i="1"/>
  <c r="A415" i="1"/>
  <c r="A422" i="1"/>
  <c r="A423" i="1"/>
  <c r="A419" i="1"/>
  <c r="A420" i="1"/>
  <c r="A421" i="1"/>
  <c r="A418" i="1"/>
  <c r="A425" i="1"/>
  <c r="A416" i="1"/>
  <c r="A430" i="1"/>
  <c r="A429" i="1"/>
  <c r="A433" i="1"/>
  <c r="A431" i="1"/>
  <c r="A426" i="1"/>
  <c r="A428" i="1"/>
  <c r="A432" i="1"/>
  <c r="A427" i="1"/>
  <c r="A446" i="1"/>
  <c r="A452" i="1"/>
  <c r="A451" i="1"/>
  <c r="A440" i="1"/>
  <c r="A442" i="1"/>
  <c r="A448" i="1"/>
  <c r="A443" i="1"/>
  <c r="A444" i="1"/>
  <c r="A445" i="1"/>
  <c r="A436" i="1"/>
  <c r="A441" i="1"/>
  <c r="A439" i="1"/>
  <c r="A447" i="1"/>
  <c r="A438" i="1"/>
  <c r="A437" i="1"/>
  <c r="A449" i="1"/>
  <c r="A450" i="1"/>
  <c r="A434" i="1"/>
  <c r="A435" i="1"/>
  <c r="A453" i="1"/>
  <c r="A454" i="1"/>
  <c r="A455" i="1"/>
  <c r="A461" i="1"/>
  <c r="A457" i="1"/>
  <c r="A456" i="1"/>
  <c r="A466" i="1"/>
  <c r="A464" i="1"/>
  <c r="A465" i="1"/>
  <c r="A463" i="1"/>
  <c r="A468" i="1"/>
  <c r="A458" i="1"/>
  <c r="A462" i="1"/>
  <c r="A470" i="1"/>
  <c r="A460" i="1"/>
  <c r="A459" i="1"/>
  <c r="A467" i="1"/>
  <c r="A469" i="1"/>
  <c r="A477" i="1"/>
  <c r="A482" i="1"/>
  <c r="A481" i="1"/>
  <c r="A483" i="1"/>
  <c r="A472" i="1"/>
  <c r="A478" i="1"/>
  <c r="A480" i="1"/>
  <c r="A484" i="1"/>
  <c r="A473" i="1"/>
  <c r="A474" i="1"/>
  <c r="A475" i="1"/>
  <c r="A476" i="1"/>
  <c r="A471" i="1"/>
  <c r="A479" i="1"/>
  <c r="A486" i="1"/>
  <c r="A485" i="1"/>
  <c r="A491" i="1"/>
  <c r="A489" i="1"/>
  <c r="A490" i="1"/>
  <c r="A487" i="1"/>
  <c r="A488" i="1"/>
  <c r="A496" i="1"/>
  <c r="A495" i="1"/>
  <c r="A493" i="1"/>
  <c r="A497" i="1"/>
  <c r="A492" i="1"/>
  <c r="A494" i="1"/>
  <c r="A498" i="1"/>
  <c r="A502" i="1"/>
  <c r="A500" i="1"/>
  <c r="A501" i="1"/>
  <c r="A507" i="1"/>
  <c r="A506" i="1"/>
  <c r="A504" i="1"/>
  <c r="A505" i="1"/>
  <c r="A499" i="1"/>
  <c r="A503" i="1"/>
  <c r="A514" i="1"/>
  <c r="A510" i="1"/>
  <c r="A516" i="1"/>
  <c r="A513" i="1"/>
  <c r="A511" i="1"/>
  <c r="A512" i="1"/>
  <c r="A517" i="1"/>
  <c r="A508" i="1"/>
  <c r="A515" i="1"/>
  <c r="A509" i="1"/>
  <c r="A522" i="1"/>
  <c r="A523" i="1"/>
  <c r="A520" i="1"/>
  <c r="A519" i="1"/>
  <c r="A518" i="1"/>
  <c r="A521" i="1"/>
  <c r="A534" i="1"/>
  <c r="A533" i="1"/>
  <c r="A539" i="1"/>
  <c r="A527" i="1"/>
  <c r="A530" i="1"/>
  <c r="A525" i="1"/>
  <c r="A537" i="1"/>
  <c r="A524" i="1"/>
  <c r="A532" i="1"/>
  <c r="A538" i="1"/>
  <c r="A535" i="1"/>
  <c r="A531" i="1"/>
  <c r="A540" i="1"/>
  <c r="A536" i="1"/>
  <c r="A528" i="1"/>
  <c r="A526" i="1"/>
  <c r="A542" i="1"/>
  <c r="A545" i="1"/>
  <c r="A544" i="1"/>
  <c r="A541" i="1"/>
  <c r="A543" i="1"/>
  <c r="A548" i="1"/>
  <c r="A547" i="1"/>
  <c r="A546" i="1"/>
  <c r="A549" i="1"/>
  <c r="A550" i="1"/>
  <c r="A553" i="1"/>
  <c r="A556" i="1"/>
  <c r="A555" i="1"/>
  <c r="A552" i="1"/>
  <c r="A554" i="1"/>
  <c r="A551" i="1"/>
  <c r="A558" i="1"/>
  <c r="A557" i="1"/>
  <c r="A562" i="1"/>
  <c r="A572" i="1"/>
  <c r="A574" i="1"/>
  <c r="A571" i="1"/>
  <c r="A567" i="1"/>
  <c r="A570" i="1"/>
  <c r="A559" i="1"/>
  <c r="A568" i="1"/>
  <c r="A575" i="1"/>
  <c r="A566" i="1"/>
  <c r="A569" i="1"/>
  <c r="A565" i="1"/>
  <c r="A560" i="1"/>
  <c r="A561" i="1"/>
  <c r="A564" i="1"/>
  <c r="A573" i="1"/>
  <c r="A563" i="1"/>
  <c r="A578" i="1"/>
  <c r="A577" i="1"/>
  <c r="A580" i="1"/>
  <c r="A581" i="1"/>
  <c r="A576" i="1"/>
  <c r="A585" i="1"/>
  <c r="A582" i="1"/>
  <c r="A584" i="1"/>
  <c r="A583" i="1"/>
  <c r="A590" i="1"/>
  <c r="A596" i="1"/>
  <c r="A594" i="1"/>
  <c r="A593" i="1"/>
  <c r="A592" i="1"/>
  <c r="A595" i="1"/>
  <c r="A586" i="1"/>
  <c r="A591" i="1"/>
  <c r="A587" i="1"/>
  <c r="A588" i="1"/>
  <c r="A589" i="1"/>
  <c r="A600" i="1"/>
  <c r="A608" i="1"/>
  <c r="A603" i="1"/>
  <c r="A601" i="1"/>
  <c r="A606" i="1"/>
  <c r="A605" i="1"/>
  <c r="A604" i="1"/>
  <c r="A602" i="1"/>
  <c r="A609" i="1"/>
  <c r="A597" i="1"/>
  <c r="A599" i="1"/>
  <c r="A607" i="1"/>
  <c r="A598" i="1"/>
  <c r="A616" i="1"/>
  <c r="A610" i="1"/>
  <c r="A618" i="1"/>
  <c r="A613" i="1"/>
  <c r="A617" i="1"/>
  <c r="A614" i="1"/>
  <c r="A619" i="1"/>
  <c r="A620" i="1"/>
  <c r="A611" i="1"/>
  <c r="A615" i="1"/>
  <c r="A612" i="1"/>
  <c r="A629" i="1"/>
  <c r="A630" i="1"/>
  <c r="A628" i="1"/>
  <c r="A621" i="1"/>
  <c r="A622" i="1"/>
  <c r="A626" i="1"/>
  <c r="A624" i="1"/>
  <c r="A627" i="1"/>
  <c r="A632" i="1"/>
  <c r="A631" i="1"/>
  <c r="A623" i="1"/>
  <c r="A625" i="1"/>
  <c r="A646" i="1"/>
  <c r="A647" i="1"/>
  <c r="A637" i="1"/>
  <c r="A640" i="1"/>
  <c r="A650" i="1"/>
  <c r="A634" i="1"/>
  <c r="A636" i="1"/>
  <c r="A652" i="1"/>
  <c r="A642" i="1"/>
  <c r="A649" i="1"/>
  <c r="A653" i="1"/>
  <c r="A644" i="1"/>
  <c r="A633" i="1"/>
  <c r="A641" i="1"/>
  <c r="A638" i="1"/>
  <c r="A643" i="1"/>
  <c r="A645" i="1"/>
  <c r="A648" i="1"/>
  <c r="A635" i="1"/>
  <c r="A651" i="1"/>
  <c r="A639" i="1"/>
  <c r="A654" i="1"/>
  <c r="A666" i="1"/>
  <c r="A664" i="1"/>
  <c r="A669" i="1"/>
  <c r="A661" i="1"/>
  <c r="A668" i="1"/>
  <c r="A667" i="1"/>
  <c r="A656" i="1"/>
  <c r="A658" i="1"/>
  <c r="A655" i="1"/>
  <c r="A657" i="1"/>
  <c r="A659" i="1"/>
  <c r="A665" i="1"/>
  <c r="A660" i="1"/>
  <c r="A674" i="1"/>
  <c r="A679" i="1"/>
  <c r="A676" i="1"/>
  <c r="A671" i="1"/>
  <c r="A672" i="1"/>
  <c r="A677" i="1"/>
  <c r="A680" i="1"/>
  <c r="A670" i="1"/>
  <c r="A678" i="1"/>
  <c r="A675" i="1"/>
  <c r="A673" i="1"/>
  <c r="A686" i="1"/>
  <c r="A681" i="1"/>
  <c r="A687" i="1"/>
  <c r="A682" i="1"/>
  <c r="A685" i="1"/>
  <c r="A690" i="1"/>
  <c r="A689" i="1"/>
  <c r="A688" i="1"/>
  <c r="A683" i="1"/>
  <c r="A684" i="1"/>
  <c r="A694" i="1"/>
  <c r="A695" i="1"/>
  <c r="A697" i="1"/>
  <c r="A692" i="1"/>
  <c r="A699" i="1"/>
  <c r="A698" i="1"/>
  <c r="A696" i="1"/>
  <c r="A691" i="1"/>
  <c r="A701" i="1"/>
  <c r="A693" i="1"/>
  <c r="A700" i="1"/>
  <c r="A710" i="1"/>
  <c r="A704" i="1"/>
  <c r="A709" i="1"/>
  <c r="A706" i="1"/>
  <c r="A707" i="1"/>
  <c r="A708" i="1"/>
  <c r="A705" i="1"/>
  <c r="A711" i="1"/>
  <c r="A712" i="1"/>
  <c r="A724" i="1"/>
  <c r="A719" i="1"/>
  <c r="A718" i="1"/>
  <c r="A725" i="1"/>
  <c r="A722" i="1"/>
  <c r="A714" i="1"/>
  <c r="A723" i="1"/>
  <c r="A716" i="1"/>
  <c r="A721" i="1"/>
  <c r="A720" i="1"/>
  <c r="A713" i="1"/>
  <c r="A743" i="1"/>
  <c r="A728" i="1"/>
  <c r="A732" i="1"/>
  <c r="A740" i="1"/>
  <c r="A731" i="1"/>
  <c r="A745" i="1"/>
  <c r="A741" i="1"/>
  <c r="A747" i="1"/>
  <c r="A730" i="1"/>
  <c r="A744" i="1"/>
  <c r="A738" i="1"/>
  <c r="A734" i="1"/>
  <c r="A733" i="1"/>
  <c r="A742" i="1"/>
  <c r="A736" i="1"/>
  <c r="A737" i="1"/>
  <c r="A735" i="1"/>
  <c r="A746" i="1"/>
  <c r="A727" i="1"/>
  <c r="A739" i="1"/>
  <c r="A750" i="1"/>
  <c r="A760" i="1"/>
  <c r="A755" i="1"/>
  <c r="A751" i="1"/>
  <c r="A752" i="1"/>
  <c r="A759" i="1"/>
  <c r="A756" i="1"/>
  <c r="A757" i="1"/>
  <c r="A753" i="1"/>
  <c r="A764" i="1"/>
  <c r="A765" i="1"/>
  <c r="A771" i="1"/>
  <c r="A775" i="1"/>
  <c r="A778" i="1"/>
  <c r="A776" i="1"/>
  <c r="A772" i="1"/>
  <c r="A780" i="1"/>
  <c r="A777" i="1"/>
  <c r="A779" i="1"/>
  <c r="A773" i="1"/>
  <c r="A770" i="1"/>
  <c r="A774" i="1"/>
  <c r="A795" i="1"/>
  <c r="A781" i="1"/>
  <c r="A768" i="1"/>
  <c r="A763" i="1"/>
  <c r="A663" i="1"/>
  <c r="A792" i="1"/>
  <c r="A729" i="1"/>
  <c r="A717" i="1"/>
  <c r="A796" i="1"/>
  <c r="A790" i="1"/>
  <c r="A787" i="1"/>
  <c r="A791" i="1"/>
  <c r="A793" i="1"/>
  <c r="A789" i="1"/>
  <c r="A794" i="1"/>
  <c r="A788" i="1"/>
  <c r="A758" i="1"/>
  <c r="A761" i="1"/>
  <c r="A715" i="1"/>
  <c r="A754" i="1"/>
  <c r="A769" i="1"/>
  <c r="A797" i="1"/>
  <c r="S13" i="6" l="1"/>
  <c r="A778" i="2" l="1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P90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2" i="1" l="1"/>
  <c r="H8" i="4"/>
  <c r="Q52" i="6"/>
  <c r="P52" i="6"/>
  <c r="O52" i="6"/>
  <c r="M52" i="6"/>
  <c r="L52" i="6"/>
  <c r="K52" i="6"/>
  <c r="J52" i="6"/>
  <c r="I52" i="6"/>
  <c r="H52" i="6"/>
  <c r="G52" i="6"/>
  <c r="F52" i="6"/>
  <c r="E52" i="6"/>
  <c r="Q51" i="6"/>
  <c r="P51" i="6"/>
  <c r="O51" i="6"/>
  <c r="M51" i="6"/>
  <c r="L51" i="6"/>
  <c r="K51" i="6"/>
  <c r="J51" i="6"/>
  <c r="I51" i="6"/>
  <c r="H51" i="6"/>
  <c r="G51" i="6"/>
  <c r="F51" i="6"/>
  <c r="E51" i="6"/>
  <c r="Q50" i="6"/>
  <c r="P50" i="6"/>
  <c r="O50" i="6"/>
  <c r="M50" i="6"/>
  <c r="L50" i="6"/>
  <c r="K50" i="6"/>
  <c r="J50" i="6"/>
  <c r="I50" i="6"/>
  <c r="H50" i="6"/>
  <c r="G50" i="6"/>
  <c r="F50" i="6"/>
  <c r="E50" i="6"/>
  <c r="Q49" i="6"/>
  <c r="P49" i="6"/>
  <c r="O49" i="6"/>
  <c r="M49" i="6"/>
  <c r="L49" i="6"/>
  <c r="K49" i="6"/>
  <c r="J49" i="6"/>
  <c r="I49" i="6"/>
  <c r="H49" i="6"/>
  <c r="G49" i="6"/>
  <c r="F49" i="6"/>
  <c r="E49" i="6"/>
  <c r="Q48" i="6"/>
  <c r="P48" i="6"/>
  <c r="O48" i="6"/>
  <c r="M48" i="6"/>
  <c r="L48" i="6"/>
  <c r="K48" i="6"/>
  <c r="J48" i="6"/>
  <c r="I48" i="6"/>
  <c r="H48" i="6"/>
  <c r="G48" i="6"/>
  <c r="F48" i="6"/>
  <c r="E48" i="6"/>
  <c r="Q47" i="6"/>
  <c r="P47" i="6"/>
  <c r="O47" i="6"/>
  <c r="M47" i="6"/>
  <c r="L47" i="6"/>
  <c r="K47" i="6"/>
  <c r="J47" i="6"/>
  <c r="I47" i="6"/>
  <c r="H47" i="6"/>
  <c r="G47" i="6"/>
  <c r="F47" i="6"/>
  <c r="E47" i="6"/>
  <c r="Q46" i="6"/>
  <c r="P46" i="6"/>
  <c r="O46" i="6"/>
  <c r="N46" i="6"/>
  <c r="N47" i="6" s="1"/>
  <c r="N48" i="6" s="1"/>
  <c r="N49" i="6" s="1"/>
  <c r="N50" i="6" s="1"/>
  <c r="N51" i="6" s="1"/>
  <c r="N52" i="6" s="1"/>
  <c r="M46" i="6"/>
  <c r="L46" i="6"/>
  <c r="K46" i="6"/>
  <c r="J46" i="6"/>
  <c r="I46" i="6"/>
  <c r="H46" i="6"/>
  <c r="G46" i="6"/>
  <c r="F46" i="6"/>
  <c r="E46" i="6"/>
  <c r="Q43" i="6"/>
  <c r="P43" i="6"/>
  <c r="O43" i="6"/>
  <c r="M43" i="6"/>
  <c r="L43" i="6"/>
  <c r="K43" i="6"/>
  <c r="J43" i="6"/>
  <c r="I43" i="6"/>
  <c r="H43" i="6"/>
  <c r="G43" i="6"/>
  <c r="F43" i="6"/>
  <c r="E43" i="6"/>
  <c r="Q42" i="6"/>
  <c r="P42" i="6"/>
  <c r="O42" i="6"/>
  <c r="M42" i="6"/>
  <c r="L42" i="6"/>
  <c r="K42" i="6"/>
  <c r="J42" i="6"/>
  <c r="I42" i="6"/>
  <c r="H42" i="6"/>
  <c r="G42" i="6"/>
  <c r="F42" i="6"/>
  <c r="E42" i="6"/>
  <c r="Q41" i="6"/>
  <c r="P41" i="6"/>
  <c r="O41" i="6"/>
  <c r="M41" i="6"/>
  <c r="L41" i="6"/>
  <c r="K41" i="6"/>
  <c r="J41" i="6"/>
  <c r="I41" i="6"/>
  <c r="H41" i="6"/>
  <c r="G41" i="6"/>
  <c r="F41" i="6"/>
  <c r="E41" i="6"/>
  <c r="Q40" i="6"/>
  <c r="P40" i="6"/>
  <c r="O40" i="6"/>
  <c r="M40" i="6"/>
  <c r="L40" i="6"/>
  <c r="K40" i="6"/>
  <c r="J40" i="6"/>
  <c r="I40" i="6"/>
  <c r="H40" i="6"/>
  <c r="G40" i="6"/>
  <c r="F40" i="6"/>
  <c r="E40" i="6"/>
  <c r="Q39" i="6"/>
  <c r="P39" i="6"/>
  <c r="O39" i="6"/>
  <c r="M39" i="6"/>
  <c r="L39" i="6"/>
  <c r="K39" i="6"/>
  <c r="J39" i="6"/>
  <c r="I39" i="6"/>
  <c r="H39" i="6"/>
  <c r="G39" i="6"/>
  <c r="F39" i="6"/>
  <c r="E39" i="6"/>
  <c r="Q38" i="6"/>
  <c r="P38" i="6"/>
  <c r="O38" i="6"/>
  <c r="M38" i="6"/>
  <c r="L38" i="6"/>
  <c r="K38" i="6"/>
  <c r="J38" i="6"/>
  <c r="I38" i="6"/>
  <c r="H38" i="6"/>
  <c r="G38" i="6"/>
  <c r="F38" i="6"/>
  <c r="E38" i="6"/>
  <c r="Q37" i="6"/>
  <c r="P37" i="6"/>
  <c r="O37" i="6"/>
  <c r="M37" i="6"/>
  <c r="L37" i="6"/>
  <c r="K37" i="6"/>
  <c r="J37" i="6"/>
  <c r="I37" i="6"/>
  <c r="H37" i="6"/>
  <c r="G37" i="6"/>
  <c r="F37" i="6"/>
  <c r="E37" i="6"/>
  <c r="Q36" i="6"/>
  <c r="P36" i="6"/>
  <c r="O36" i="6"/>
  <c r="M36" i="6"/>
  <c r="L36" i="6"/>
  <c r="K36" i="6"/>
  <c r="J36" i="6"/>
  <c r="I36" i="6"/>
  <c r="H36" i="6"/>
  <c r="G36" i="6"/>
  <c r="F36" i="6"/>
  <c r="E36" i="6"/>
  <c r="Q35" i="6"/>
  <c r="P35" i="6"/>
  <c r="O35" i="6"/>
  <c r="M35" i="6"/>
  <c r="L35" i="6"/>
  <c r="K35" i="6"/>
  <c r="J35" i="6"/>
  <c r="I35" i="6"/>
  <c r="H35" i="6"/>
  <c r="G35" i="6"/>
  <c r="F35" i="6"/>
  <c r="E35" i="6"/>
  <c r="Q34" i="6"/>
  <c r="P34" i="6"/>
  <c r="O34" i="6"/>
  <c r="M34" i="6"/>
  <c r="L34" i="6"/>
  <c r="K34" i="6"/>
  <c r="J34" i="6"/>
  <c r="I34" i="6"/>
  <c r="H34" i="6"/>
  <c r="G34" i="6"/>
  <c r="F34" i="6"/>
  <c r="E34" i="6"/>
  <c r="Q33" i="6"/>
  <c r="P33" i="6"/>
  <c r="O33" i="6"/>
  <c r="M33" i="6"/>
  <c r="L33" i="6"/>
  <c r="K33" i="6"/>
  <c r="J33" i="6"/>
  <c r="I33" i="6"/>
  <c r="H33" i="6"/>
  <c r="G33" i="6"/>
  <c r="F33" i="6"/>
  <c r="E33" i="6"/>
  <c r="Q32" i="6"/>
  <c r="P32" i="6"/>
  <c r="O32" i="6"/>
  <c r="M32" i="6"/>
  <c r="L32" i="6"/>
  <c r="K32" i="6"/>
  <c r="J32" i="6"/>
  <c r="I32" i="6"/>
  <c r="H32" i="6"/>
  <c r="G32" i="6"/>
  <c r="F32" i="6"/>
  <c r="E32" i="6"/>
  <c r="S31" i="6"/>
  <c r="Q28" i="6"/>
  <c r="P28" i="6"/>
  <c r="O28" i="6"/>
  <c r="M28" i="6"/>
  <c r="L28" i="6"/>
  <c r="K28" i="6"/>
  <c r="J28" i="6"/>
  <c r="I28" i="6"/>
  <c r="H28" i="6"/>
  <c r="G28" i="6"/>
  <c r="F28" i="6"/>
  <c r="E28" i="6"/>
  <c r="Q27" i="6"/>
  <c r="P27" i="6"/>
  <c r="O27" i="6"/>
  <c r="M27" i="6"/>
  <c r="L27" i="6"/>
  <c r="K27" i="6"/>
  <c r="J27" i="6"/>
  <c r="I27" i="6"/>
  <c r="H27" i="6"/>
  <c r="G27" i="6"/>
  <c r="F27" i="6"/>
  <c r="E27" i="6"/>
  <c r="Q26" i="6"/>
  <c r="P26" i="6"/>
  <c r="O26" i="6"/>
  <c r="M26" i="6"/>
  <c r="L26" i="6"/>
  <c r="K26" i="6"/>
  <c r="J26" i="6"/>
  <c r="I26" i="6"/>
  <c r="H26" i="6"/>
  <c r="G26" i="6"/>
  <c r="F26" i="6"/>
  <c r="E26" i="6"/>
  <c r="Q25" i="6"/>
  <c r="P25" i="6"/>
  <c r="O25" i="6"/>
  <c r="M25" i="6"/>
  <c r="L25" i="6"/>
  <c r="K25" i="6"/>
  <c r="J25" i="6"/>
  <c r="I25" i="6"/>
  <c r="H25" i="6"/>
  <c r="G25" i="6"/>
  <c r="F25" i="6"/>
  <c r="E25" i="6"/>
  <c r="Q24" i="6"/>
  <c r="P24" i="6"/>
  <c r="O24" i="6"/>
  <c r="M24" i="6"/>
  <c r="L24" i="6"/>
  <c r="K24" i="6"/>
  <c r="J24" i="6"/>
  <c r="I24" i="6"/>
  <c r="H24" i="6"/>
  <c r="G24" i="6"/>
  <c r="F24" i="6"/>
  <c r="E24" i="6"/>
  <c r="N24" i="6" s="1"/>
  <c r="S23" i="6"/>
  <c r="Q20" i="6"/>
  <c r="P20" i="6"/>
  <c r="O20" i="6"/>
  <c r="M20" i="6"/>
  <c r="L20" i="6"/>
  <c r="K20" i="6"/>
  <c r="J20" i="6"/>
  <c r="I20" i="6"/>
  <c r="H20" i="6"/>
  <c r="G20" i="6"/>
  <c r="F20" i="6"/>
  <c r="E20" i="6"/>
  <c r="Q19" i="6"/>
  <c r="P19" i="6"/>
  <c r="O19" i="6"/>
  <c r="M19" i="6"/>
  <c r="L19" i="6"/>
  <c r="K19" i="6"/>
  <c r="J19" i="6"/>
  <c r="I19" i="6"/>
  <c r="H19" i="6"/>
  <c r="G19" i="6"/>
  <c r="F19" i="6"/>
  <c r="E19" i="6"/>
  <c r="Q18" i="6"/>
  <c r="P18" i="6"/>
  <c r="O18" i="6"/>
  <c r="M18" i="6"/>
  <c r="L18" i="6"/>
  <c r="K18" i="6"/>
  <c r="J18" i="6"/>
  <c r="I18" i="6"/>
  <c r="H18" i="6"/>
  <c r="G18" i="6"/>
  <c r="F18" i="6"/>
  <c r="E18" i="6"/>
  <c r="Q17" i="6"/>
  <c r="P17" i="6"/>
  <c r="O17" i="6"/>
  <c r="M17" i="6"/>
  <c r="L17" i="6"/>
  <c r="K17" i="6"/>
  <c r="J17" i="6"/>
  <c r="I17" i="6"/>
  <c r="H17" i="6"/>
  <c r="G17" i="6"/>
  <c r="F17" i="6"/>
  <c r="E17" i="6"/>
  <c r="Q16" i="6"/>
  <c r="P16" i="6"/>
  <c r="O16" i="6"/>
  <c r="M16" i="6"/>
  <c r="L16" i="6"/>
  <c r="K16" i="6"/>
  <c r="J16" i="6"/>
  <c r="I16" i="6"/>
  <c r="H16" i="6"/>
  <c r="G16" i="6"/>
  <c r="F16" i="6"/>
  <c r="E16" i="6"/>
  <c r="Q15" i="6"/>
  <c r="P15" i="6"/>
  <c r="O15" i="6"/>
  <c r="M15" i="6"/>
  <c r="L15" i="6"/>
  <c r="K15" i="6"/>
  <c r="J15" i="6"/>
  <c r="I15" i="6"/>
  <c r="H15" i="6"/>
  <c r="G15" i="6"/>
  <c r="F15" i="6"/>
  <c r="E15" i="6"/>
  <c r="Q14" i="6"/>
  <c r="P14" i="6"/>
  <c r="O14" i="6"/>
  <c r="N14" i="6"/>
  <c r="N15" i="6" s="1"/>
  <c r="N16" i="6" s="1"/>
  <c r="N17" i="6" s="1"/>
  <c r="N18" i="6" s="1"/>
  <c r="N19" i="6" s="1"/>
  <c r="N20" i="6" s="1"/>
  <c r="M14" i="6"/>
  <c r="L14" i="6"/>
  <c r="K14" i="6"/>
  <c r="J14" i="6"/>
  <c r="I14" i="6"/>
  <c r="H14" i="6"/>
  <c r="G14" i="6"/>
  <c r="F14" i="6"/>
  <c r="E14" i="6"/>
  <c r="Q10" i="6"/>
  <c r="P10" i="6"/>
  <c r="O10" i="6"/>
  <c r="M10" i="6"/>
  <c r="L10" i="6"/>
  <c r="K10" i="6"/>
  <c r="J10" i="6"/>
  <c r="I10" i="6"/>
  <c r="H10" i="6"/>
  <c r="E10" i="6"/>
  <c r="Q9" i="6"/>
  <c r="P9" i="6"/>
  <c r="O9" i="6"/>
  <c r="M9" i="6"/>
  <c r="L9" i="6"/>
  <c r="K9" i="6"/>
  <c r="J9" i="6"/>
  <c r="I9" i="6"/>
  <c r="H9" i="6"/>
  <c r="E9" i="6"/>
  <c r="Q8" i="6"/>
  <c r="P8" i="6"/>
  <c r="O8" i="6"/>
  <c r="M8" i="6"/>
  <c r="L8" i="6"/>
  <c r="K8" i="6"/>
  <c r="J8" i="6"/>
  <c r="I8" i="6"/>
  <c r="H8" i="6"/>
  <c r="E8" i="6"/>
  <c r="Q7" i="6"/>
  <c r="P7" i="6"/>
  <c r="O7" i="6"/>
  <c r="M7" i="6"/>
  <c r="L7" i="6"/>
  <c r="K7" i="6"/>
  <c r="J7" i="6"/>
  <c r="I7" i="6"/>
  <c r="H7" i="6"/>
  <c r="E7" i="6"/>
  <c r="Q6" i="6"/>
  <c r="P6" i="6"/>
  <c r="O6" i="6"/>
  <c r="M6" i="6"/>
  <c r="L6" i="6"/>
  <c r="K6" i="6"/>
  <c r="J6" i="6"/>
  <c r="I6" i="6"/>
  <c r="H6" i="6"/>
  <c r="E6" i="6"/>
  <c r="Q5" i="6"/>
  <c r="P5" i="6"/>
  <c r="O5" i="6"/>
  <c r="M5" i="6"/>
  <c r="L5" i="6"/>
  <c r="K5" i="6"/>
  <c r="J5" i="6"/>
  <c r="I5" i="6"/>
  <c r="H5" i="6"/>
  <c r="E5" i="6"/>
  <c r="Q4" i="6"/>
  <c r="P4" i="6"/>
  <c r="O4" i="6"/>
  <c r="N4" i="6"/>
  <c r="N5" i="6" s="1"/>
  <c r="N6" i="6" s="1"/>
  <c r="N7" i="6" s="1"/>
  <c r="N8" i="6" s="1"/>
  <c r="N9" i="6" s="1"/>
  <c r="N10" i="6" s="1"/>
  <c r="M4" i="6"/>
  <c r="L4" i="6"/>
  <c r="K4" i="6"/>
  <c r="J4" i="6"/>
  <c r="I4" i="6"/>
  <c r="H4" i="6"/>
  <c r="G4" i="6"/>
  <c r="G5" i="6" s="1"/>
  <c r="G6" i="6" s="1"/>
  <c r="G7" i="6" s="1"/>
  <c r="G8" i="6" s="1"/>
  <c r="G9" i="6" s="1"/>
  <c r="G10" i="6" s="1"/>
  <c r="F4" i="6"/>
  <c r="F5" i="6" s="1"/>
  <c r="F6" i="6" s="1"/>
  <c r="F7" i="6" s="1"/>
  <c r="F8" i="6" s="1"/>
  <c r="F9" i="6" s="1"/>
  <c r="F10" i="6" s="1"/>
  <c r="R16" i="5" a="1"/>
  <c r="R16" i="5" s="1"/>
  <c r="O16" i="5"/>
  <c r="L16" i="5"/>
  <c r="E16" i="5"/>
  <c r="D16" i="5"/>
  <c r="C16" i="5"/>
  <c r="F15" i="5"/>
  <c r="L14" i="5"/>
  <c r="F14" i="5"/>
  <c r="F13" i="5"/>
  <c r="F12" i="5"/>
  <c r="F11" i="5"/>
  <c r="F10" i="5"/>
  <c r="F9" i="5"/>
  <c r="F8" i="5"/>
  <c r="F7" i="5"/>
  <c r="F6" i="5"/>
  <c r="F5" i="5"/>
  <c r="R4" i="5" a="1"/>
  <c r="R4" i="5" s="1"/>
  <c r="O4" i="5"/>
  <c r="F4" i="5"/>
  <c r="F16" i="5" s="1"/>
  <c r="H2" i="5"/>
  <c r="G12" i="5" s="1"/>
  <c r="G36" i="4"/>
  <c r="L42" i="4" s="1"/>
  <c r="H34" i="4"/>
  <c r="H33" i="4"/>
  <c r="D33" i="4"/>
  <c r="L32" i="4"/>
  <c r="H32" i="4"/>
  <c r="D32" i="4"/>
  <c r="L31" i="4"/>
  <c r="H31" i="4"/>
  <c r="D31" i="4"/>
  <c r="L30" i="4"/>
  <c r="H30" i="4"/>
  <c r="D30" i="4"/>
  <c r="L29" i="4"/>
  <c r="H29" i="4"/>
  <c r="D29" i="4"/>
  <c r="L28" i="4"/>
  <c r="H28" i="4"/>
  <c r="D28" i="4"/>
  <c r="L27" i="4"/>
  <c r="H27" i="4"/>
  <c r="D27" i="4"/>
  <c r="L26" i="4"/>
  <c r="D26" i="4"/>
  <c r="L25" i="4"/>
  <c r="D25" i="4"/>
  <c r="L24" i="4"/>
  <c r="D24" i="4"/>
  <c r="L23" i="4"/>
  <c r="H23" i="4"/>
  <c r="D23" i="4"/>
  <c r="L22" i="4"/>
  <c r="H22" i="4"/>
  <c r="D22" i="4"/>
  <c r="L21" i="4"/>
  <c r="H21" i="4"/>
  <c r="D21" i="4"/>
  <c r="H20" i="4"/>
  <c r="D20" i="4"/>
  <c r="H19" i="4"/>
  <c r="D19" i="4"/>
  <c r="H18" i="4"/>
  <c r="D18" i="4"/>
  <c r="L17" i="4"/>
  <c r="F4" i="3" s="1"/>
  <c r="H17" i="4"/>
  <c r="D17" i="4"/>
  <c r="T16" i="4"/>
  <c r="S16" i="4"/>
  <c r="H16" i="4"/>
  <c r="D16" i="4"/>
  <c r="T15" i="4"/>
  <c r="S15" i="4"/>
  <c r="L15" i="4"/>
  <c r="I4" i="3" s="1"/>
  <c r="H15" i="4"/>
  <c r="D15" i="4"/>
  <c r="T14" i="4"/>
  <c r="S14" i="4"/>
  <c r="H14" i="4"/>
  <c r="D14" i="4"/>
  <c r="T13" i="4"/>
  <c r="S13" i="4"/>
  <c r="L13" i="4"/>
  <c r="L4" i="3" s="1"/>
  <c r="H13" i="4"/>
  <c r="D13" i="4"/>
  <c r="T12" i="4"/>
  <c r="S12" i="4"/>
  <c r="L12" i="4"/>
  <c r="E4" i="3" s="1"/>
  <c r="H12" i="4"/>
  <c r="D12" i="4"/>
  <c r="T11" i="4"/>
  <c r="S11" i="4"/>
  <c r="N11" i="4"/>
  <c r="L11" i="4"/>
  <c r="D4" i="3" s="1"/>
  <c r="H11" i="4"/>
  <c r="N4" i="3" s="1"/>
  <c r="D11" i="4"/>
  <c r="T10" i="4"/>
  <c r="S10" i="4"/>
  <c r="P10" i="4"/>
  <c r="O10" i="4"/>
  <c r="D10" i="4"/>
  <c r="T9" i="4"/>
  <c r="S9" i="4"/>
  <c r="P9" i="4"/>
  <c r="O9" i="4"/>
  <c r="D9" i="4"/>
  <c r="T8" i="4"/>
  <c r="S8" i="4"/>
  <c r="P8" i="4"/>
  <c r="O8" i="4"/>
  <c r="D8" i="4"/>
  <c r="T7" i="4"/>
  <c r="S7" i="4"/>
  <c r="P7" i="4"/>
  <c r="O7" i="4"/>
  <c r="L7" i="4"/>
  <c r="H7" i="4"/>
  <c r="D7" i="4"/>
  <c r="T6" i="4"/>
  <c r="S6" i="4"/>
  <c r="P6" i="4"/>
  <c r="O6" i="4"/>
  <c r="L6" i="4"/>
  <c r="H6" i="4"/>
  <c r="D6" i="4"/>
  <c r="T5" i="4"/>
  <c r="S5" i="4"/>
  <c r="P5" i="4"/>
  <c r="O5" i="4"/>
  <c r="L5" i="4"/>
  <c r="H5" i="4"/>
  <c r="D5" i="4"/>
  <c r="T4" i="4"/>
  <c r="S4" i="4"/>
  <c r="P4" i="4"/>
  <c r="O4" i="4"/>
  <c r="L4" i="4"/>
  <c r="H4" i="4"/>
  <c r="D4" i="4"/>
  <c r="L3" i="4"/>
  <c r="H3" i="4"/>
  <c r="D3" i="4"/>
  <c r="W2" i="3"/>
  <c r="S15" i="6" l="1"/>
  <c r="S16" i="6"/>
  <c r="G9" i="5"/>
  <c r="G13" i="5"/>
  <c r="G5" i="5"/>
  <c r="H45" i="4"/>
  <c r="H47" i="4"/>
  <c r="L16" i="4"/>
  <c r="K4" i="3" s="1"/>
  <c r="S17" i="4"/>
  <c r="B4" i="3" s="1"/>
  <c r="L14" i="4"/>
  <c r="H4" i="3" s="1"/>
  <c r="D34" i="4"/>
  <c r="H38" i="4"/>
  <c r="P11" i="4"/>
  <c r="H39" i="4"/>
  <c r="O11" i="4"/>
  <c r="H8" i="5"/>
  <c r="H12" i="5"/>
  <c r="H43" i="4"/>
  <c r="L37" i="4"/>
  <c r="H44" i="4"/>
  <c r="T17" i="4"/>
  <c r="L38" i="4"/>
  <c r="H46" i="4"/>
  <c r="H5" i="5"/>
  <c r="H9" i="5"/>
  <c r="H13" i="5"/>
  <c r="L39" i="4"/>
  <c r="G6" i="5"/>
  <c r="G10" i="5"/>
  <c r="G14" i="5"/>
  <c r="H40" i="4"/>
  <c r="H6" i="5"/>
  <c r="H10" i="5"/>
  <c r="H14" i="5"/>
  <c r="H41" i="4"/>
  <c r="G4" i="5"/>
  <c r="G16" i="5" s="1"/>
  <c r="G7" i="5"/>
  <c r="G11" i="5"/>
  <c r="L41" i="4"/>
  <c r="H4" i="5"/>
  <c r="H7" i="5"/>
  <c r="H11" i="5"/>
  <c r="G15" i="5"/>
  <c r="L40" i="4"/>
  <c r="H42" i="4"/>
  <c r="H15" i="5"/>
  <c r="K35" i="4"/>
  <c r="G8" i="5"/>
  <c r="E4" i="6" l="1"/>
  <c r="H48" i="4"/>
</calcChain>
</file>

<file path=xl/sharedStrings.xml><?xml version="1.0" encoding="utf-8"?>
<sst xmlns="http://schemas.openxmlformats.org/spreadsheetml/2006/main" count="16468" uniqueCount="5211">
  <si>
    <t>Sr no</t>
  </si>
  <si>
    <t>Date</t>
  </si>
  <si>
    <t>Company Name</t>
  </si>
  <si>
    <t>Location</t>
  </si>
  <si>
    <t>State</t>
  </si>
  <si>
    <t>Product Type</t>
  </si>
  <si>
    <t>Capacity / Specs</t>
  </si>
  <si>
    <t>Phone</t>
  </si>
  <si>
    <t>Email</t>
  </si>
  <si>
    <t>Inquiry Status</t>
  </si>
  <si>
    <t>Contact Person</t>
  </si>
  <si>
    <t>Lead Source</t>
  </si>
  <si>
    <t>Lead Owner</t>
  </si>
  <si>
    <t>Quotation No</t>
  </si>
  <si>
    <t>Quotation Date</t>
  </si>
  <si>
    <t>Order Value</t>
  </si>
  <si>
    <t>Quotation Status</t>
  </si>
  <si>
    <t>PO DATE</t>
  </si>
  <si>
    <t>Order Analysis</t>
  </si>
  <si>
    <t>Remarks</t>
  </si>
  <si>
    <t xml:space="preserve">EKA MOBILITY SOLUTIONS </t>
  </si>
  <si>
    <t>Chakan</t>
  </si>
  <si>
    <t>Maharashtra</t>
  </si>
  <si>
    <t>Jib Crane</t>
  </si>
  <si>
    <r>
      <rPr>
        <u/>
        <sz val="11"/>
        <color rgb="FF1155CC"/>
        <rFont val="Calibri, sans-serif"/>
      </rPr>
      <t>pankaj.damare@ekamobility.com'</t>
    </r>
  </si>
  <si>
    <t>WIN</t>
  </si>
  <si>
    <t>Pankaj Damare</t>
  </si>
  <si>
    <t>MAIL</t>
  </si>
  <si>
    <t>RAVI</t>
  </si>
  <si>
    <t>FEB-JC06SV</t>
  </si>
  <si>
    <t>PO Received</t>
  </si>
  <si>
    <t xml:space="preserve">Chakan </t>
  </si>
  <si>
    <t>LCS</t>
  </si>
  <si>
    <t xml:space="preserve">Jib Crane of 1MT Capacity </t>
  </si>
  <si>
    <t>pankaj.damare@ekamobility.com'</t>
  </si>
  <si>
    <t>MAHINDRA &amp; MAHINDRA LTD</t>
  </si>
  <si>
    <t>Underslung</t>
  </si>
  <si>
    <t>Underslung Crane of 2MT Capacity</t>
  </si>
  <si>
    <t xml:space="preserve"> &lt;DANE.AMOL@mahindra.com&gt;</t>
  </si>
  <si>
    <t>DANE AMOL'</t>
  </si>
  <si>
    <t>SAKSHI</t>
  </si>
  <si>
    <t>FEB-05 23/2/27</t>
  </si>
  <si>
    <t>A</t>
  </si>
  <si>
    <t>Dharni</t>
  </si>
  <si>
    <t>Gantry Crane</t>
  </si>
  <si>
    <t>Portable Gantry Crane</t>
  </si>
  <si>
    <t>Dharni, Maharashtra, India</t>
  </si>
  <si>
    <t>CLOSED</t>
  </si>
  <si>
    <t>NITESH LAXMAN SEMALKAR</t>
  </si>
  <si>
    <t>INDIAMART</t>
  </si>
  <si>
    <t>VIVEK</t>
  </si>
  <si>
    <t>next week</t>
  </si>
  <si>
    <t>Thane</t>
  </si>
  <si>
    <t>Goliath</t>
  </si>
  <si>
    <t>Goliath crane</t>
  </si>
  <si>
    <t>naveenagrawal2007@gmail.com</t>
  </si>
  <si>
    <t>LOST</t>
  </si>
  <si>
    <t>naveen agarwal</t>
  </si>
  <si>
    <t xml:space="preserve">TRADEINDIA </t>
  </si>
  <si>
    <t>Others</t>
  </si>
  <si>
    <t>Hoist</t>
  </si>
  <si>
    <t>2 Ton Electric Chain Hoist</t>
  </si>
  <si>
    <r>
      <rPr>
        <u/>
        <sz val="11"/>
        <color rgb="FF1155CC"/>
        <rFont val="Calibri, sans-serif"/>
      </rPr>
      <t>dangat9666@gmail.com</t>
    </r>
  </si>
  <si>
    <t>NOT INTERESTED</t>
  </si>
  <si>
    <t>bhi</t>
  </si>
  <si>
    <t>Craftsman Automation</t>
  </si>
  <si>
    <t>QUOTATION SHARED</t>
  </si>
  <si>
    <t>esd_craneu3 &lt;esd_craneu3@craftsmanautomation.com&gt;</t>
  </si>
  <si>
    <t>S.Kanagaraj</t>
  </si>
  <si>
    <t>04-CRAFTSMAN-JC-500KG</t>
  </si>
  <si>
    <t>Quotation Sent</t>
  </si>
  <si>
    <t>Cummins Generator Technologies India Pvt Ltd</t>
  </si>
  <si>
    <t>Ranjangoan</t>
  </si>
  <si>
    <t>EOT Crane</t>
  </si>
  <si>
    <t>EXISTING CUS.</t>
  </si>
  <si>
    <t>&lt;sandeep.naikare@cummins.com&gt;</t>
  </si>
  <si>
    <t>Sandeep Naikare</t>
  </si>
  <si>
    <t>MALLESH</t>
  </si>
  <si>
    <t>100/2026-2027 mallesh sir</t>
  </si>
  <si>
    <t>In Progress</t>
  </si>
  <si>
    <t>EKA Mobility Solutions</t>
  </si>
  <si>
    <t>Pithampur</t>
  </si>
  <si>
    <t>Tamil Nadu</t>
  </si>
  <si>
    <t>Manipulator</t>
  </si>
  <si>
    <t>7-EKA MOBILITY-PITHAMPUR-05/04/26</t>
  </si>
  <si>
    <t>anil.m@ekamobility.com'</t>
  </si>
  <si>
    <t>PO EXPECTED</t>
  </si>
  <si>
    <t>Anil Malviya</t>
  </si>
  <si>
    <t>Electrofab Engineering Services Pvt.Ltd</t>
  </si>
  <si>
    <t>Pimpri Chinchwad</t>
  </si>
  <si>
    <t>crane</t>
  </si>
  <si>
    <r>
      <rPr>
        <u/>
        <sz val="11"/>
        <color rgb="FF1155CC"/>
        <rFont val="Calibri, sans-serif"/>
      </rPr>
      <t>atharvpasalkar146@gmail.com</t>
    </r>
  </si>
  <si>
    <t>athrv</t>
  </si>
  <si>
    <t>Emerson Process Management (India) Pvt. Ltd</t>
  </si>
  <si>
    <t>high cost</t>
  </si>
  <si>
    <r>
      <rPr>
        <u/>
        <sz val="11"/>
        <color rgb="FF1155CC"/>
        <rFont val="Calibri, sans-serif"/>
      </rPr>
      <t>&lt;Raviprasad.Savkar@Emerson.com&gt;</t>
    </r>
  </si>
  <si>
    <t>Savakar Raviprasad</t>
  </si>
  <si>
    <t>06-EMERSON -5TSGEOT</t>
  </si>
  <si>
    <t>Closed</t>
  </si>
  <si>
    <t>KSB India Ltd</t>
  </si>
  <si>
    <t>Ahmednagar</t>
  </si>
  <si>
    <r>
      <rPr>
        <u/>
        <sz val="11"/>
        <color rgb="FF1155CC"/>
        <rFont val="Calibri, sans-serif"/>
      </rPr>
      <t>&lt;Jaywant.Sutar@ksb.com&gt;</t>
    </r>
  </si>
  <si>
    <t>Sutar Jaywant'</t>
  </si>
  <si>
    <t>07-KSBLTD-5TSGEOT</t>
  </si>
  <si>
    <t>KSB LIMITED</t>
  </si>
  <si>
    <t>of Jib Crane of 1MT Capacity</t>
  </si>
  <si>
    <t>57-KSBLTD-1TJIBCRANE</t>
  </si>
  <si>
    <t>MITTAL TRADERS</t>
  </si>
  <si>
    <t>Howrah</t>
  </si>
  <si>
    <t>eot cranes</t>
  </si>
  <si>
    <t>mohitmitt@gmail.com</t>
  </si>
  <si>
    <t>mohit mittal</t>
  </si>
  <si>
    <t>SANDVIK COROMANT INDIA PVT. LTD</t>
  </si>
  <si>
    <t>Dapodi</t>
  </si>
  <si>
    <t>Winch for 1T Capacity</t>
  </si>
  <si>
    <t>KIRAN NALAGE &lt;kiran.nalage@sandvik.com&gt;</t>
  </si>
  <si>
    <t>Kiran Nalage</t>
  </si>
  <si>
    <t>REFRENCE</t>
  </si>
  <si>
    <t>05/SANDVIK-WINCH-1-04-26</t>
  </si>
  <si>
    <t>Clarification Pending</t>
  </si>
  <si>
    <t>Barrackpore</t>
  </si>
  <si>
    <t>heavy duty hydra crane</t>
  </si>
  <si>
    <t>FAKE</t>
  </si>
  <si>
    <t>anand gupta</t>
  </si>
  <si>
    <t>INFINITE ENERGY PVT. LTD</t>
  </si>
  <si>
    <t>faridabad</t>
  </si>
  <si>
    <t>Haryana</t>
  </si>
  <si>
    <t>jib crane</t>
  </si>
  <si>
    <t>naval</t>
  </si>
  <si>
    <t>27-INFINITEENGG- 1T WJC</t>
  </si>
  <si>
    <t>Na</t>
  </si>
  <si>
    <t>Pune</t>
  </si>
  <si>
    <t>Industrial cranes</t>
  </si>
  <si>
    <t>nagesh talwar</t>
  </si>
  <si>
    <t>Singh Fabrication</t>
  </si>
  <si>
    <t>hoist</t>
  </si>
  <si>
    <r>
      <rPr>
        <u/>
        <sz val="11"/>
        <color rgb="FF1155CC"/>
        <rFont val="Calibri, sans-serif"/>
      </rPr>
      <t>sshambhussingh08893@gmail.com</t>
    </r>
  </si>
  <si>
    <t>Shambhu Singh</t>
  </si>
  <si>
    <t>Wire Rope Hoist</t>
  </si>
  <si>
    <t>NA</t>
  </si>
  <si>
    <t>VAISHALI</t>
  </si>
  <si>
    <t>A J Enterprise</t>
  </si>
  <si>
    <t>Meerut</t>
  </si>
  <si>
    <t>Uttar Pradesh</t>
  </si>
  <si>
    <t>Electric Overhead Crane</t>
  </si>
  <si>
    <r>
      <rPr>
        <u/>
        <sz val="11"/>
        <color rgb="FF1155CC"/>
        <rFont val="Calibri, sans-serif"/>
      </rPr>
      <t>gufrankhanjanimeerut@gmail.com</t>
    </r>
  </si>
  <si>
    <t>Gufran Khan</t>
  </si>
  <si>
    <t>Aakruti Tooling</t>
  </si>
  <si>
    <t>Moi</t>
  </si>
  <si>
    <t>Portable Gantry Cranes</t>
  </si>
  <si>
    <r>
      <rPr>
        <u/>
        <sz val="11"/>
        <color rgb="FF1155CC"/>
        <rFont val="Calibri, sans-serif"/>
      </rPr>
      <t>-aakrutitooling@gmail.com</t>
    </r>
  </si>
  <si>
    <t>nilesh aher</t>
  </si>
  <si>
    <t>11-AAKRUTI-EOT-12.5T-MOI-05/04/26</t>
  </si>
  <si>
    <t>Aarya And Company</t>
  </si>
  <si>
    <t>Aurangabad</t>
  </si>
  <si>
    <r>
      <rPr>
        <u/>
        <sz val="11"/>
        <color rgb="FF1155CC"/>
        <rFont val="Calibri, sans-serif"/>
      </rPr>
      <t>chetanyelikar@yahoo.in</t>
    </r>
  </si>
  <si>
    <t>Chetan Yelikar</t>
  </si>
  <si>
    <t>Application Eng.</t>
  </si>
  <si>
    <t>bhosari</t>
  </si>
  <si>
    <t>8-ENERGYGS-HOIST -5 &amp; 10T-04/04/26</t>
  </si>
  <si>
    <r>
      <rPr>
        <u/>
        <sz val="11"/>
        <color rgb="FF1155CC"/>
        <rFont val="Calibri, sans-serif"/>
      </rPr>
      <t>&lt;applicationengg@impregseal.com&gt;</t>
    </r>
  </si>
  <si>
    <t>9-ApplicationEngg-LCS-500kg1T -05/04/26</t>
  </si>
  <si>
    <t>Madhya Pradesh</t>
  </si>
  <si>
    <r>
      <rPr>
        <u/>
        <sz val="11"/>
        <color rgb="FF1155CC"/>
        <rFont val="Calibri, sans-serif"/>
      </rPr>
      <t>yuvraj_kate84@rediffmail.com</t>
    </r>
  </si>
  <si>
    <t>31-EKA-3MT SGEOT</t>
  </si>
  <si>
    <t>ENERSYS THERMAL LTD</t>
  </si>
  <si>
    <t>Perfect Machine Tools Corporation Limited</t>
  </si>
  <si>
    <r>
      <rPr>
        <u/>
        <sz val="11"/>
        <color rgb="FF1155CC"/>
        <rFont val="Calibri, sans-serif"/>
      </rPr>
      <t>enersys.pune@gmail.com</t>
    </r>
  </si>
  <si>
    <t>Ho Company</t>
  </si>
  <si>
    <t>Indapur</t>
  </si>
  <si>
    <t>Electric Hoists</t>
  </si>
  <si>
    <t>FULFILLED</t>
  </si>
  <si>
    <t>Kate Yuvraj</t>
  </si>
  <si>
    <t>Sahibabad</t>
  </si>
  <si>
    <t>Manipulators</t>
  </si>
  <si>
    <r>
      <rPr>
        <u/>
        <sz val="11"/>
        <color rgb="FF1155CC"/>
        <rFont val="Calibri, sans-serif"/>
      </rPr>
      <t>pmtdel@pmtcoltd.com</t>
    </r>
  </si>
  <si>
    <t>S.K. Kapoor</t>
  </si>
  <si>
    <t>Coimbatore</t>
  </si>
  <si>
    <r>
      <rPr>
        <u/>
        <sz val="11"/>
        <color rgb="FF1155CC"/>
        <rFont val="Calibri, sans-serif"/>
      </rPr>
      <t>nsnkarthik12@gmail.com</t>
    </r>
  </si>
  <si>
    <t>RAJENDRAN KARTHIK</t>
  </si>
  <si>
    <t>Electric Chain Hoist</t>
  </si>
  <si>
    <r>
      <rPr>
        <u/>
        <sz val="11"/>
        <color rgb="FF1155CC"/>
        <rFont val="Calibri, sans-serif"/>
      </rPr>
      <t>coolatul1994@gmail.com</t>
    </r>
  </si>
  <si>
    <t>atul</t>
  </si>
  <si>
    <t>mumbai</t>
  </si>
  <si>
    <r>
      <rPr>
        <u/>
        <sz val="11"/>
        <color rgb="FF1155CC"/>
        <rFont val="Calibri, sans-serif"/>
      </rPr>
      <t>arjunkurhade66967@gmail.com</t>
    </r>
  </si>
  <si>
    <t>arjun</t>
  </si>
  <si>
    <t>Andriya Shipping</t>
  </si>
  <si>
    <t>Thoothukudi</t>
  </si>
  <si>
    <t>Pillar Mounted Jib Crane</t>
  </si>
  <si>
    <r>
      <rPr>
        <u/>
        <sz val="11"/>
        <color rgb="FF1155CC"/>
        <rFont val="Calibri, sans-serif"/>
      </rPr>
      <t>andriyashipping@gmail.com</t>
    </r>
  </si>
  <si>
    <t>kaushik</t>
  </si>
  <si>
    <t>horizontal boring machine job work</t>
  </si>
  <si>
    <t>Rajkot</t>
  </si>
  <si>
    <t>Gujarat</t>
  </si>
  <si>
    <t>Single Girder Cranes</t>
  </si>
  <si>
    <r>
      <rPr>
        <u/>
        <sz val="11"/>
        <color rgb="FF1155CC"/>
        <rFont val="Calibri, sans-serif"/>
      </rPr>
      <t>basirboghara26@gmail.com</t>
    </r>
  </si>
  <si>
    <t>Arsh Boghara</t>
  </si>
  <si>
    <t>mohamaad safik contractor</t>
  </si>
  <si>
    <t>Jodhpur</t>
  </si>
  <si>
    <t>Rajasthan</t>
  </si>
  <si>
    <t>Overhead Mounted Manipulator</t>
  </si>
  <si>
    <r>
      <rPr>
        <u/>
        <sz val="11"/>
        <color rgb="FF1155CC"/>
        <rFont val="Calibri, sans-serif"/>
      </rPr>
      <t>mohmmad.aslam04@gmail.com</t>
    </r>
  </si>
  <si>
    <t>aslam</t>
  </si>
  <si>
    <t>S B Engineering</t>
  </si>
  <si>
    <t xml:space="preserve"> Brahma Nagar</t>
  </si>
  <si>
    <t>Karnataka</t>
  </si>
  <si>
    <r>
      <rPr>
        <u/>
        <sz val="11"/>
        <color rgb="FF1155CC"/>
        <rFont val="Calibri, sans-serif"/>
      </rPr>
      <t>shubhamwadekar35968@gmail.com</t>
    </r>
  </si>
  <si>
    <t>shubham</t>
  </si>
  <si>
    <t>Shiv Enterprises</t>
  </si>
  <si>
    <t>1 Ton Electric Chain Hoist</t>
  </si>
  <si>
    <r>
      <rPr>
        <u/>
        <sz val="11"/>
        <color rgb="FF1155CC"/>
        <rFont val="Calibri, sans-serif"/>
      </rPr>
      <t>arvinddandwate2@gmail.com</t>
    </r>
  </si>
  <si>
    <t>anita</t>
  </si>
  <si>
    <t>Sri Mahalakshmi Engineering Works</t>
  </si>
  <si>
    <t>Prashanthi nagar</t>
  </si>
  <si>
    <t>Telangana</t>
  </si>
  <si>
    <t>Heavy Duty Wire Rope Hoist</t>
  </si>
  <si>
    <r>
      <rPr>
        <u/>
        <sz val="11"/>
        <color rgb="FF1155CC"/>
        <rFont val="Calibri, sans-serif"/>
      </rPr>
      <t>srimahalakshmi216@gmail.com</t>
    </r>
  </si>
  <si>
    <t>Santhosh</t>
  </si>
  <si>
    <t>n discussion</t>
  </si>
  <si>
    <t>Universal Marketing Services</t>
  </si>
  <si>
    <t>3 Ton Electric Wire Rope Hoist</t>
  </si>
  <si>
    <r>
      <rPr>
        <u/>
        <sz val="11"/>
        <color rgb="FF1155CC"/>
        <rFont val="Calibri, sans-serif"/>
      </rPr>
      <t>umsscales@gmail.com</t>
    </r>
  </si>
  <si>
    <t>Ahilan Natarajan</t>
  </si>
  <si>
    <t>CLF PROJECTS PVT LTD</t>
  </si>
  <si>
    <t>Devendra Bonde</t>
  </si>
  <si>
    <r>
      <rPr>
        <u/>
        <sz val="11"/>
        <color rgb="FF1155CC"/>
        <rFont val="Calibri, sans-serif"/>
      </rPr>
      <t>purchase.infra@clfprojects.com'</t>
    </r>
  </si>
  <si>
    <t>10-CLF PROJECTS-15/5T-05/041/26</t>
  </si>
  <si>
    <t>Buildchem</t>
  </si>
  <si>
    <t>Sangamner</t>
  </si>
  <si>
    <r>
      <rPr>
        <u/>
        <sz val="11"/>
        <color rgb="FF1155CC"/>
        <rFont val="Calibri, sans-serif"/>
      </rPr>
      <t>support@buildcheminfra.com</t>
    </r>
  </si>
  <si>
    <t>gite</t>
  </si>
  <si>
    <t>Kamsiddha Engineers And Fabricators</t>
  </si>
  <si>
    <t xml:space="preserve">Chikhli </t>
  </si>
  <si>
    <t>S. H. Engineers</t>
  </si>
  <si>
    <r>
      <rPr>
        <u/>
        <sz val="11"/>
        <color rgb="FF1155CC"/>
        <rFont val="Calibri, sans-serif"/>
      </rPr>
      <t>kamsiddha.eng@gmail.com</t>
    </r>
  </si>
  <si>
    <t>15-RE-KAMSIDDHA-5T Hoist</t>
  </si>
  <si>
    <t>Marketing Plus</t>
  </si>
  <si>
    <t>Noida</t>
  </si>
  <si>
    <r>
      <rPr>
        <u/>
        <sz val="11"/>
        <color rgb="FF1155CC"/>
        <rFont val="Calibri, sans-serif"/>
      </rPr>
      <t>marketingplus.gg@gmail.com</t>
    </r>
  </si>
  <si>
    <t>Rahul Babbar</t>
  </si>
  <si>
    <t>PMI Coaches Pvt Ltd</t>
  </si>
  <si>
    <r>
      <rPr>
        <u/>
        <sz val="11"/>
        <color rgb="FF1155CC"/>
        <rFont val="Calibri, sans-serif"/>
      </rPr>
      <t>AVINASHJAIN59@GMAIL.COM</t>
    </r>
  </si>
  <si>
    <t>avinash jain</t>
  </si>
  <si>
    <t>Baramati</t>
  </si>
  <si>
    <t>Electric Wire Rope Hoist</t>
  </si>
  <si>
    <r>
      <rPr>
        <u/>
        <sz val="11"/>
        <color rgb="FF1155CC"/>
        <rFont val="Calibri, sans-serif"/>
      </rPr>
      <t>waseem.shikalkar@gmail.com</t>
    </r>
  </si>
  <si>
    <t>Waseem Shikalkar</t>
  </si>
  <si>
    <t>Vertex Elevators India</t>
  </si>
  <si>
    <t>Pramod Kinge</t>
  </si>
  <si>
    <t>BOMAG INDIA PVT LTD</t>
  </si>
  <si>
    <t>14-EEPOS-1MT CH -07/04/26</t>
  </si>
  <si>
    <r>
      <rPr>
        <u/>
        <sz val="11"/>
        <color rgb="FF1155CC"/>
        <rFont val="Calibri, sans-serif"/>
      </rPr>
      <t>rajiv.gaikwad@dynapac.com'</t>
    </r>
  </si>
  <si>
    <t>Vaibhav</t>
  </si>
  <si>
    <t>13/BOMAG/D&amp;ICRANE-06/04/26</t>
  </si>
  <si>
    <t>EEPOS INDIA</t>
  </si>
  <si>
    <t>gayatri Agritech</t>
  </si>
  <si>
    <t>&lt;akash@eeposcranes.co.in&gt;</t>
  </si>
  <si>
    <t>Akash Subhedar</t>
  </si>
  <si>
    <t>14-EEPOS-1T CH</t>
  </si>
  <si>
    <t>Chain Hoist</t>
  </si>
  <si>
    <t>r' &lt;bhagyashri@eeposcranes.co.in&gt;</t>
  </si>
  <si>
    <t>Bhagyashri Kumbha</t>
  </si>
  <si>
    <t>Endo Kogyo India Pvt. Ltd</t>
  </si>
  <si>
    <t>Pillar Mounted Jib Crane 250 Kg</t>
  </si>
  <si>
    <r>
      <rPr>
        <u/>
        <sz val="11"/>
        <color rgb="FF1155CC"/>
        <rFont val="Calibri, sans-serif"/>
      </rPr>
      <t>eki1@endo-india.co.in</t>
    </r>
  </si>
  <si>
    <t>Akshay Salunkhe</t>
  </si>
  <si>
    <t>23-ENDO-JC 250KG</t>
  </si>
  <si>
    <t>Heavy Duty Jib Crane</t>
  </si>
  <si>
    <r>
      <rPr>
        <u/>
        <sz val="11"/>
        <color rgb="FF1155CC"/>
        <rFont val="Calibri, sans-serif"/>
      </rPr>
      <t>shinde.abhay333@gmail.com</t>
    </r>
  </si>
  <si>
    <t>abhay</t>
  </si>
  <si>
    <t>HI TECH MACHINES TOOLS</t>
  </si>
  <si>
    <t>Mandi Gobindgarh</t>
  </si>
  <si>
    <t>Punjab</t>
  </si>
  <si>
    <t>eot crane</t>
  </si>
  <si>
    <t>Jagdeep Singh</t>
  </si>
  <si>
    <t>HYOSUNG T &amp; D INDIA PVT LTD</t>
  </si>
  <si>
    <t>Parker Hannifin India Pvt Ltd</t>
  </si>
  <si>
    <r>
      <rPr>
        <u/>
        <sz val="11"/>
        <color rgb="FF1155CC"/>
        <rFont val="Calibri, sans-serif"/>
      </rPr>
      <t>haidarali.darveshi@hyosung.com'</t>
    </r>
  </si>
  <si>
    <t>haidrali</t>
  </si>
  <si>
    <t>15-HT&amp;DIPL-JC500kg -07/04/27</t>
  </si>
  <si>
    <t>Irle Kay Jay Rolls Pvt. Ltd.</t>
  </si>
  <si>
    <t>Panchkula</t>
  </si>
  <si>
    <r>
      <rPr>
        <u/>
        <sz val="11"/>
        <color rgb="FF1155CC"/>
        <rFont val="Calibri, sans-serif"/>
      </rPr>
      <t>purchase@ikjrolls.com</t>
    </r>
  </si>
  <si>
    <t>KAMSIDHA ENGNEERING &amp; FABRICATIONS</t>
  </si>
  <si>
    <r>
      <rPr>
        <u/>
        <sz val="11"/>
        <color rgb="FF1155CC"/>
        <rFont val="Calibri, sans-serif"/>
      </rPr>
      <t>purchase@xpertmhe.com</t>
    </r>
  </si>
  <si>
    <r>
      <rPr>
        <u/>
        <sz val="11"/>
        <color rgb="FF1155CC"/>
        <rFont val="Calibri, sans-serif"/>
      </rPr>
      <t>kamsiddha.lif@gmail.com'</t>
    </r>
  </si>
  <si>
    <t>18-KE&amp;F-500KG-LCS SYSTEM</t>
  </si>
  <si>
    <t>Liftsafe Cranes India Pvt. Ltd</t>
  </si>
  <si>
    <t>Ludhiana</t>
  </si>
  <si>
    <r>
      <rPr>
        <u/>
        <sz val="11"/>
        <color rgb="FF1155CC"/>
        <rFont val="Calibri, sans-serif"/>
      </rPr>
      <t>&lt;liftsafesales@gmail.com&gt;</t>
    </r>
  </si>
  <si>
    <t>Pratiksha</t>
  </si>
  <si>
    <t>16/LIFESAFE-LCS0.5T-07/04/26</t>
  </si>
  <si>
    <t>Discussion Ongoing</t>
  </si>
  <si>
    <t>Mumbai</t>
  </si>
  <si>
    <t>Industrial Manipulator for Material Lifting</t>
  </si>
  <si>
    <t>soham</t>
  </si>
  <si>
    <t>sri satguru enterprises</t>
  </si>
  <si>
    <t>Nanasaheb Dnynoba Bagade</t>
  </si>
  <si>
    <t>xpert material handling</t>
  </si>
  <si>
    <t>Electric Chain Hoist 2000kg</t>
  </si>
  <si>
    <t>Madan R</t>
  </si>
  <si>
    <t>32-XPERT 2MT CHAINHOIST</t>
  </si>
  <si>
    <t>On Hold</t>
  </si>
  <si>
    <r>
      <rPr>
        <u/>
        <sz val="11"/>
        <color rgb="FF1155CC"/>
        <rFont val="Calibri, sans-serif"/>
      </rPr>
      <t>baljeetsainibaljeetkaur5008@gmail.com</t>
    </r>
  </si>
  <si>
    <t>Tirunelveli</t>
  </si>
  <si>
    <t>Motorized Chain Hoist</t>
  </si>
  <si>
    <t>CG GLOBAL</t>
  </si>
  <si>
    <t>Mandideep</t>
  </si>
  <si>
    <t>Electric Wire Rope Hoist of 5MT Capacity</t>
  </si>
  <si>
    <t>ram.padulkar@cgglobal.com</t>
  </si>
  <si>
    <t>Ram PPadulkar.</t>
  </si>
  <si>
    <t>71-CG GLOBAL-ELEC PANEL</t>
  </si>
  <si>
    <t>Deccan Electro Works</t>
  </si>
  <si>
    <t>kolhpur</t>
  </si>
  <si>
    <t>raste.deccan@gmail.com</t>
  </si>
  <si>
    <t>Avinash Raste Wasudeo</t>
  </si>
  <si>
    <t>GKN DRIVING LINE</t>
  </si>
  <si>
    <t>Lonikand</t>
  </si>
  <si>
    <t>21-GKN-DRIVE LINE -JC 250KG</t>
  </si>
  <si>
    <t>No update</t>
  </si>
  <si>
    <t>Jay Malhar Tredars</t>
  </si>
  <si>
    <t>Single Beam EOT Crane</t>
  </si>
  <si>
    <t>anil</t>
  </si>
  <si>
    <t>Mane Kancor Ingredients Pvt</t>
  </si>
  <si>
    <t>karnataka</t>
  </si>
  <si>
    <t>S Prabath &lt;Prabath.S@MANE.com&gt;</t>
  </si>
  <si>
    <t>Prabath S</t>
  </si>
  <si>
    <t>106-MANE KANCOR-HOIST- 1MT- 6-4-2026</t>
  </si>
  <si>
    <t>Nav Preet Transmission</t>
  </si>
  <si>
    <t>Industrial EOT Cranes</t>
  </si>
  <si>
    <r>
      <rPr>
        <u/>
        <sz val="11"/>
        <color rgb="FF1155CC"/>
        <rFont val="Calibri, sans-serif"/>
      </rPr>
      <t>shindeabhishek004@gmail.com</t>
    </r>
  </si>
  <si>
    <t>abhishek</t>
  </si>
  <si>
    <t>TECH EXPERT INDIA LTD</t>
  </si>
  <si>
    <t>24-Liftsafepvtltd-LCS SYSTEM500kg</t>
  </si>
  <si>
    <t>purchase2 (Techexpert)' &lt;purchase2@techexpertindia.com&gt;</t>
  </si>
  <si>
    <t>Ajay Nalawade</t>
  </si>
  <si>
    <t>22-TECHEXPERT-TRANSFERTROLLEY</t>
  </si>
  <si>
    <t>WATSON &amp; CHALIN INDIA PVT. LTD</t>
  </si>
  <si>
    <t>Yash Borade</t>
  </si>
  <si>
    <t>Lashkare Deepak' &lt;dlashkare@hendrickson-intl.com&gt;</t>
  </si>
  <si>
    <t>Deepak lashkare</t>
  </si>
  <si>
    <t>22-HENDRICKSON-LCS1T-08/26</t>
  </si>
  <si>
    <t>Heavy duty cranes</t>
  </si>
  <si>
    <t>Allauddin Shaikh</t>
  </si>
  <si>
    <t>Arhan Technology</t>
  </si>
  <si>
    <t>23-ARHAN-02T-LCS SS</t>
  </si>
  <si>
    <t>Bothara Communication</t>
  </si>
  <si>
    <t xml:space="preserve">Nashik </t>
  </si>
  <si>
    <r>
      <rPr>
        <u/>
        <sz val="11"/>
        <color rgb="FF1155CC"/>
        <rFont val="Calibri, sans-serif"/>
      </rPr>
      <t>pareshb56@yahoo.co.in</t>
    </r>
  </si>
  <si>
    <t>Paresh Ventures</t>
  </si>
  <si>
    <t>Liftsafe Cranes India Pvt. Ltd.</t>
  </si>
  <si>
    <t>liftsafesales &lt;liftsafesales@gmail.com&gt;</t>
  </si>
  <si>
    <t>SAARLOHA Advanced Materials Pvt. Ltd</t>
  </si>
  <si>
    <t>mudhawa</t>
  </si>
  <si>
    <t>Prathamesh</t>
  </si>
  <si>
    <t>20-66215363</t>
  </si>
  <si>
    <t>&lt;yash.borade@saarloha.com&gt;</t>
  </si>
  <si>
    <t>23-SAARLOHA-1T-CH-10/04/26</t>
  </si>
  <si>
    <t>invalid</t>
  </si>
  <si>
    <t>surat</t>
  </si>
  <si>
    <t>heavy duty eot cranes</t>
  </si>
  <si>
    <t>weldcare@yahoo.com</t>
  </si>
  <si>
    <t>Ghaziabad</t>
  </si>
  <si>
    <t>Industrial Pneumatic Manipulator</t>
  </si>
  <si>
    <t>KOREGOAN BHIMA</t>
  </si>
  <si>
    <r>
      <rPr>
        <u/>
        <sz val="11"/>
        <color rgb="FF1155CC"/>
        <rFont val="Calibri, sans-serif"/>
      </rPr>
      <t>m_k_jaiswal@rediffmail.com</t>
    </r>
  </si>
  <si>
    <r>
      <rPr>
        <u/>
        <sz val="11"/>
        <color rgb="FF1155CC"/>
        <rFont val="Calibri, sans-serif"/>
      </rPr>
      <t>&lt;Lakshya.Malhotra@ekamobility.com&gt;</t>
    </r>
  </si>
  <si>
    <t>Lashya Malhotra</t>
  </si>
  <si>
    <t>25-RE EKA-LCS SS-2MT</t>
  </si>
  <si>
    <t>JK Tyre</t>
  </si>
  <si>
    <t xml:space="preserve"> Mysore</t>
  </si>
  <si>
    <t>1 Ton Factory Electric Chain Hoist</t>
  </si>
  <si>
    <r>
      <rPr>
        <u/>
        <sz val="11"/>
        <color rgb="FF1155CC"/>
        <rFont val="Calibri, sans-serif"/>
      </rPr>
      <t>dbcoe.chiefeng@gmail.com</t>
    </r>
  </si>
  <si>
    <t>New Company - Prathamesh</t>
  </si>
  <si>
    <t>New Company-None</t>
  </si>
  <si>
    <t>numbermasking-inquiry-28972635</t>
  </si>
  <si>
    <t>PRESS METAL INDUSTRIES</t>
  </si>
  <si>
    <t>NASHIK</t>
  </si>
  <si>
    <r>
      <rPr>
        <u/>
        <sz val="11"/>
        <color rgb="FF1155CC"/>
        <rFont val="Calibri, sans-serif"/>
      </rPr>
      <t>nvranade@bajajauto.co.in</t>
    </r>
  </si>
  <si>
    <t>mayur@pressmetal.co.in'</t>
  </si>
  <si>
    <t>Mayur</t>
  </si>
  <si>
    <t>20-PMI- LCS SYSTEM 500KG</t>
  </si>
  <si>
    <t>Project 2.0</t>
  </si>
  <si>
    <t>CSEB</t>
  </si>
  <si>
    <t>Korba, Chhattisgarh, India</t>
  </si>
  <si>
    <t>Chhattisgarh</t>
  </si>
  <si>
    <t>Niranjan Shimpale (KPCL)' &lt;niranjan.shimpale@kirloskar.com&gt;</t>
  </si>
  <si>
    <t>Manoj</t>
  </si>
  <si>
    <t>Sri Lalitha Enterprises Industries (P) Limited</t>
  </si>
  <si>
    <t>Peddapuram</t>
  </si>
  <si>
    <t>Andhra Pradesh</t>
  </si>
  <si>
    <t>lalitharice@gmail.com</t>
  </si>
  <si>
    <t>Mr. Srinivas</t>
  </si>
  <si>
    <t>CUMMINS REFERENCE</t>
  </si>
  <si>
    <t>AHEMEDNAGAR</t>
  </si>
  <si>
    <t>Omkar</t>
  </si>
  <si>
    <t>GANESH KHOLER</t>
  </si>
  <si>
    <r>
      <rPr>
        <u/>
        <sz val="11"/>
        <color rgb="FF1155CC"/>
        <rFont val="Calibri, sans-serif"/>
      </rPr>
      <t>mayur@pressmetal.co.in'</t>
    </r>
  </si>
  <si>
    <t>Shubhadeep Dutta' &lt;shubhadeep.dutta@ekamobility.com&gt;</t>
  </si>
  <si>
    <t>Shubhadeep</t>
  </si>
  <si>
    <t>31-EML-PITHAMPUR-3TSGEOT</t>
  </si>
  <si>
    <t>BAJAJ AUTO</t>
  </si>
  <si>
    <t>Shivangi Rolling Mill Pvt. Ltd.</t>
  </si>
  <si>
    <t>Nilesh Ranade</t>
  </si>
  <si>
    <t>34-BAJAJAUTO-CRANE TRANVERSE-</t>
  </si>
  <si>
    <t>Datta Industries</t>
  </si>
  <si>
    <t>Sanoj kumar</t>
  </si>
  <si>
    <r>
      <rPr>
        <u/>
        <sz val="11"/>
        <color rgb="FF1155CC"/>
        <rFont val="Calibri, sans-serif"/>
      </rPr>
      <t>lankeshjagadale@gmail.com</t>
    </r>
  </si>
  <si>
    <t>Lankesh Arjun Jagdale</t>
  </si>
  <si>
    <t>Kirloskar Pneumatics Co Ltd</t>
  </si>
  <si>
    <t>Hadapsar</t>
  </si>
  <si>
    <t>Niranjan Shimple</t>
  </si>
  <si>
    <t>28-KPCL-SGEOT5T</t>
  </si>
  <si>
    <t>30-KPCL-WR HOIST 1T</t>
  </si>
  <si>
    <t>New Company-Akash Tapadar</t>
  </si>
  <si>
    <t>Nagaon</t>
  </si>
  <si>
    <t>Assam</t>
  </si>
  <si>
    <t>Akash Tapadar</t>
  </si>
  <si>
    <t>Nagaon,India</t>
  </si>
  <si>
    <t>New Company-Omkar</t>
  </si>
  <si>
    <t>jag.141269@gmail.com</t>
  </si>
  <si>
    <t>Wall Mounted Jib Crane of 500kg Capacity</t>
  </si>
  <si>
    <t>33-PMI-WMJC-500KG</t>
  </si>
  <si>
    <t>SHAMKUMAR Mourya</t>
  </si>
  <si>
    <t>Satara</t>
  </si>
  <si>
    <t>Orgogroup</t>
  </si>
  <si>
    <r>
      <rPr>
        <u/>
        <sz val="11"/>
        <color rgb="FF1155CC"/>
        <rFont val="Calibri, sans-serif"/>
      </rPr>
      <t>shammorya10@gmail.com</t>
    </r>
  </si>
  <si>
    <t>38-ORGO GROUP-LCS RAIL STRUCTURE</t>
  </si>
  <si>
    <r>
      <rPr>
        <u/>
        <sz val="11"/>
        <color rgb="FF1155CC"/>
        <rFont val="Calibri, sans-serif"/>
      </rPr>
      <t>store.purchase@shivangitmtbars.com</t>
    </r>
  </si>
  <si>
    <t>Suraj Rajput</t>
  </si>
  <si>
    <t>sky india</t>
  </si>
  <si>
    <r>
      <rPr>
        <u/>
        <sz val="11"/>
        <color rgb="FF1155CC"/>
        <rFont val="Calibri, sans-serif"/>
      </rPr>
      <t>sanojkr1988@gmail.com</t>
    </r>
  </si>
  <si>
    <t>Super Mack</t>
  </si>
  <si>
    <t>Meerut, Uttar Pradesh, India</t>
  </si>
  <si>
    <t>saifi.sam80@gmail.com</t>
  </si>
  <si>
    <t>Sameer</t>
  </si>
  <si>
    <t>Cummins Generator india pvt ltd</t>
  </si>
  <si>
    <t>NAGAR</t>
  </si>
  <si>
    <r>
      <rPr>
        <u/>
        <sz val="11"/>
        <color rgb="FF1155CC"/>
        <rFont val="Calibri, sans-serif"/>
      </rPr>
      <t>vaibhav.randhave@cummins.com</t>
    </r>
  </si>
  <si>
    <t>Vaibhav Randhave</t>
  </si>
  <si>
    <t>37-CGIL-HOIST</t>
  </si>
  <si>
    <t>in process</t>
  </si>
  <si>
    <t>Smodi Infrasteel Pvt. Ltd</t>
  </si>
  <si>
    <t>Jalaram Industries</t>
  </si>
  <si>
    <t>Jalgaon</t>
  </si>
  <si>
    <t>Vasai Virar</t>
  </si>
  <si>
    <r>
      <rPr>
        <u/>
        <sz val="11"/>
        <color rgb="FF1155CC"/>
        <rFont val="Calibri, sans-serif"/>
      </rPr>
      <t>kapilpatel1005@gmail.com</t>
    </r>
  </si>
  <si>
    <t>Kabir Patel</t>
  </si>
  <si>
    <t>New Company- Jagdish</t>
  </si>
  <si>
    <t>Eot cranes</t>
  </si>
  <si>
    <t>Mr Jagdish</t>
  </si>
  <si>
    <t>NEXT COOLING TECHNOLOGIES INDIA PVT LTD (NEXT COOLING)</t>
  </si>
  <si>
    <t>Surat</t>
  </si>
  <si>
    <t>SHEKHAR VISHWAKARMA</t>
  </si>
  <si>
    <r>
      <rPr>
        <u/>
        <sz val="11"/>
        <color rgb="FF1155CC"/>
        <rFont val="Calibri, sans-serif"/>
      </rPr>
      <t>Bipin@as-cti.com</t>
    </r>
  </si>
  <si>
    <t>Bipin Agnihotri</t>
  </si>
  <si>
    <t>36-NEXTCOOLING-1T JIB CRANE WITH CHAIN PULEY BLOCK &amp; FLOOR CRANE</t>
  </si>
  <si>
    <r>
      <rPr>
        <u/>
        <sz val="11"/>
        <color rgb="FF1155CC"/>
        <rFont val="Calibri, sans-serif"/>
      </rPr>
      <t>gaurav@orgogroup.in</t>
    </r>
  </si>
  <si>
    <t>Gaurav Nalawade</t>
  </si>
  <si>
    <t>Primerail infralabs pvt ltd</t>
  </si>
  <si>
    <t>Madurai</t>
  </si>
  <si>
    <t>41-CGTPL-DIS MODI AND REINSTALLATION OF JC &amp; UC</t>
  </si>
  <si>
    <r>
      <rPr>
        <u/>
        <sz val="11"/>
        <color rgb="FF1155CC"/>
        <rFont val="Calibri, sans-serif"/>
      </rPr>
      <t>nhariharan62@gmail.com</t>
    </r>
  </si>
  <si>
    <t>HARIHARAN</t>
  </si>
  <si>
    <t>38- PRIMERAIL INFRALABS -5T JC-11-04-26</t>
  </si>
  <si>
    <t>R k construction</t>
  </si>
  <si>
    <t>JENDAMARK INDIA PVT LTD.</t>
  </si>
  <si>
    <r>
      <rPr>
        <u/>
        <sz val="11"/>
        <color rgb="FF1155CC"/>
        <rFont val="Calibri, sans-serif"/>
      </rPr>
      <t>raoshebtele22@yahoo.com</t>
    </r>
  </si>
  <si>
    <t>Rao Saheb</t>
  </si>
  <si>
    <t>SANY HEAVY INDUSTRIES</t>
  </si>
  <si>
    <t>KPTCL</t>
  </si>
  <si>
    <r>
      <rPr>
        <u/>
        <sz val="11"/>
        <color rgb="FF1155CC"/>
        <rFont val="Calibri, sans-serif"/>
      </rPr>
      <t>kishor.nirmal@sanygroup.com</t>
    </r>
  </si>
  <si>
    <t>Kishor Nirmal</t>
  </si>
  <si>
    <t>34-re-SANY HEAVYINDUSTRIES-</t>
  </si>
  <si>
    <t>Shree enterprises</t>
  </si>
  <si>
    <t>Sangli</t>
  </si>
  <si>
    <t>He will confirm teh details related to HOL</t>
  </si>
  <si>
    <t>atulbhokare1@gmail.com</t>
  </si>
  <si>
    <t>Atul Bhokare</t>
  </si>
  <si>
    <t>SD Agro Solution</t>
  </si>
  <si>
    <r>
      <rPr>
        <u/>
        <sz val="11"/>
        <color rgb="FF1155CC"/>
        <rFont val="Calibri, sans-serif"/>
      </rPr>
      <t>gaurav.dare.111@gmail.om</t>
    </r>
  </si>
  <si>
    <t>Vishwkarma Enterprises</t>
  </si>
  <si>
    <t>500KG</t>
  </si>
  <si>
    <r>
      <rPr>
        <u/>
        <sz val="11"/>
        <color rgb="FF1155CC"/>
        <rFont val="Calibri, sans-serif"/>
      </rPr>
      <t>vishwakarmaenter123@gmail.com</t>
    </r>
  </si>
  <si>
    <t>Kanhaiya</t>
  </si>
  <si>
    <t>Weld Zone</t>
  </si>
  <si>
    <t>Gorakhpur</t>
  </si>
  <si>
    <r>
      <rPr>
        <u/>
        <sz val="11"/>
        <color rgb="FF1155CC"/>
        <rFont val="Calibri, sans-serif"/>
      </rPr>
      <t>weldzone2016@gmail.com</t>
    </r>
  </si>
  <si>
    <t>not receiving call</t>
  </si>
  <si>
    <t>whatsapp-inquiry-29023312</t>
  </si>
  <si>
    <t>1-TOX-RAIL Track</t>
  </si>
  <si>
    <t>Chintamani Industries</t>
  </si>
  <si>
    <r>
      <rPr>
        <u/>
        <sz val="11"/>
        <color rgb="FF1155CC"/>
        <rFont val="Calibri, sans-serif"/>
      </rPr>
      <t>gujar.pur@araiindia.com</t>
    </r>
  </si>
  <si>
    <r>
      <rPr>
        <u/>
        <sz val="11"/>
        <color rgb="FF1155CC"/>
        <rFont val="Calibri, sans-serif"/>
      </rPr>
      <t>chintamani_industries@yahoo.com</t>
    </r>
  </si>
  <si>
    <t>Raj Dhan</t>
  </si>
  <si>
    <t>75-CI-2MT-CH-HOIST-26-04-2026</t>
  </si>
  <si>
    <t>Cummins Generator Technologies Ind. Pvt. Ltd.</t>
  </si>
  <si>
    <t>Ahilyanagar</t>
  </si>
  <si>
    <t>40-DELHIVERYLTD-2T -JC</t>
  </si>
  <si>
    <t>Vaibhav Randhave' &lt;vaibhav.randhave@cummins.com&gt;</t>
  </si>
  <si>
    <t>37 -RE CGTPL-HT 1&amp; 2T</t>
  </si>
  <si>
    <t>waliaajit09@gmail.com</t>
  </si>
  <si>
    <r>
      <rPr>
        <u/>
        <sz val="11"/>
        <color rgb="FF1155CC"/>
        <rFont val="Calibri, sans-serif"/>
      </rPr>
      <t>pravin.belhekar@cummins.com</t>
    </r>
  </si>
  <si>
    <t>Pravin Belhekar</t>
  </si>
  <si>
    <t>DATTA ENTERPRISES</t>
  </si>
  <si>
    <t>New Company-kay</t>
  </si>
  <si>
    <t>shravan @dattaenterprises.com' &lt;shravan@dattaenterprises.com&gt;</t>
  </si>
  <si>
    <t>Shravan</t>
  </si>
  <si>
    <t>39-DATTA ENTERPRISES-VFD</t>
  </si>
  <si>
    <t>93702 84273</t>
  </si>
  <si>
    <r>
      <rPr>
        <u/>
        <sz val="11"/>
        <color rgb="FF1155CC"/>
        <rFont val="Calibri, sans-serif"/>
      </rPr>
      <t>Rahulp@jendamark.in</t>
    </r>
  </si>
  <si>
    <t>RAHUL PARTHE</t>
  </si>
  <si>
    <t>42-JIL-1T JC-15-04-26</t>
  </si>
  <si>
    <t>Mysuru</t>
  </si>
  <si>
    <t>Bihar</t>
  </si>
  <si>
    <r>
      <rPr>
        <u/>
        <sz val="11"/>
        <color rgb="FF1155CC"/>
        <rFont val="Calibri, sans-serif"/>
      </rPr>
      <t>yoganna75@gmail.com</t>
    </r>
  </si>
  <si>
    <t>Yoganna</t>
  </si>
  <si>
    <t>LIFTSAFE CRANES INDIA PVT. LTD</t>
  </si>
  <si>
    <t>Led operator Amit</t>
  </si>
  <si>
    <t>45-/LIFESAFE-LCS-17/04/26</t>
  </si>
  <si>
    <t>Maventratech Solutions Private Limited</t>
  </si>
  <si>
    <t>Anandan Mala</t>
  </si>
  <si>
    <r>
      <rPr>
        <u/>
        <sz val="11"/>
        <color rgb="FF1155CC"/>
        <rFont val="Calibri, sans-serif"/>
      </rPr>
      <t>maventratech@gmail.com</t>
    </r>
  </si>
  <si>
    <t>MSPL</t>
  </si>
  <si>
    <t>Sachin Daphal</t>
  </si>
  <si>
    <t>Shaurya Electricals</t>
  </si>
  <si>
    <r>
      <rPr>
        <u/>
        <sz val="11"/>
        <color rgb="FF1155CC"/>
        <rFont val="Calibri, sans-serif"/>
      </rPr>
      <t>arundatkhil@gmail.com</t>
    </r>
  </si>
  <si>
    <t>Arun Shivajirao Datkhil</t>
  </si>
  <si>
    <t>TOX® PRESSOTECHNIK (INDIA) PVT. LTD.</t>
  </si>
  <si>
    <t>NOT AVAILABLE</t>
  </si>
  <si>
    <r>
      <rPr>
        <u/>
        <sz val="11"/>
        <color rgb="FF1155CC"/>
        <rFont val="Calibri, sans-serif"/>
      </rPr>
      <t>VShinde@tox-in.com</t>
    </r>
  </si>
  <si>
    <t>Vinodkumar Shinde</t>
  </si>
  <si>
    <t>110-TOX-SSLCS</t>
  </si>
  <si>
    <t>Revised offer shared 24/04</t>
  </si>
  <si>
    <t>numbermasking-inquiry-26767078</t>
  </si>
  <si>
    <r>
      <rPr>
        <u/>
        <sz val="11"/>
        <color rgb="FF1155CC"/>
        <rFont val="Calibri, sans-serif"/>
      </rPr>
      <t>ASuryawanshi@tox-in.com</t>
    </r>
  </si>
  <si>
    <t>Akash Suryawanshi</t>
  </si>
  <si>
    <t>sauradip06@gmail.com</t>
  </si>
  <si>
    <t>43-TOX-ECH 500kg -15-04-26</t>
  </si>
  <si>
    <t>Automotive Research Association of India, ARAI</t>
  </si>
  <si>
    <r>
      <rPr>
        <u/>
        <sz val="11"/>
        <color rgb="FF1155CC"/>
        <rFont val="Calibri, sans-serif"/>
      </rPr>
      <t>mechanize_ind@yahoo.com</t>
    </r>
  </si>
  <si>
    <t>Manish T. Gujar</t>
  </si>
  <si>
    <t>DELHIVERY LTD</t>
  </si>
  <si>
    <t>ANDHERI MUMBAI</t>
  </si>
  <si>
    <t>UNITED TECNOMECH</t>
  </si>
  <si>
    <t>Gaurav Singh' &lt;gaurav.singh15@delhivery.com&gt;</t>
  </si>
  <si>
    <t>Gaurav Singh</t>
  </si>
  <si>
    <t>Jup engg works</t>
  </si>
  <si>
    <t>Jalandhar</t>
  </si>
  <si>
    <t>Atharva Enterprises_Sales &lt;sales@aenterprises.co.in&gt;</t>
  </si>
  <si>
    <t>Ajit walia</t>
  </si>
  <si>
    <t>New Company-Gajraj Jangid</t>
  </si>
  <si>
    <t>Ajmer</t>
  </si>
  <si>
    <t>bogdadmohammed@gmail.com</t>
  </si>
  <si>
    <t>Gajraj Jangid</t>
  </si>
  <si>
    <t>Singapore</t>
  </si>
  <si>
    <t>Kishore MAHENDRAN</t>
  </si>
  <si>
    <t>kay</t>
  </si>
  <si>
    <t>numbermasking-inquiry-29100605</t>
  </si>
  <si>
    <t>Pneumatic Manipulator</t>
  </si>
  <si>
    <t>Raj Indusrries ,</t>
  </si>
  <si>
    <t>Vishal Ravula</t>
  </si>
  <si>
    <r>
      <rPr>
        <u/>
        <sz val="11"/>
        <color rgb="FF1155CC"/>
        <rFont val="Calibri, sans-serif"/>
      </rPr>
      <t xml:space="preserve">rajindustries@msn.com , </t>
    </r>
    <r>
      <rPr>
        <sz val="11"/>
        <rFont val="Calibri, sans-serif"/>
      </rPr>
      <t xml:space="preserve">
 info@rajindustries.org</t>
    </r>
  </si>
  <si>
    <t>Namrata More</t>
  </si>
  <si>
    <t>46-RAJINDUS-EOT</t>
  </si>
  <si>
    <t>suman</t>
  </si>
  <si>
    <t>Nalanda</t>
  </si>
  <si>
    <t>NOT RECEIVED</t>
  </si>
  <si>
    <t>sumanengworks@gmail.com</t>
  </si>
  <si>
    <t>Suman kumar</t>
  </si>
  <si>
    <t>whatsapp-inquiry-29057890</t>
  </si>
  <si>
    <t>54-R2- ABW-5T JC-26-4-2026</t>
  </si>
  <si>
    <t>Home requirements</t>
  </si>
  <si>
    <t>Vellore</t>
  </si>
  <si>
    <t>Mr. Muljibhai Patel</t>
  </si>
  <si>
    <t>vaijayanthimala@gmail.com</t>
  </si>
  <si>
    <t>MAHAMAYA FOUNDRY &amp; ENGG. WORKS</t>
  </si>
  <si>
    <t>Batala</t>
  </si>
  <si>
    <t>Frunteck</t>
  </si>
  <si>
    <t>mahamaya1228@gmail.com</t>
  </si>
  <si>
    <t>Mr Navneet</t>
  </si>
  <si>
    <t>MMP Industries Limited</t>
  </si>
  <si>
    <t>Nagpur</t>
  </si>
  <si>
    <t>Bellary</t>
  </si>
  <si>
    <r>
      <rPr>
        <u/>
        <sz val="11"/>
        <color rgb="FF1155CC"/>
        <rFont val="Calibri, sans-serif"/>
      </rPr>
      <t>krunal.karande@gmail.com</t>
    </r>
  </si>
  <si>
    <t>Krunal Karande</t>
  </si>
  <si>
    <t>Nashik</t>
  </si>
  <si>
    <t>New company -Shilpa</t>
  </si>
  <si>
    <t>Ganesh</t>
  </si>
  <si>
    <t>Jaunpur</t>
  </si>
  <si>
    <t>Vitin</t>
  </si>
  <si>
    <t>Uday Dhavale</t>
  </si>
  <si>
    <t>numbermasking-inquiry-29108020</t>
  </si>
  <si>
    <t>anil kodag</t>
  </si>
  <si>
    <t>R S TRADELINK</t>
  </si>
  <si>
    <t>West Bengal</t>
  </si>
  <si>
    <t>inamulismailwala@gmail.com</t>
  </si>
  <si>
    <t>sauradip dey</t>
  </si>
  <si>
    <t>Ramkala Manufacturer</t>
  </si>
  <si>
    <t>Sachin Patel</t>
  </si>
  <si>
    <t>Umesh S. Nandgaokar</t>
  </si>
  <si>
    <t>Shrinath glass</t>
  </si>
  <si>
    <t>Mr ANIL KUMAR AGRAWAL</t>
  </si>
  <si>
    <t>vijaysuryavanshi082@gmail.com</t>
  </si>
  <si>
    <t>Vijay Suryavanshi</t>
  </si>
  <si>
    <t>Electric Chain Hoist 2MT Capacity</t>
  </si>
  <si>
    <r>
      <rPr>
        <u/>
        <sz val="11"/>
        <color rgb="FF1155CC"/>
        <rFont val="Calibri, sans-serif"/>
      </rPr>
      <t>utepl@utepl.com'</t>
    </r>
  </si>
  <si>
    <t>Avinash Pednekar</t>
  </si>
  <si>
    <t>46-UNITED TECHNOMECH</t>
  </si>
  <si>
    <t>Atharva Enterprises</t>
  </si>
  <si>
    <t>SOLAR POWER</t>
  </si>
  <si>
    <t>Rakesh Sir</t>
  </si>
  <si>
    <t>57-atharvaenterprises-1T-CH</t>
  </si>
  <si>
    <t>New Company-Bogdad</t>
  </si>
  <si>
    <t>Vijayawada</t>
  </si>
  <si>
    <t>Amit K. Gautam</t>
  </si>
  <si>
    <t>Bogdad Mohammed</t>
  </si>
  <si>
    <t>New Company-Kishore MAHENDRAN</t>
  </si>
  <si>
    <t>Chennai</t>
  </si>
  <si>
    <t>77-Stacker</t>
  </si>
  <si>
    <t>United States Of America</t>
  </si>
  <si>
    <t>International</t>
  </si>
  <si>
    <r>
      <rPr>
        <u/>
        <sz val="11"/>
        <color rgb="FF1155CC"/>
        <rFont val="Calibri, sans-serif"/>
      </rPr>
      <t>ravulavishal99@gmail.com</t>
    </r>
  </si>
  <si>
    <t>Ahmedabad</t>
  </si>
  <si>
    <t>Rishi</t>
  </si>
  <si>
    <t>A K Industries</t>
  </si>
  <si>
    <t>Ahmedabadh</t>
  </si>
  <si>
    <t>Crane</t>
  </si>
  <si>
    <r>
      <rPr>
        <u/>
        <sz val="11"/>
        <color rgb="FF1155CC"/>
        <rFont val="Calibri, sans-serif"/>
      </rPr>
      <t>akindustries09@yahoo.com</t>
    </r>
  </si>
  <si>
    <t>Navghanbhai</t>
  </si>
  <si>
    <t>whatsapp-inquiry-29138482</t>
  </si>
  <si>
    <t>69-SEMI GLOIATH</t>
  </si>
  <si>
    <t>510 Army Base Workshop</t>
  </si>
  <si>
    <r>
      <rPr>
        <u/>
        <sz val="11"/>
        <color rgb="FF1155CC"/>
        <rFont val="Calibri, sans-serif"/>
      </rPr>
      <t>liftsafesales@gmail.com</t>
    </r>
  </si>
  <si>
    <r>
      <rPr>
        <u/>
        <sz val="11"/>
        <color rgb="FF1155CC"/>
        <rFont val="Calibri, sans-serif"/>
      </rPr>
      <t>mithileshmishra.181338h@gmail.com</t>
    </r>
  </si>
  <si>
    <t>Mithilesh Mishra</t>
  </si>
  <si>
    <t>Amazon Woods</t>
  </si>
  <si>
    <t>Anand</t>
  </si>
  <si>
    <t>New Company - Bhadran</t>
  </si>
  <si>
    <t>muljikpatel@gmail.com</t>
  </si>
  <si>
    <t>AUTHORITY ELECTRO FORMERS</t>
  </si>
  <si>
    <t>Karad</t>
  </si>
  <si>
    <t>New Company-Sumit Bansal</t>
  </si>
  <si>
    <t>authortyef@gmail.com</t>
  </si>
  <si>
    <t>Mr Shankar Nana Indulkar</t>
  </si>
  <si>
    <t>New Company-Vivek kale</t>
  </si>
  <si>
    <r>
      <rPr>
        <u/>
        <sz val="11"/>
        <color rgb="FF1155CC"/>
        <rFont val="Calibri, sans-serif"/>
      </rPr>
      <t>shekhar@furnteck.com</t>
    </r>
  </si>
  <si>
    <t>Shekhar Jain</t>
  </si>
  <si>
    <t>72-FURNTECK-10MT-FEPL - DG EOT</t>
  </si>
  <si>
    <t>Geeta Ice plant</t>
  </si>
  <si>
    <t>Vision &amp; Vision Pvt. Ltd</t>
  </si>
  <si>
    <t>Mr. Srinivas Kumar</t>
  </si>
  <si>
    <t>Knest Manufacturers LLP</t>
  </si>
  <si>
    <r>
      <rPr>
        <u/>
        <sz val="11"/>
        <color rgb="FF1155CC"/>
        <rFont val="Calibri, sans-serif"/>
      </rPr>
      <t>anand902830@gmail.com</t>
    </r>
  </si>
  <si>
    <t>Anand Gupta</t>
  </si>
  <si>
    <t>Bengaluru</t>
  </si>
  <si>
    <r>
      <rPr>
        <u/>
        <sz val="11"/>
        <color rgb="FF1155CC"/>
        <rFont val="Calibri, sans-serif"/>
      </rPr>
      <t>mqdanovo786@gmail.com</t>
    </r>
  </si>
  <si>
    <t>Shilpa Bhat</t>
  </si>
  <si>
    <t>New Company Uday</t>
  </si>
  <si>
    <r>
      <rPr>
        <u/>
        <sz val="11"/>
        <color rgb="FF1155CC"/>
        <rFont val="Calibri, sans-serif"/>
      </rPr>
      <t>halcyongladiator@gmail.com</t>
    </r>
  </si>
  <si>
    <t>uday.dhavale@dana.com</t>
  </si>
  <si>
    <t>New Company-anil kodag</t>
  </si>
  <si>
    <t>Manger</t>
  </si>
  <si>
    <t>New Company-Inamul Ismailwala</t>
  </si>
  <si>
    <t>Godhra</t>
  </si>
  <si>
    <t>Chowgule &amp; Company Pvt. Ltd.</t>
  </si>
  <si>
    <t>Inamul</t>
  </si>
  <si>
    <t>Patel Fabrication</t>
  </si>
  <si>
    <t>Sabarkantha</t>
  </si>
  <si>
    <t>98- Chowgule and Company Pvt. Ltd -DGEOT-15T</t>
  </si>
  <si>
    <t>Raipur Ispat Udyog</t>
  </si>
  <si>
    <t>Raipur</t>
  </si>
  <si>
    <t>Mr. Shailesh Rohella</t>
  </si>
  <si>
    <t>raipurispatudyog@gmail.com</t>
  </si>
  <si>
    <t>Shiva Amrit</t>
  </si>
  <si>
    <t>Solapur</t>
  </si>
  <si>
    <t>G P Trading</t>
  </si>
  <si>
    <r>
      <rPr>
        <u/>
        <sz val="11"/>
        <color rgb="FF1155CC"/>
        <rFont val="Calibri, sans-serif"/>
      </rPr>
      <t>shivalondhe2@gmail.com</t>
    </r>
  </si>
  <si>
    <t>Silverline</t>
  </si>
  <si>
    <t>67- G T-3200 KG-CH-PT-24-4-2026</t>
  </si>
  <si>
    <t>93232 22000</t>
  </si>
  <si>
    <r>
      <rPr>
        <u/>
        <sz val="11"/>
        <color rgb="FF1155CC"/>
        <rFont val="Calibri, sans-serif"/>
      </rPr>
      <t>saraf@silverlineintl.com</t>
    </r>
  </si>
  <si>
    <t>Saraf</t>
  </si>
  <si>
    <t>56-SME- 250kg CH-20-4-2026</t>
  </si>
  <si>
    <t>Mr. Prasad Raju</t>
  </si>
  <si>
    <r>
      <rPr>
        <u/>
        <sz val="11"/>
        <color rgb="FF1155CC"/>
        <rFont val="Calibri, sans-serif"/>
      </rPr>
      <t>ingispower2012@gmail.com</t>
    </r>
  </si>
  <si>
    <t>SSOHAM ENGINEERING</t>
  </si>
  <si>
    <t>krishnareddyreddy07754@gmail.com</t>
  </si>
  <si>
    <t>SOHAM</t>
  </si>
  <si>
    <t>Tata International Veh Pvt Ltd</t>
  </si>
  <si>
    <t>Bhavnagar</t>
  </si>
  <si>
    <t>atrikagautam@gmail.com</t>
  </si>
  <si>
    <t>63-TATAINTERNATIONAL-TRANSFER TROLLEY-4.5T</t>
  </si>
  <si>
    <t>Vishgral Industries pvt ltd</t>
  </si>
  <si>
    <t>Dnyanesh Awale</t>
  </si>
  <si>
    <t>design.vishgral@gmail.com'</t>
  </si>
  <si>
    <t>Babasaheb Virkar</t>
  </si>
  <si>
    <t>VISHWAKARMA ENGINEERS</t>
  </si>
  <si>
    <t>Shadab Kausar</t>
  </si>
  <si>
    <t>Mr. Haresh bhai Panchal</t>
  </si>
  <si>
    <t>whatsapp-inquiry-27388834</t>
  </si>
  <si>
    <t>Phagwara</t>
  </si>
  <si>
    <t>Ismail</t>
  </si>
  <si>
    <t>A2Z Industrial Solution</t>
  </si>
  <si>
    <t>Bhiwadi</t>
  </si>
  <si>
    <t>Mr. Amit Kumar Agrawal</t>
  </si>
  <si>
    <r>
      <rPr>
        <u/>
        <sz val="11"/>
        <color rgb="FF1155CC"/>
        <rFont val="Calibri, sans-serif"/>
      </rPr>
      <t>a2zbhd22@gmail.com</t>
    </r>
  </si>
  <si>
    <t>Rajesh Kumar</t>
  </si>
  <si>
    <t>Akg India Pvt. Ltd.</t>
  </si>
  <si>
    <t>68-SSE- 500kg -15-04-26</t>
  </si>
  <si>
    <t>Senthilprabhu Shanmugam</t>
  </si>
  <si>
    <r>
      <rPr>
        <u/>
        <sz val="11"/>
        <color rgb="FF1155CC"/>
        <rFont val="Calibri, sans-serif"/>
      </rPr>
      <t>scgoyal6@gmail.com</t>
    </r>
  </si>
  <si>
    <t>Creative Manufacturing Solution (I) Pvt. Ltd</t>
  </si>
  <si>
    <t>want to sell - dummy</t>
  </si>
  <si>
    <t>Mfg A &lt;mfg.a@paikane.com&gt;</t>
  </si>
  <si>
    <t>Gaurav Govekar</t>
  </si>
  <si>
    <t xml:space="preserve">in process karnataka </t>
  </si>
  <si>
    <t>Wahyu F</t>
  </si>
  <si>
    <t>95032 18504</t>
  </si>
  <si>
    <t>45-R1-LIFESAFE-CLH10 -17/04/26</t>
  </si>
  <si>
    <t>53-LIFTSAFE-C HOIST -500KG-20-4-26</t>
  </si>
  <si>
    <t>MECHATRO CRANES LLP</t>
  </si>
  <si>
    <r>
      <rPr>
        <u/>
        <sz val="11"/>
        <color rgb="FF1155CC"/>
        <rFont val="Calibri, sans-serif"/>
      </rPr>
      <t>prakash.achalkar@yahoo.com</t>
    </r>
  </si>
  <si>
    <t>Prakash Achalkar</t>
  </si>
  <si>
    <t>Kollam</t>
  </si>
  <si>
    <t>Kerala</t>
  </si>
  <si>
    <t>MUHIL SERVICE</t>
  </si>
  <si>
    <t>equinox.aswathy@gmail.com</t>
  </si>
  <si>
    <t>Mr. Bhadran</t>
  </si>
  <si>
    <t>New Delhi</t>
  </si>
  <si>
    <t>Delhi</t>
  </si>
  <si>
    <t>Shipra Hotels Limited</t>
  </si>
  <si>
    <t>Sumit Bansal</t>
  </si>
  <si>
    <t>BHOSARI</t>
  </si>
  <si>
    <t>Vivek kale</t>
  </si>
  <si>
    <t>ULTRA CORPOTECH PVT LTD</t>
  </si>
  <si>
    <t>76 - SR ENT 0.5T &amp;1T MONORAIL-24-04-26</t>
  </si>
  <si>
    <t>Kshitij Saner' &lt;ksaner@ultracorpotech.com&gt;</t>
  </si>
  <si>
    <t>KSHITJI</t>
  </si>
  <si>
    <t>60/ULTRA-SGC- 1MT</t>
  </si>
  <si>
    <t>Jamshedpur</t>
  </si>
  <si>
    <t>Jharkhand</t>
  </si>
  <si>
    <t>APR Precision Tools</t>
  </si>
  <si>
    <t>akhappyjhr@gmail.com</t>
  </si>
  <si>
    <t>ajit kumar</t>
  </si>
  <si>
    <t>Aathith Poly Pack</t>
  </si>
  <si>
    <t>Pondicherry</t>
  </si>
  <si>
    <t>Kanchipuram</t>
  </si>
  <si>
    <t>Amulya Builders</t>
  </si>
  <si>
    <t>Hyderabad</t>
  </si>
  <si>
    <t>Rajesh</t>
  </si>
  <si>
    <t>Ananta Farms</t>
  </si>
  <si>
    <t xml:space="preserve">hoist req of demag </t>
  </si>
  <si>
    <r>
      <rPr>
        <u/>
        <sz val="11"/>
        <color rgb="FF1155CC"/>
        <rFont val="Calibri, sans-serif"/>
      </rPr>
      <t>anantadesigns92@gmail.com</t>
    </r>
  </si>
  <si>
    <t>Ayush Plastindia</t>
  </si>
  <si>
    <t>Meerul</t>
  </si>
  <si>
    <t>More Enterprises</t>
  </si>
  <si>
    <t>Ayush Kumar</t>
  </si>
  <si>
    <t>Loutulim</t>
  </si>
  <si>
    <t>Goa</t>
  </si>
  <si>
    <t>Murugesan G</t>
  </si>
  <si>
    <t>desaisy.sbd@chowgule.co.in</t>
  </si>
  <si>
    <t>subhash desai</t>
  </si>
  <si>
    <t>Patil Precast</t>
  </si>
  <si>
    <t>Ganesh kolar</t>
  </si>
  <si>
    <t>Cummins Turbo Technologies Ltd.</t>
  </si>
  <si>
    <t>Sri Jasritha CNC Tech</t>
  </si>
  <si>
    <t>shailesh.rohella@cummins.com</t>
  </si>
  <si>
    <t>ELITE INDUSTRIAL SOLUTIONS</t>
  </si>
  <si>
    <r>
      <rPr>
        <u/>
        <sz val="11"/>
        <color rgb="FF1155CC"/>
        <rFont val="Calibri, sans-serif"/>
      </rPr>
      <t>naraexports786@gmail.com</t>
    </r>
  </si>
  <si>
    <r>
      <rPr>
        <u/>
        <sz val="11"/>
        <color rgb="FF1155CC"/>
        <rFont val="Calibri, sans-serif"/>
      </rPr>
      <t>eliteindl.solutions@gmail.com&gt;</t>
    </r>
  </si>
  <si>
    <t>Sameer Sable</t>
  </si>
  <si>
    <t>65-EIS-2T &amp; 5T JC-22-4-2026</t>
  </si>
  <si>
    <t>Arul Kumar</t>
  </si>
  <si>
    <r>
      <rPr>
        <u/>
        <sz val="11"/>
        <color rgb="FF1155CC"/>
        <rFont val="Calibri, sans-serif"/>
      </rPr>
      <t>parvez8185@gmail.com</t>
    </r>
  </si>
  <si>
    <t>Parvez</t>
  </si>
  <si>
    <t>Imaga Trade and Craft Pvt Ltd</t>
  </si>
  <si>
    <t>Wall Mounted Jib Crane</t>
  </si>
  <si>
    <t>Jaya Surya Sai Industries</t>
  </si>
  <si>
    <t>Visakhapatnam</t>
  </si>
  <si>
    <t>Murbad</t>
  </si>
  <si>
    <t>jayasuryasaiindustries@gmail.com</t>
  </si>
  <si>
    <t>New Company-Krishnareddy</t>
  </si>
  <si>
    <t>Channapatna</t>
  </si>
  <si>
    <t>77-VISHGRAL-STACKER-</t>
  </si>
  <si>
    <t>Mr. Krishnareddy</t>
  </si>
  <si>
    <t>Nirav</t>
  </si>
  <si>
    <t>81-BW-CRANE SCALE</t>
  </si>
  <si>
    <t>niravrathod4500@gmail.com</t>
  </si>
  <si>
    <t>Nirav rathod</t>
  </si>
  <si>
    <t>PARC ROBOTIC SYSTEMS PVT. LTD</t>
  </si>
  <si>
    <t>Navnath Gaikwad</t>
  </si>
  <si>
    <r>
      <rPr>
        <u/>
        <sz val="11"/>
        <color rgb="FF1155CC"/>
        <rFont val="Calibri, sans-serif"/>
      </rPr>
      <t>&lt;parcpurchase@parcrobotics.in&gt;</t>
    </r>
  </si>
  <si>
    <t>66-CH</t>
  </si>
  <si>
    <t>Precision Power Tech</t>
  </si>
  <si>
    <t>Bhopal</t>
  </si>
  <si>
    <t>AVINASH</t>
  </si>
  <si>
    <r>
      <rPr>
        <u/>
        <sz val="11"/>
        <color rgb="FF1155CC"/>
        <rFont val="Calibri, sans-serif"/>
      </rPr>
      <t>mdssrkhan01@gmail.com</t>
    </r>
  </si>
  <si>
    <t>83-PPT-JIBCRANE</t>
  </si>
  <si>
    <t>Prime Resorts</t>
  </si>
  <si>
    <t>.</t>
  </si>
  <si>
    <t>Mr. Paramjit Singh Khurana</t>
  </si>
  <si>
    <t>Shree Krishna Steels</t>
  </si>
  <si>
    <t>ashutosh.chougule@cummins.com</t>
  </si>
  <si>
    <t>info@krishnasteels.com</t>
  </si>
  <si>
    <t>Sri Samar Electrical</t>
  </si>
  <si>
    <r>
      <rPr>
        <u/>
        <sz val="11"/>
        <color rgb="FF1155CC"/>
        <rFont val="Calibri, sans-serif"/>
      </rPr>
      <t>sanjay.solanki1985@gmail.com</t>
    </r>
  </si>
  <si>
    <r>
      <rPr>
        <u/>
        <sz val="11"/>
        <color rgb="FF1155CC"/>
        <rFont val="Calibri, sans-serif"/>
      </rPr>
      <t>akshayaadak1234@gmail.com</t>
    </r>
  </si>
  <si>
    <t>Akshay</t>
  </si>
  <si>
    <t>Vardhaman Products</t>
  </si>
  <si>
    <t>Kolkata</t>
  </si>
  <si>
    <t>Suresh Chand Goyal</t>
  </si>
  <si>
    <t>Yashwant</t>
  </si>
  <si>
    <t>want to sell - fname want to sell - lanme</t>
  </si>
  <si>
    <t>Washer Manufacturing</t>
  </si>
  <si>
    <r>
      <rPr>
        <u/>
        <sz val="11"/>
        <color rgb="FF1155CC"/>
        <rFont val="Calibri, sans-serif"/>
      </rPr>
      <t>atharvachavan9000@gmail.com</t>
    </r>
  </si>
  <si>
    <t>whatsapp-inquiry-29187335</t>
  </si>
  <si>
    <t>91-CG POWER-SG 3MT</t>
  </si>
  <si>
    <t>Ankit Divedi'</t>
  </si>
  <si>
    <t>City Fothi</t>
  </si>
  <si>
    <t>ELECTROFAB Engineering Services Pvt. Ltd</t>
  </si>
  <si>
    <t>city.fothi@gmail.com</t>
  </si>
  <si>
    <t>Deepa Nair' &lt;purchases@electrofabcrane.com&gt;</t>
  </si>
  <si>
    <t>mohamed</t>
  </si>
  <si>
    <t>Hicool Electronic Industries</t>
  </si>
  <si>
    <t>GA STEEL TECH LLP</t>
  </si>
  <si>
    <r>
      <rPr>
        <u/>
        <sz val="11"/>
        <color rgb="FF1155CC"/>
        <rFont val="Calibri, sans-serif"/>
      </rPr>
      <t>bibhishan.tambe@gmail.com</t>
    </r>
  </si>
  <si>
    <t>Bibhishan Tambe</t>
  </si>
  <si>
    <t>77-R1-HEI-3T JC-26-4-2026</t>
  </si>
  <si>
    <t>Mala Metals</t>
  </si>
  <si>
    <t>90-GASTEEL-LCS500kg</t>
  </si>
  <si>
    <r>
      <rPr>
        <u/>
        <sz val="11"/>
        <color rgb="FF1155CC"/>
        <rFont val="Calibri, sans-serif"/>
      </rPr>
      <t>mdhawan@malavalves.com</t>
    </r>
  </si>
  <si>
    <t>Amit Dhawan</t>
  </si>
  <si>
    <t>Musiri</t>
  </si>
  <si>
    <t>single girder eot crane</t>
  </si>
  <si>
    <t>muhilservice@gmail.com</t>
  </si>
  <si>
    <t>AHEDMEDNAGAR</t>
  </si>
  <si>
    <t>Mr. Srinivasan</t>
  </si>
  <si>
    <t>numbermasking-inquiry-29206770</t>
  </si>
  <si>
    <t>92-NIKASH-JC</t>
  </si>
  <si>
    <t>NAGESH Bhardwaj</t>
  </si>
  <si>
    <t>SR ENTERPRISES</t>
  </si>
  <si>
    <t>Mr. YASH VERMA</t>
  </si>
  <si>
    <r>
      <rPr>
        <u/>
        <sz val="11"/>
        <color rgb="FF1155CC"/>
        <rFont val="Calibri, sans-serif"/>
      </rPr>
      <t>srenterprise9096@gmail.com</t>
    </r>
  </si>
  <si>
    <t>RUPESH PATIL</t>
  </si>
  <si>
    <t>Aandu pandu</t>
  </si>
  <si>
    <r>
      <rPr>
        <u/>
        <sz val="11"/>
        <color rgb="FF1155CC"/>
        <rFont val="Calibri, sans-serif"/>
      </rPr>
      <t>msstore24@gmail.com</t>
    </r>
  </si>
  <si>
    <t>ADANI</t>
  </si>
  <si>
    <t>Venkateshwar rao d</t>
  </si>
  <si>
    <r>
      <rPr>
        <u/>
        <sz val="11"/>
        <color rgb="FF1155CC"/>
        <rFont val="Calibri, sans-serif"/>
      </rPr>
      <t>Ashish.Tamrakar@adani.com</t>
    </r>
  </si>
  <si>
    <t>Ashish Tamrakar</t>
  </si>
  <si>
    <t>74-ADANI-1TJIB CRANE-</t>
  </si>
  <si>
    <t>Industrial Manipulators</t>
  </si>
  <si>
    <r>
      <rPr>
        <u/>
        <sz val="11"/>
        <color rgb="FF1155CC"/>
        <rFont val="Calibri, sans-serif"/>
      </rPr>
      <t>aprprecisiontools@gmail.com</t>
    </r>
  </si>
  <si>
    <t>Pramod</t>
  </si>
  <si>
    <t>Indo German</t>
  </si>
  <si>
    <t>S.R. Shah</t>
  </si>
  <si>
    <t>sakthi</t>
  </si>
  <si>
    <t>KOEL</t>
  </si>
  <si>
    <t>Kolhapur</t>
  </si>
  <si>
    <t>ujjawalachemicals@gmail.com</t>
  </si>
  <si>
    <t>Sunil Shinde (KOEL)' &lt;sunil.shinde@kirloskar.com&gt;</t>
  </si>
  <si>
    <t>Sunil Shinde</t>
  </si>
  <si>
    <t>87-R1- KOEL KAGAL-2MT SGEOT-28-04-2026--Revised Offer for supply of Single Girder EOT</t>
  </si>
  <si>
    <t>Leo Engineers</t>
  </si>
  <si>
    <t>Nishant Bhardwaj</t>
  </si>
  <si>
    <r>
      <rPr>
        <u/>
        <sz val="11"/>
        <color rgb="FF1155CC"/>
        <rFont val="Calibri, sans-serif"/>
      </rPr>
      <t>factory@leoengineer.com</t>
    </r>
  </si>
  <si>
    <t>Siddh Shah</t>
  </si>
  <si>
    <t>70-LEO ENG-EOT</t>
  </si>
  <si>
    <t>Jamner</t>
  </si>
  <si>
    <r>
      <rPr>
        <u/>
        <sz val="11"/>
        <color rgb="FF1155CC"/>
        <rFont val="Calibri, sans-serif"/>
      </rPr>
      <t>mahendramore004@gmail.com</t>
    </r>
  </si>
  <si>
    <t>Mahendra More</t>
  </si>
  <si>
    <t>He will call back</t>
  </si>
  <si>
    <t>Hosur</t>
  </si>
  <si>
    <t>Alphaplan Nextgen Autorobotics Pvt. Ltd.</t>
  </si>
  <si>
    <t>New Company -Naman Gupta</t>
  </si>
  <si>
    <t>Appasaheb Mane</t>
  </si>
  <si>
    <t>Naman Gupta</t>
  </si>
  <si>
    <t>EOT Cranes</t>
  </si>
  <si>
    <r>
      <rPr>
        <u/>
        <sz val="11"/>
        <color rgb="FF1155CC"/>
        <rFont val="Calibri, sans-serif"/>
      </rPr>
      <t>ckpatil.cp47@gmail.com</t>
    </r>
  </si>
  <si>
    <t>Chandrakant K Patil</t>
  </si>
  <si>
    <t>New company= Ramesh</t>
  </si>
  <si>
    <r>
      <rPr>
        <u/>
        <sz val="11"/>
        <color rgb="FF1155CC"/>
        <rFont val="Calibri, sans-serif"/>
      </rPr>
      <t>jkengg64@gmail.com</t>
    </r>
  </si>
  <si>
    <t>Jayalakshmi K</t>
  </si>
  <si>
    <t>UNIQUE AUTOMATION &amp; ENGINEERING</t>
  </si>
  <si>
    <t>Uflex...</t>
  </si>
  <si>
    <t>NEHA</t>
  </si>
  <si>
    <t>Ak Services</t>
  </si>
  <si>
    <t>Karur</t>
  </si>
  <si>
    <t>Rakesh Varane</t>
  </si>
  <si>
    <r>
      <rPr>
        <u/>
        <sz val="11"/>
        <color rgb="FF1155CC"/>
        <rFont val="Calibri, sans-serif"/>
      </rPr>
      <t>sreekumaraninterior2020@gmail.com</t>
    </r>
  </si>
  <si>
    <t>Jalore</t>
  </si>
  <si>
    <t>78-ENDO-LCSSS</t>
  </si>
  <si>
    <t>crane smith</t>
  </si>
  <si>
    <t>82-ENDO-JC, SS, MN</t>
  </si>
  <si>
    <t>MECC ALTE INDIA PRIVATE LIMITED</t>
  </si>
  <si>
    <r>
      <rPr>
        <u/>
        <sz val="10"/>
        <color rgb="FF1155CC"/>
        <rFont val="Calibri, sans-serif"/>
      </rPr>
      <t>PATIL.DIKESH@mahindra.com</t>
    </r>
  </si>
  <si>
    <r>
      <rPr>
        <u/>
        <sz val="11"/>
        <color rgb="FF1155CC"/>
        <rFont val="Calibri, sans-serif"/>
      </rPr>
      <t>vishnu.rathod@meccalte.in</t>
    </r>
  </si>
  <si>
    <t>Vishnu</t>
  </si>
  <si>
    <t>20-R2-MECCALTE-1T,2T &amp; 0.5T CH</t>
  </si>
  <si>
    <t>RAIGAD STEEL AND ROLLFORM PVT LTD</t>
  </si>
  <si>
    <t>Double Girder EOT Cranes</t>
  </si>
  <si>
    <r>
      <rPr>
        <u/>
        <sz val="11"/>
        <color rgb="FF1155CC"/>
        <rFont val="Calibri, sans-serif"/>
      </rPr>
      <t>jag.141269@gmail.com'</t>
    </r>
  </si>
  <si>
    <t>73-Raigad -crab-5T 10T</t>
  </si>
  <si>
    <t>VISHGRAL INDUSTRIES PVT LTD</t>
  </si>
  <si>
    <t>Rjinfra structure</t>
  </si>
  <si>
    <r>
      <rPr>
        <u/>
        <sz val="11"/>
        <color rgb="FF1155CC"/>
        <rFont val="Calibri, sans-serif"/>
      </rPr>
      <t>design.vishgral@gmail.com'</t>
    </r>
  </si>
  <si>
    <t>Purchased at 35K</t>
  </si>
  <si>
    <t>Bharain Work shop</t>
  </si>
  <si>
    <t>harvinder@tangerineresorts.com</t>
  </si>
  <si>
    <r>
      <rPr>
        <u/>
        <sz val="11"/>
        <color rgb="FF1155CC"/>
        <rFont val="Calibri, sans-serif"/>
      </rPr>
      <t>gk@bwcbah.com</t>
    </r>
  </si>
  <si>
    <t>Ganesh Kelkar</t>
  </si>
  <si>
    <t>DELVAL FLOW CONTROLS INDIA</t>
  </si>
  <si>
    <t>Shirval</t>
  </si>
  <si>
    <r>
      <rPr>
        <u/>
        <sz val="11"/>
        <color rgb="FF1155CC"/>
        <rFont val="Calibri, sans-serif"/>
      </rPr>
      <t>sblmeeena@gmail.com</t>
    </r>
  </si>
  <si>
    <t>&lt;ngaikwad@delvalflow.com&gt;</t>
  </si>
  <si>
    <t>30/Delval-Transfertrolley-17/03/26</t>
  </si>
  <si>
    <t>M/S MISPI</t>
  </si>
  <si>
    <t>prabu@mispi.co.in</t>
  </si>
  <si>
    <t>P Prabu</t>
  </si>
  <si>
    <t>New Company-AVINASH</t>
  </si>
  <si>
    <t>Pawan Kumar</t>
  </si>
  <si>
    <t>numbermasking-inquiry- 22776118</t>
  </si>
  <si>
    <t>Dhubri</t>
  </si>
  <si>
    <t>S. G. Controls</t>
  </si>
  <si>
    <r>
      <rPr>
        <u/>
        <sz val="11"/>
        <color rgb="FF1155CC"/>
        <rFont val="Calibri, sans-serif"/>
      </rPr>
      <t>yogesh@devankitpower.com</t>
    </r>
  </si>
  <si>
    <r>
      <rPr>
        <u/>
        <sz val="11"/>
        <color rgb="FF1155CC"/>
        <rFont val="Calibri, sans-serif"/>
      </rPr>
      <t>hr@sgcontrol.net</t>
    </r>
  </si>
  <si>
    <t>BHARAIN</t>
  </si>
  <si>
    <t>Indore</t>
  </si>
  <si>
    <t>83-BHARAIN-CPB</t>
  </si>
  <si>
    <t>MB</t>
  </si>
  <si>
    <t>866 994 6189</t>
  </si>
  <si>
    <t>Ashutosh Chougule</t>
  </si>
  <si>
    <t>84- R2-CGTIPL-RRC -12-May-26</t>
  </si>
  <si>
    <t>Manjalpur</t>
  </si>
  <si>
    <t>Sanjay Solanki</t>
  </si>
  <si>
    <t>revised quotation shared</t>
  </si>
  <si>
    <t>R V Cranes And Heavy Lift Movers</t>
  </si>
  <si>
    <t>Tiruchirappalli</t>
  </si>
  <si>
    <r>
      <rPr>
        <u/>
        <sz val="11"/>
        <color rgb="FF1155CC"/>
        <rFont val="Calibri, sans-serif"/>
      </rPr>
      <t>purchase2@techexpertindia.com</t>
    </r>
  </si>
  <si>
    <t>rvcraneservice@gmail.com</t>
  </si>
  <si>
    <t>Mr. senthil kumar</t>
  </si>
  <si>
    <t>Shri Shakti Industries</t>
  </si>
  <si>
    <r>
      <rPr>
        <u/>
        <sz val="11"/>
        <color rgb="FF1155CC"/>
        <rFont val="Calibri, sans-serif"/>
      </rPr>
      <t>yashawantp756@gmail.com</t>
    </r>
  </si>
  <si>
    <t>ALFA PRECISION TECH</t>
  </si>
  <si>
    <t>gk@bwcbah.com</t>
  </si>
  <si>
    <t>95-R1-BW-VFD-29-4-2026</t>
  </si>
  <si>
    <t>PANKAJ SAINI</t>
  </si>
  <si>
    <r>
      <rPr>
        <u/>
        <sz val="11"/>
        <color rgb="FF1155CC"/>
        <rFont val="Calibri, sans-serif"/>
      </rPr>
      <t>yogesh.sthapak@cgglobal.com</t>
    </r>
  </si>
  <si>
    <t>Yogesh</t>
  </si>
  <si>
    <t>Ms VR sales</t>
  </si>
  <si>
    <r>
      <rPr>
        <u/>
        <sz val="11"/>
        <color rgb="FF1155CC"/>
        <rFont val="Calibri, sans-serif"/>
      </rPr>
      <t>Ankit.Divedi@ekamobility.com</t>
    </r>
  </si>
  <si>
    <t>101-M&amp;M</t>
  </si>
  <si>
    <t>Charoli (Bk)</t>
  </si>
  <si>
    <t>sanjay kumar jaiswal</t>
  </si>
  <si>
    <t>Deepa nair</t>
  </si>
  <si>
    <t>96-ELECTROFAB</t>
  </si>
  <si>
    <t>MOUJE KUMBHIVALI ROAD</t>
  </si>
  <si>
    <t>Little PrincessTanvika</t>
  </si>
  <si>
    <t>90298 87944</t>
  </si>
  <si>
    <r>
      <rPr>
        <u/>
        <sz val="11"/>
        <color rgb="FF1155CC"/>
        <rFont val="Calibri, sans-serif"/>
      </rPr>
      <t>&lt;qahead.gast@gasteels.com&gt;</t>
    </r>
  </si>
  <si>
    <t>Kunal Wadekar'</t>
  </si>
  <si>
    <t>KPCL</t>
  </si>
  <si>
    <t>SASWAD</t>
  </si>
  <si>
    <t>Eversafe Electronics India Private Limited</t>
  </si>
  <si>
    <t>sachin.patil@kirloskar.com</t>
  </si>
  <si>
    <t>DSachin Patil</t>
  </si>
  <si>
    <t>86-KPCL-SASWAD-RAIL-27-4-2026</t>
  </si>
  <si>
    <t>NIKASH CNC ENGINEERS PVT. LTD</t>
  </si>
  <si>
    <t>numbermasking-inquiry-22794341</t>
  </si>
  <si>
    <t>73 87 52 56 36</t>
  </si>
  <si>
    <r>
      <rPr>
        <u/>
        <sz val="11"/>
        <color rgb="FF1155CC"/>
        <rFont val="Calibri, sans-serif"/>
      </rPr>
      <t>sales@nikashcnc.com'</t>
    </r>
  </si>
  <si>
    <t>Prashant Dongare</t>
  </si>
  <si>
    <t>floor crane req</t>
  </si>
  <si>
    <t>NTERTOUCH METAL BUILDING (P) LTD.</t>
  </si>
  <si>
    <t>intertouch_building@yahoo.co.in</t>
  </si>
  <si>
    <t>Number Masking Registration- 19321110</t>
  </si>
  <si>
    <t>Number Masking 19321110</t>
  </si>
  <si>
    <t>Raj Trading &amp; Rubber Works</t>
  </si>
  <si>
    <r>
      <rPr>
        <u/>
        <sz val="11"/>
        <color rgb="FF1155CC"/>
        <rFont val="Calibri, sans-serif"/>
      </rPr>
      <t>rajrubberworks@gmail.com</t>
    </r>
  </si>
  <si>
    <t>Raster engineers pvt. Ltd.</t>
  </si>
  <si>
    <t>Bengaluru,India</t>
  </si>
  <si>
    <t>venkudaggu@gmail.com</t>
  </si>
  <si>
    <t>SAAT Trailer Workshop Namakkal</t>
  </si>
  <si>
    <t>Namakkal</t>
  </si>
  <si>
    <t>Mr Senniappan K</t>
  </si>
  <si>
    <t>bkindustriesnkl@gmail.com</t>
  </si>
  <si>
    <t>Ragu</t>
  </si>
  <si>
    <t>CHAKAN</t>
  </si>
  <si>
    <t>125-R2-AGILOMATRIX-5MT- SG-12-May-26</t>
  </si>
  <si>
    <t>Nikhil warade</t>
  </si>
  <si>
    <t>85-R1-SANY HEAVY INDUSTRIES--SGEOT, SG &amp; JC--28-4-2026</t>
  </si>
  <si>
    <t>SYSCON</t>
  </si>
  <si>
    <r>
      <rPr>
        <u/>
        <sz val="11"/>
        <color rgb="FF1155CC"/>
        <rFont val="Calibri, sans-serif"/>
      </rPr>
      <t>syscon@batelco.com.bh</t>
    </r>
  </si>
  <si>
    <t>APRIL-JC005SV-SYSCON CO W LL</t>
  </si>
  <si>
    <t>Ujjawala Chemical And Fertilizers</t>
  </si>
  <si>
    <t>Nohar</t>
  </si>
  <si>
    <t>Hoffen Plastic</t>
  </si>
  <si>
    <t>Mr Lokesh Saharan</t>
  </si>
  <si>
    <t>whatsapp-inquiry-28935149</t>
  </si>
  <si>
    <t>Kym Auto Company</t>
  </si>
  <si>
    <t>mnija</t>
  </si>
  <si>
    <t>Clime Clone</t>
  </si>
  <si>
    <t>kHED</t>
  </si>
  <si>
    <t>nbhardwaj@caryaire.com</t>
  </si>
  <si>
    <t>Gudel India Pvt. Ltd</t>
  </si>
  <si>
    <t>NISHIKA ENTERPRISES</t>
  </si>
  <si>
    <r>
      <rPr>
        <u/>
        <sz val="11"/>
        <color rgb="FF1155CC"/>
        <rFont val="Calibri, sans-serif"/>
      </rPr>
      <t>sagar.satdive@in.gudel.com'</t>
    </r>
  </si>
  <si>
    <t>sagar</t>
  </si>
  <si>
    <t>103-GUDEL-1.5T,3.2T and 5T JC-30-4-2026</t>
  </si>
  <si>
    <t>Turbo India</t>
  </si>
  <si>
    <t>120-SAIRAMENGG-5T&amp;10TSGEOT</t>
  </si>
  <si>
    <t>turboindia@yahoo.com</t>
  </si>
  <si>
    <t>Mr. Arunachalam</t>
  </si>
  <si>
    <t>A J INDUSTRIES</t>
  </si>
  <si>
    <t>ajind1k1@gmail.com</t>
  </si>
  <si>
    <t>Mr. Arshad</t>
  </si>
  <si>
    <t>TATA AUTOCOMP</t>
  </si>
  <si>
    <r>
      <rPr>
        <u/>
        <sz val="11"/>
        <color rgb="FF1155CC"/>
        <rFont val="Calibri, sans-serif"/>
      </rPr>
      <t>appasaheb.mane@alpha-plan.in</t>
    </r>
  </si>
  <si>
    <t>100- ALPHAPLAN -2MT CA2010- HOIST -30-04-2026</t>
  </si>
  <si>
    <t>KOEL Kagal Plant</t>
  </si>
  <si>
    <r>
      <rPr>
        <u/>
        <sz val="11"/>
        <color rgb="FF1155CC"/>
        <rFont val="Calibri, sans-serif"/>
      </rPr>
      <t>achyut.jangale@kirloskar.com</t>
    </r>
  </si>
  <si>
    <t>Jangale</t>
  </si>
  <si>
    <t>99- KOEL KAGAL-2MT &amp; 5MT SGEOT</t>
  </si>
  <si>
    <t>Rourkela,India</t>
  </si>
  <si>
    <t>ramesh</t>
  </si>
  <si>
    <t>numbermasking-inquiry-22649706</t>
  </si>
  <si>
    <r>
      <rPr>
        <u/>
        <sz val="11"/>
        <color rgb="FF1155CC"/>
        <rFont val="Calibri, sans-serif"/>
      </rPr>
      <t>vmiplservice@gmail.com</t>
    </r>
  </si>
  <si>
    <t>NetraPal Singh</t>
  </si>
  <si>
    <t>No response</t>
  </si>
  <si>
    <t>Anwar Bhai</t>
  </si>
  <si>
    <t>Demag or sthal req</t>
  </si>
  <si>
    <r>
      <rPr>
        <u/>
        <sz val="11"/>
        <color rgb="FF1155CC"/>
        <rFont val="Calibri, sans-serif"/>
      </rPr>
      <t>ngaikwad@delvalflow.com</t>
    </r>
  </si>
  <si>
    <r>
      <rPr>
        <u/>
        <sz val="11"/>
        <color rgb="FF1155CC"/>
        <rFont val="Calibri, sans-serif"/>
      </rPr>
      <t>rakesh@aenterprises.co.in</t>
    </r>
  </si>
  <si>
    <t>THEIR FORMAT</t>
  </si>
  <si>
    <t>Bhopal Metro</t>
  </si>
  <si>
    <t>jitendra</t>
  </si>
  <si>
    <r>
      <rPr>
        <u/>
        <sz val="11"/>
        <color rgb="FF1155CC"/>
        <rFont val="Calibri, sans-serif"/>
      </rPr>
      <t>vishnu@cranesmith.in</t>
    </r>
  </si>
  <si>
    <t>Ishwari Engineering Solutions</t>
  </si>
  <si>
    <t>Phitech Solutions</t>
  </si>
  <si>
    <t>PATIL DIKESH'</t>
  </si>
  <si>
    <t>101-M&amp;M-250KG HOIST</t>
  </si>
  <si>
    <t>Mumbai, Maharashtra, India</t>
  </si>
  <si>
    <t>&lt;KARANJEKAR.ROHIT@mahindra.com&gt;</t>
  </si>
  <si>
    <t>KARANJEKAR ROHIT'</t>
  </si>
  <si>
    <t>102-M&amp;M-250KG &amp; 1T HOIST</t>
  </si>
  <si>
    <t>New Company-Penguin</t>
  </si>
  <si>
    <t>New Company-Sunil kumar</t>
  </si>
  <si>
    <t>Penguin</t>
  </si>
  <si>
    <t>numbermasking-inquiry-29307726</t>
  </si>
  <si>
    <t>danish931356@gmail.com</t>
  </si>
  <si>
    <t>Danish siddique</t>
  </si>
  <si>
    <t>Tangerine Resorts</t>
  </si>
  <si>
    <t>Bardez</t>
  </si>
  <si>
    <t>Wable</t>
  </si>
  <si>
    <t>Mr. harvinder singh</t>
  </si>
  <si>
    <t>whatsapp-inquiry-24586114</t>
  </si>
  <si>
    <t>Kiran Wable</t>
  </si>
  <si>
    <t>G</t>
  </si>
  <si>
    <t>BLMeena</t>
  </si>
  <si>
    <t>Jaipur, Rajasthan, India</t>
  </si>
  <si>
    <t>72838 88008</t>
  </si>
  <si>
    <t>GOOD LUCK</t>
  </si>
  <si>
    <t>131-MERINO-CH- ES4e -1MT-11-May-26</t>
  </si>
  <si>
    <r>
      <rPr>
        <u/>
        <sz val="11"/>
        <color rgb="FF1155CC"/>
        <rFont val="Calibri, sans-serif"/>
      </rPr>
      <t>storea59@goodluckindia.com'; 'jjoshi@goodluckindia.com'</t>
    </r>
  </si>
  <si>
    <t>108-GOODLUCK-7.5TDGEOT</t>
  </si>
  <si>
    <t>Paranjape Autocast Pvt. Ltd.</t>
  </si>
  <si>
    <t>D L Singh</t>
  </si>
  <si>
    <r>
      <rPr>
        <u/>
        <sz val="11"/>
        <color rgb="FF1155CC"/>
        <rFont val="Calibri, sans-serif"/>
      </rPr>
      <t>vmmahamuni@paranjapeautocast.com</t>
    </r>
  </si>
  <si>
    <t>V M Mahamuni</t>
  </si>
  <si>
    <t>109-Paranjape-GD LIFT- 4-05-2026</t>
  </si>
  <si>
    <t>Dharuhera, Haryana, India</t>
  </si>
  <si>
    <t>sachin ganpa</t>
  </si>
  <si>
    <t>109-R1-ALPHANPLAN-2MT-LCS</t>
  </si>
  <si>
    <t>Devankit Power Systems Private Limited</t>
  </si>
  <si>
    <t>Gurugram, Haryana, India</t>
  </si>
  <si>
    <t>Yogesh Sharma</t>
  </si>
  <si>
    <t>HPCL</t>
  </si>
  <si>
    <t>akshay saner</t>
  </si>
  <si>
    <r>
      <rPr>
        <u/>
        <sz val="11"/>
        <color rgb="FF1155CC"/>
        <rFont val="Calibri, sans-serif"/>
      </rPr>
      <t>telugufactsyt2001@gmail.com</t>
    </r>
  </si>
  <si>
    <t>Varthan</t>
  </si>
  <si>
    <t>Metal Impregantions I Pvt. Ltd.</t>
  </si>
  <si>
    <r>
      <rPr>
        <u/>
        <sz val="11"/>
        <color rgb="FF1155CC"/>
        <rFont val="Calibri, sans-serif"/>
      </rPr>
      <t>impdesign143@gmail.com</t>
    </r>
  </si>
  <si>
    <t>Abhishek Dimble</t>
  </si>
  <si>
    <r>
      <rPr>
        <u/>
        <sz val="11"/>
        <color rgb="FF1155CC"/>
        <rFont val="Calibri, sans-serif"/>
      </rPr>
      <t>pawanju2025@gmail.com</t>
    </r>
  </si>
  <si>
    <t>Rajdeep Automation Pvt Ltd</t>
  </si>
  <si>
    <t>satish</t>
  </si>
  <si>
    <t>84080 34623</t>
  </si>
  <si>
    <r>
      <rPr>
        <u/>
        <sz val="11"/>
        <color rgb="FF1155CC"/>
        <rFont val="Calibri, sans-serif"/>
      </rPr>
      <t>purchase@rajdeep.in</t>
    </r>
  </si>
  <si>
    <t>Ashwini Rohit</t>
  </si>
  <si>
    <t>112- Rajdeep Automation - 1T CH-04-05-2026</t>
  </si>
  <si>
    <t>Techexpert</t>
  </si>
  <si>
    <t>PUNE</t>
  </si>
  <si>
    <t>Baddi</t>
  </si>
  <si>
    <t>115-TECH-EXPERT-TROLLEY-08-05-2026</t>
  </si>
  <si>
    <t>ACCOLADE ATERLIER PVT LTD</t>
  </si>
  <si>
    <t>Mcog Engineering &amp; Fabrication Pvt. Ltd.</t>
  </si>
  <si>
    <r>
      <rPr>
        <u/>
        <sz val="11"/>
        <color rgb="FF1155CC"/>
        <rFont val="Calibri, sans-serif"/>
      </rPr>
      <t>Vinod.Accolade@gmail.com'</t>
    </r>
  </si>
  <si>
    <t>Vinod</t>
  </si>
  <si>
    <t>113-ACCOLADE- 1T JIB CANE</t>
  </si>
  <si>
    <t>Wada</t>
  </si>
  <si>
    <t>Om Gurudev Engineering And Mechanical Works</t>
  </si>
  <si>
    <r>
      <rPr>
        <u/>
        <sz val="11"/>
        <color rgb="FF1155CC"/>
        <rFont val="Calibri, sans-serif"/>
      </rPr>
      <t>erpankajsaini13@gmail.com</t>
    </r>
  </si>
  <si>
    <t>Javed</t>
  </si>
  <si>
    <t>S.R.F. Ltd.</t>
  </si>
  <si>
    <r>
      <rPr>
        <u/>
        <sz val="11"/>
        <color rgb="FF1155CC"/>
        <rFont val="Calibri, sans-serif"/>
      </rPr>
      <t>ja466330@gmail.com</t>
    </r>
  </si>
  <si>
    <t>ERRECTION REALTED WORKS</t>
  </si>
  <si>
    <t>,India</t>
  </si>
  <si>
    <t>Rk</t>
  </si>
  <si>
    <t>Vikrant</t>
  </si>
  <si>
    <t>New Company-sanjay kumar jaiswal</t>
  </si>
  <si>
    <t>Sonbhadra,India</t>
  </si>
  <si>
    <t>Windals Precision Pvt.Ltd.</t>
  </si>
  <si>
    <t>CONTACTED</t>
  </si>
  <si>
    <t>New Company-Vanita</t>
  </si>
  <si>
    <t>Nashik,India</t>
  </si>
  <si>
    <t>Kutch,India</t>
  </si>
  <si>
    <t>Vanita</t>
  </si>
  <si>
    <t>numbermasking-inquiry-29342563</t>
  </si>
  <si>
    <t>whatsapp-inquiry-29336197</t>
  </si>
  <si>
    <t>Sundargarh,India</t>
  </si>
  <si>
    <t>Achals Creations</t>
  </si>
  <si>
    <r>
      <rPr>
        <u/>
        <sz val="11"/>
        <color rgb="FF1155CC"/>
        <rFont val="Calibri, sans-serif"/>
      </rPr>
      <t>vishal.todkar1@indiamart.com</t>
    </r>
  </si>
  <si>
    <t>Vishal</t>
  </si>
  <si>
    <t>Advik Enterprises</t>
  </si>
  <si>
    <r>
      <rPr>
        <u/>
        <sz val="11"/>
        <color rgb="FF1155CC"/>
        <rFont val="Calibri, sans-serif"/>
      </rPr>
      <t>sales.advikent19@gmail.com</t>
    </r>
  </si>
  <si>
    <t>Pandit Gade Advik Enterp</t>
  </si>
  <si>
    <r>
      <rPr>
        <u/>
        <sz val="11"/>
        <color rgb="FF1155CC"/>
        <rFont val="Calibri, sans-serif"/>
      </rPr>
      <t>esipl@esipl.com</t>
    </r>
  </si>
  <si>
    <t>Vineet Singh</t>
  </si>
  <si>
    <t>JMD Enterprises</t>
  </si>
  <si>
    <t>Delhi,India</t>
  </si>
  <si>
    <t>139-ENDO-XY SS JC-16-MAY-2026</t>
  </si>
  <si>
    <t>Ashok Kumar</t>
  </si>
  <si>
    <t>Bhubaneswar,India</t>
  </si>
  <si>
    <t>Santosh Padekar</t>
  </si>
  <si>
    <t>RN TILES MACHINERY</t>
  </si>
  <si>
    <t>numbermasking-inquiry-28807004</t>
  </si>
  <si>
    <t>Accurate Gauging &amp; Instruments Pvt. Ltd.</t>
  </si>
  <si>
    <t>142- ACCURATEENGG-DGEOT-30T-22-May-26</t>
  </si>
  <si>
    <t>Pokarna Limited</t>
  </si>
  <si>
    <t>Nalgonda,India</t>
  </si>
  <si>
    <t>Amit Jadhav</t>
  </si>
  <si>
    <t>gm.works@svggranites.com</t>
  </si>
  <si>
    <t>Mr. G. Suneeth Kumar</t>
  </si>
  <si>
    <t>Shokeen roofing india</t>
  </si>
  <si>
    <t>Mr. Naveen</t>
  </si>
  <si>
    <t>Shokeen</t>
  </si>
  <si>
    <t>Kaivan Engineers</t>
  </si>
  <si>
    <t>Rakeshraut</t>
  </si>
  <si>
    <r>
      <rPr>
        <u/>
        <sz val="11"/>
        <color rgb="FF1155CC"/>
        <rFont val="Calibri, sans-serif"/>
      </rPr>
      <t>sales@kaivanengineers.com</t>
    </r>
  </si>
  <si>
    <t>Viswanath CPV</t>
  </si>
  <si>
    <t>New Company-Supriya</t>
  </si>
  <si>
    <t>Hyderabad,India</t>
  </si>
  <si>
    <t>Supriya</t>
  </si>
  <si>
    <t>PREMIER EQUIPMENTS</t>
  </si>
  <si>
    <t>Coimbatore,India</t>
  </si>
  <si>
    <t>Jaipur</t>
  </si>
  <si>
    <t>premierequip2013@gmail.com</t>
  </si>
  <si>
    <t>143- KOEL KAGAL-2MT, 6.3MT &amp; 12.5MT SGEOT-16-May-26</t>
  </si>
  <si>
    <t>132-SYSCON-SG-12-May-26</t>
  </si>
  <si>
    <t>Agilomatrix Private Limited</t>
  </si>
  <si>
    <t>PMT MACHINES LTD</t>
  </si>
  <si>
    <r>
      <rPr>
        <u/>
        <sz val="11"/>
        <color rgb="FF1155CC"/>
        <rFont val="Calibri, sans-serif"/>
      </rPr>
      <t>consultantforall@agilomatrix.com</t>
    </r>
  </si>
  <si>
    <t>DTL</t>
  </si>
  <si>
    <r>
      <rPr>
        <u/>
        <sz val="11"/>
        <color rgb="FF1155CC"/>
        <rFont val="Calibri, sans-serif"/>
      </rPr>
      <t>jsv@dtlpune.com</t>
    </r>
  </si>
  <si>
    <t>Sidharth Jain</t>
  </si>
  <si>
    <t>118-</t>
  </si>
  <si>
    <t>Gurukala Industries</t>
  </si>
  <si>
    <t>Ulhasnagar</t>
  </si>
  <si>
    <r>
      <rPr>
        <u/>
        <sz val="11"/>
        <color rgb="FF1155CC"/>
        <rFont val="Calibri, sans-serif"/>
      </rPr>
      <t>Nikhil.Chavan@tacogotion.com</t>
    </r>
  </si>
  <si>
    <r>
      <rPr>
        <u/>
        <sz val="11"/>
        <color rgb="FF1155CC"/>
        <rFont val="Calibri, sans-serif"/>
      </rPr>
      <t>hareshbasantani2612@gmail.com</t>
    </r>
  </si>
  <si>
    <t>Haresh Basantan</t>
  </si>
  <si>
    <t>126-HOFFEN</t>
  </si>
  <si>
    <t>Knh</t>
  </si>
  <si>
    <t>136- KNH-SGEOT--15-May-26</t>
  </si>
  <si>
    <t>vinotht@macrocore.in</t>
  </si>
  <si>
    <t>anjinappa V</t>
  </si>
  <si>
    <t>Maico Ventilation</t>
  </si>
  <si>
    <t>Mr. Tanmoy Sarkar</t>
  </si>
  <si>
    <t>g.sumedh@maico.co.in</t>
  </si>
  <si>
    <t>SUMEDH</t>
  </si>
  <si>
    <t>116- MAICO VENTILATION -CH 500KG-08-05-26</t>
  </si>
  <si>
    <t>New Delhi,India</t>
  </si>
  <si>
    <t>aartonspackaging07@gmail.com</t>
  </si>
  <si>
    <t>nishika.enterprises@yahoo.in</t>
  </si>
  <si>
    <t>Mr. Neeraj Garg</t>
  </si>
  <si>
    <t>Sai Ram Engg</t>
  </si>
  <si>
    <t>Saifulla</t>
  </si>
  <si>
    <t>MS Mounted Jib Crane</t>
  </si>
  <si>
    <t>shree krishna enterprises</t>
  </si>
  <si>
    <t>Electric Overhead Traveling Crane</t>
  </si>
  <si>
    <r>
      <rPr>
        <u/>
        <sz val="11"/>
        <color rgb="FF1155CC"/>
        <rFont val="Calibri, sans-serif"/>
      </rPr>
      <t>jadhavajay2211@gmail.com</t>
    </r>
  </si>
  <si>
    <t>SANJAY MARUTI JADHAV</t>
  </si>
  <si>
    <t>jangirankit811@gmail.com</t>
  </si>
  <si>
    <r>
      <rPr>
        <u/>
        <sz val="11"/>
        <color rgb="FF1155CC"/>
        <rFont val="Calibri, sans-serif"/>
      </rPr>
      <t>Prashant.Dixit@tacogotion.com</t>
    </r>
  </si>
  <si>
    <t>Ravi Sir</t>
  </si>
  <si>
    <t>122-R1-TATA AUTOCOMP-JC-1MT -08-05-2026</t>
  </si>
  <si>
    <t>tmd</t>
  </si>
  <si>
    <r>
      <rPr>
        <u/>
        <sz val="11"/>
        <color rgb="FF1155CC"/>
        <rFont val="Calibri, sans-serif"/>
      </rPr>
      <t>hrushikesh023@gmail.com</t>
    </r>
  </si>
  <si>
    <t>HRUSHIKESH DILIP SHITOLE</t>
  </si>
  <si>
    <t>VEDANT CRANES</t>
  </si>
  <si>
    <t>New Company - Anupam Makwana</t>
  </si>
  <si>
    <t>117- VEDANT CRANES -CSP2-08-05-2026</t>
  </si>
  <si>
    <t>Vinayak mineral</t>
  </si>
  <si>
    <t>New Company-Hariom Projects Pvt Ltd</t>
  </si>
  <si>
    <t>Mr. Arvind Sharma</t>
  </si>
  <si>
    <t>Vmipl</t>
  </si>
  <si>
    <t>Ashu Dubey</t>
  </si>
  <si>
    <t>Vijaymanohar Snehasis Kundu</t>
  </si>
  <si>
    <t>124- VMIPL SERVICE-1MT-CH-DH-3MTR--9-May-26</t>
  </si>
  <si>
    <t>Ashok Enterprises</t>
  </si>
  <si>
    <t>sri.balaji@swan.co.in</t>
  </si>
  <si>
    <t>Ashok Pramod Patil</t>
  </si>
  <si>
    <t>DelVal Flow Controls India Pvt Ltd.</t>
  </si>
  <si>
    <t>168-TOX-SCISSORLIFT -24-5-26</t>
  </si>
  <si>
    <t xml:space="preserve">127-DELVAL-1MT &amp; 2MT-FM-JC-11-May-26  </t>
  </si>
  <si>
    <t xml:space="preserve">Jagdish </t>
  </si>
  <si>
    <t>123- EKA MOBILITY -2MT SGEOT--9-May-26</t>
  </si>
  <si>
    <t>na</t>
  </si>
  <si>
    <t>Navi Mumbai, Maharashtra, India</t>
  </si>
  <si>
    <t>Pillar Crane</t>
  </si>
  <si>
    <t>Vikas Somaji Hajare</t>
  </si>
  <si>
    <t>New Company-Krishna Kant Yadav</t>
  </si>
  <si>
    <t>Varanasi,India</t>
  </si>
  <si>
    <t>Elite Digital Developers</t>
  </si>
  <si>
    <t>Krishna Kant Yadav</t>
  </si>
  <si>
    <t>Vadodara, Gujarat, India</t>
  </si>
  <si>
    <r>
      <rPr>
        <u/>
        <sz val="11"/>
        <color rgb="FF1155CC"/>
        <rFont val="Calibri, sans-serif"/>
      </rPr>
      <t>pawan.singhtvn@gmail.com</t>
    </r>
  </si>
  <si>
    <t>Sonali Enterprise</t>
  </si>
  <si>
    <r>
      <rPr>
        <u/>
        <sz val="11"/>
        <color rgb="FF1155CC"/>
        <rFont val="Calibri, sans-serif"/>
      </rPr>
      <t>monalicrane@gmail.com</t>
    </r>
  </si>
  <si>
    <t>Girish</t>
  </si>
  <si>
    <t>VIGU RAY</t>
  </si>
  <si>
    <t>New company-pardeep</t>
  </si>
  <si>
    <t>Bhopal,India</t>
  </si>
  <si>
    <t>pardeep</t>
  </si>
  <si>
    <t>Ghaziabad,India</t>
  </si>
  <si>
    <t>velani.metal.industries@gmail.com</t>
  </si>
  <si>
    <t>Sunil kumar</t>
  </si>
  <si>
    <t>Sri New Business</t>
  </si>
  <si>
    <t>Modification</t>
  </si>
  <si>
    <t>arryaassri@gmail.com</t>
  </si>
  <si>
    <t>Mohan</t>
  </si>
  <si>
    <t>ADIRU ENTER ENTERPRISES</t>
  </si>
  <si>
    <t>Shubham</t>
  </si>
  <si>
    <r>
      <rPr>
        <u/>
        <sz val="11"/>
        <color rgb="FF1155CC"/>
        <rFont val="Calibri, sans-serif"/>
      </rPr>
      <t>adiruenter@gmail.com</t>
    </r>
  </si>
  <si>
    <t>130-ADIRU-3MT CH-PT-11-May-26</t>
  </si>
  <si>
    <t>Adiru Enterprises</t>
  </si>
  <si>
    <t>Ranchi</t>
  </si>
  <si>
    <t>wable255@gmail.com</t>
  </si>
  <si>
    <t>Navi Mumbai</t>
  </si>
  <si>
    <t>128-ENDO- JC &amp; SS-XY-11-May-26</t>
  </si>
  <si>
    <t>129-ENDO- JC-125KG 11-May-26</t>
  </si>
  <si>
    <t>Merino India Ltd</t>
  </si>
  <si>
    <t>Mechtrotech Projects Pvt. Ltd.</t>
  </si>
  <si>
    <r>
      <rPr>
        <u/>
        <sz val="11"/>
        <color rgb="FF1155CC"/>
        <rFont val="Calibri, sans-serif"/>
      </rPr>
      <t>prahladsharma@merinoindia.com</t>
    </r>
  </si>
  <si>
    <t>Prahlad Sharma</t>
  </si>
  <si>
    <t>New Company - Dharmendra Singh</t>
  </si>
  <si>
    <t>Bulandshahar,India</t>
  </si>
  <si>
    <t>anianshraj@gmail.com</t>
  </si>
  <si>
    <t>New Company-Rajesh</t>
  </si>
  <si>
    <t>Kolkata,India</t>
  </si>
  <si>
    <t>Rescon (India) Pvt. Ltd.</t>
  </si>
  <si>
    <t>New Company-Sachin</t>
  </si>
  <si>
    <t>Akola,India</t>
  </si>
  <si>
    <t>Shirshendu Sardar</t>
  </si>
  <si>
    <t>sachinlal1978@gmail.com</t>
  </si>
  <si>
    <t>SANDEEP MACHINES PVT. LTD.</t>
  </si>
  <si>
    <t>Ludhiana,India</t>
  </si>
  <si>
    <t>sandeepjain4863@gmail.com</t>
  </si>
  <si>
    <t>Mr. Sandeep Jain</t>
  </si>
  <si>
    <t>verito engineering pvt ltd</t>
  </si>
  <si>
    <t>Gandhinagar,India</t>
  </si>
  <si>
    <t>SuRAJ</t>
  </si>
  <si>
    <t>akshay.saner@veritoengineering.com</t>
  </si>
  <si>
    <t>whatsapp-inquiry-29413696</t>
  </si>
  <si>
    <t>New Company-RAKSHITHA</t>
  </si>
  <si>
    <t>Imzad Ansari</t>
  </si>
  <si>
    <t>133- ALPHAPLAN-BUS BAR-12-May-26</t>
  </si>
  <si>
    <t>Cyrus Industrial Solutions Private Limited</t>
  </si>
  <si>
    <t>D. J. Irrigation</t>
  </si>
  <si>
    <r>
      <rPr>
        <u/>
        <sz val="11"/>
        <color rgb="FF1155CC"/>
        <rFont val="Calibri, sans-serif"/>
      </rPr>
      <t>abhishek@cyrus.co.in</t>
    </r>
  </si>
  <si>
    <t>jayasree enterprises</t>
  </si>
  <si>
    <t>Medak,India</t>
  </si>
  <si>
    <t>Ajinkya Dikey</t>
  </si>
  <si>
    <t>K. K. Enterprises</t>
  </si>
  <si>
    <t xml:space="preserve"> Noida</t>
  </si>
  <si>
    <t>Manual Jib Crane</t>
  </si>
  <si>
    <r>
      <rPr>
        <u/>
        <sz val="11"/>
        <color rgb="FF1155CC"/>
        <rFont val="Calibri, sans-serif"/>
      </rPr>
      <t>shakyakamleshkumar333@gmail.com</t>
    </r>
  </si>
  <si>
    <t>Kamlesh</t>
  </si>
  <si>
    <t>Marks Emballage Private Limited</t>
  </si>
  <si>
    <t>Himachal Pradesh</t>
  </si>
  <si>
    <t>156-HOIST-10T</t>
  </si>
  <si>
    <r>
      <rPr>
        <u/>
        <sz val="11"/>
        <color rgb="FF1155CC"/>
        <rFont val="Calibri, sans-serif"/>
      </rPr>
      <t>ck@marksgroup.in</t>
    </r>
  </si>
  <si>
    <t>Chandrakant</t>
  </si>
  <si>
    <t>Chennai,India</t>
  </si>
  <si>
    <t>New Company-sushil singh</t>
  </si>
  <si>
    <t>engineeringmecivil@gmail.com</t>
  </si>
  <si>
    <t>Eliyas</t>
  </si>
  <si>
    <t>New company-Venkataraman</t>
  </si>
  <si>
    <t>Mr. Venkataraman</t>
  </si>
  <si>
    <t>Manmad</t>
  </si>
  <si>
    <t>150-POONAWALA GROUP-1T-EOT</t>
  </si>
  <si>
    <r>
      <rPr>
        <u/>
        <sz val="11"/>
        <color rgb="FF1155CC"/>
        <rFont val="Calibri, sans-serif"/>
      </rPr>
      <t>yogesh200396049@gmail.com</t>
    </r>
  </si>
  <si>
    <t>Yogesh Ramesh Pawar</t>
  </si>
  <si>
    <t>Gummidipoondi</t>
  </si>
  <si>
    <r>
      <rPr>
        <u/>
        <sz val="11"/>
        <color rgb="FF1155CC"/>
        <rFont val="Calibri, sans-serif"/>
      </rPr>
      <t>ganesan.s@srf.com</t>
    </r>
  </si>
  <si>
    <t>Ganesan S</t>
  </si>
  <si>
    <t>whatsapp-inquiry-29393225</t>
  </si>
  <si>
    <t>162-ARMWELDERS-C HOIST-1.5T</t>
  </si>
  <si>
    <t>Wika Instruments India Pvt.Ltd.</t>
  </si>
  <si>
    <t>160-EMS-LCS/MONORAIL</t>
  </si>
  <si>
    <t>Vijay.Gurav@wika.com</t>
  </si>
  <si>
    <t>Vijay Gurav</t>
  </si>
  <si>
    <t>Isgec Heavy Engineering Ltd.</t>
  </si>
  <si>
    <r>
      <rPr>
        <u/>
        <sz val="11"/>
        <color rgb="FF1155CC"/>
        <rFont val="Calibri, sans-serif"/>
      </rPr>
      <t>deepak.rawat@windalsprecision.com</t>
    </r>
  </si>
  <si>
    <t>Deepak Raut</t>
  </si>
  <si>
    <t>Repeat PO</t>
  </si>
  <si>
    <t>Jayesh Engineering</t>
  </si>
  <si>
    <t>brijesh.patel@jsw.in</t>
  </si>
  <si>
    <t>jayeshengineering11@gmail.com</t>
  </si>
  <si>
    <t>Mr. Vijender Jangid</t>
  </si>
  <si>
    <t>khullar technical services</t>
  </si>
  <si>
    <t xml:space="preserve">Lavlesh
</t>
  </si>
  <si>
    <t>khullartech2007@rediffmail.com</t>
  </si>
  <si>
    <t>kamal deep khullar</t>
  </si>
  <si>
    <t>MEP Industries</t>
  </si>
  <si>
    <t>Vapi,India</t>
  </si>
  <si>
    <t>Imran</t>
  </si>
  <si>
    <t>nikhil@gs3engg.com</t>
  </si>
  <si>
    <t>Mr. Nikhil Upadhyay</t>
  </si>
  <si>
    <t>Manual Crane</t>
  </si>
  <si>
    <t>Dadri,India</t>
  </si>
  <si>
    <t>The Solitaire bliss</t>
  </si>
  <si>
    <t>Guwahati,India</t>
  </si>
  <si>
    <t>Sardarpur</t>
  </si>
  <si>
    <t>Mukesh</t>
  </si>
  <si>
    <t>whatsapp-inquiry-29435792</t>
  </si>
  <si>
    <t xml:space="preserve">Amit </t>
  </si>
  <si>
    <t>Life</t>
  </si>
  <si>
    <t>SAB Tech Electrical</t>
  </si>
  <si>
    <t>Superquality Fabmech Private Limited</t>
  </si>
  <si>
    <t>Dinesh Bha</t>
  </si>
  <si>
    <t>Om Cranes</t>
  </si>
  <si>
    <t>Forbes Marshall</t>
  </si>
  <si>
    <r>
      <rPr>
        <u/>
        <sz val="11"/>
        <color rgb="FF1155CC"/>
        <rFont val="Calibri, sans-serif"/>
      </rPr>
      <t>purchase1@omcranes.com</t>
    </r>
  </si>
  <si>
    <t>141-OM CRANES-CLH05 &amp; WB -16-May-26</t>
  </si>
  <si>
    <t>JCB INDIA LTD</t>
  </si>
  <si>
    <t>135-SYSCON-HMDGCR-TR -17-May-26</t>
  </si>
  <si>
    <t>Dheeraj Bhargave</t>
  </si>
  <si>
    <t>Brawn Energy</t>
  </si>
  <si>
    <t>info@brawnenergy.co.in</t>
  </si>
  <si>
    <t>165-Brawn energy-JC FM&amp; M</t>
  </si>
  <si>
    <t>Cubitronics Integrated Solution Pvt Ltd.</t>
  </si>
  <si>
    <t>naveen2joy@gmail.com</t>
  </si>
  <si>
    <t>Cybertech Engineering</t>
  </si>
  <si>
    <r>
      <rPr>
        <u/>
        <sz val="11"/>
        <color rgb="FF1155CC"/>
        <rFont val="Calibri, sans-serif"/>
      </rPr>
      <t>rakeshmraut@gmail.com</t>
    </r>
  </si>
  <si>
    <t>Delux Industrial Gases</t>
  </si>
  <si>
    <r>
      <rPr>
        <u/>
        <sz val="11"/>
        <color rgb="FF1155CC"/>
        <rFont val="Calibri, sans-serif"/>
      </rPr>
      <t>deluxeindustrialgases@gmail.com</t>
    </r>
  </si>
  <si>
    <t>Ashish Godbole</t>
  </si>
  <si>
    <t>Except Cranes and services</t>
  </si>
  <si>
    <t>173-JCBINDIALTD-7.5T EWRH</t>
  </si>
  <si>
    <t>bsrinivasarao.boyina@gmail.com</t>
  </si>
  <si>
    <t>B Srinivasa Rao</t>
  </si>
  <si>
    <t>Grewsys Technologies Pvt. Ltd.</t>
  </si>
  <si>
    <t>ramkishoroop4</t>
  </si>
  <si>
    <t>9001291972
 9358845932</t>
  </si>
  <si>
    <t>sunil@grewsys.com</t>
  </si>
  <si>
    <t xml:space="preserve">174-ENDO-SGEOT 5MT </t>
  </si>
  <si>
    <t>Material Lifting Cranes</t>
  </si>
  <si>
    <t>9822577592
 9511818504</t>
  </si>
  <si>
    <t>137-LIFTSAFE-C HOIST-1T-15-May-26</t>
  </si>
  <si>
    <t>nsd8724@gmail.com</t>
  </si>
  <si>
    <r>
      <rPr>
        <u/>
        <sz val="11"/>
        <color rgb="FF1155CC"/>
        <rFont val="Calibri, sans-serif"/>
      </rPr>
      <t>pmt_pur4@pmtmachines.com</t>
    </r>
  </si>
  <si>
    <t>Rishabh chouhan</t>
  </si>
  <si>
    <t>144-PMT-1T &amp; 2T JC-17-MAY-26</t>
  </si>
  <si>
    <t>Sbh Corpotech Private Limited</t>
  </si>
  <si>
    <r>
      <rPr>
        <u/>
        <sz val="11"/>
        <color rgb="FF1155CC"/>
        <rFont val="Calibri, sans-serif"/>
      </rPr>
      <t>sharad.hake28@gmail.com</t>
    </r>
  </si>
  <si>
    <t>Synergytech Automation Pvt Ltd.</t>
  </si>
  <si>
    <t>dhananjay.kate@synergytechs.com</t>
  </si>
  <si>
    <t>Dhananjay Kate</t>
  </si>
  <si>
    <t>shrikantjadhav15oct@gmail.com</t>
  </si>
  <si>
    <t>Nikhil Chavan</t>
  </si>
  <si>
    <t>145-TACO-1T LCS-17-MAY-2026</t>
  </si>
  <si>
    <t>weltech erectors</t>
  </si>
  <si>
    <r>
      <rPr>
        <u/>
        <sz val="11"/>
        <color rgb="FF1155CC"/>
        <rFont val="Calibri, sans-serif"/>
      </rPr>
      <t>weltech.erectors@rediffmail.com</t>
    </r>
  </si>
  <si>
    <t>Antony</t>
  </si>
  <si>
    <t>Bhilwara</t>
  </si>
  <si>
    <t>Macrocore Entech</t>
  </si>
  <si>
    <t xml:space="preserve"> Chikkarayapuram  Kundrathur</t>
  </si>
  <si>
    <t>ChemSepT Engineering Pvt. Ltd.</t>
  </si>
  <si>
    <t>Vinoth</t>
  </si>
  <si>
    <t>S.S. Engineering</t>
  </si>
  <si>
    <t>190-CHEMSEPT-7.5T EOT</t>
  </si>
  <si>
    <t>tanmoy.sse@gmail.com</t>
  </si>
  <si>
    <t>Skipper Industries Pvt Ltd</t>
  </si>
  <si>
    <t>Mumbai,India</t>
  </si>
  <si>
    <t>psewardha@gmail.com</t>
  </si>
  <si>
    <t>businesshead@skipperindustries.in</t>
  </si>
  <si>
    <t>Sanjeev Tiwari</t>
  </si>
  <si>
    <t>Aartons Packaging Industries Enterprises</t>
  </si>
  <si>
    <t>Yogesh Asmar</t>
  </si>
  <si>
    <t>Ambe Engineering</t>
  </si>
  <si>
    <t xml:space="preserve"> Nashik</t>
  </si>
  <si>
    <t>gsj@csil.in'</t>
  </si>
  <si>
    <t>ambengg8421@gmail.com</t>
  </si>
  <si>
    <t>Uttam Singh</t>
  </si>
  <si>
    <t>Chaitanya Machine Tools</t>
  </si>
  <si>
    <t>krushnakant chilka</t>
  </si>
  <si>
    <t>ajayslnk05@gmail.com</t>
  </si>
  <si>
    <t>Ajay Solanki</t>
  </si>
  <si>
    <t>TANTRA INDIA</t>
  </si>
  <si>
    <t xml:space="preserve">AS PER OLD PO </t>
  </si>
  <si>
    <t>ANKIT JANGIR</t>
  </si>
  <si>
    <t>Lachhmangarh</t>
  </si>
  <si>
    <t>Hhg industries pvt ltd</t>
  </si>
  <si>
    <t>Industrial Robotic Manipulators</t>
  </si>
  <si>
    <t>Tushar</t>
  </si>
  <si>
    <t>Indian Construction Co.</t>
  </si>
  <si>
    <t>Atharva Rakesh Varane' &lt;rakesh@aenterprises.co.in&gt;</t>
  </si>
  <si>
    <t>Mohd Arif Abbas Khatri</t>
  </si>
  <si>
    <t>JCB</t>
  </si>
  <si>
    <t>Odisha</t>
  </si>
  <si>
    <t>149-JC-1MT-FM</t>
  </si>
  <si>
    <t>Prantij,India</t>
  </si>
  <si>
    <t>186-EBNAR INDIA -10T SGEOT-30-May-26</t>
  </si>
  <si>
    <t>anupam.am533@gmail.com</t>
  </si>
  <si>
    <t>Anupam Makwana</t>
  </si>
  <si>
    <t>Ahmedabad,India</t>
  </si>
  <si>
    <t xml:space="preserve"> eot cranes</t>
  </si>
  <si>
    <t>New Company-Satyakishan Sarda</t>
  </si>
  <si>
    <t>structrehab2002@gmail.com</t>
  </si>
  <si>
    <t>Satyakishan Sarda</t>
  </si>
  <si>
    <t>Ramkumar</t>
  </si>
  <si>
    <t>Swan Defence and industries Ltd</t>
  </si>
  <si>
    <t>Sribalaji Jayakumaran</t>
  </si>
  <si>
    <t>Scissor lifter</t>
  </si>
  <si>
    <t>Rahul</t>
  </si>
  <si>
    <t>VALIANT ENGINEERS</t>
  </si>
  <si>
    <t>SITE VISIT REQ.</t>
  </si>
  <si>
    <t>valiantengineers22@gmail.com</t>
  </si>
  <si>
    <t>169-RE-VALIANTENGG-GC3T</t>
  </si>
  <si>
    <t>A M Jain &amp; Co.</t>
  </si>
  <si>
    <t>Bhusawal</t>
  </si>
  <si>
    <t>Mr. Ajay Jain</t>
  </si>
  <si>
    <t>Divya Kitchen System And Furniture</t>
  </si>
  <si>
    <t>Patancheru</t>
  </si>
  <si>
    <t>maheshkuwar1987@gmail.com</t>
  </si>
  <si>
    <t>Bengluru</t>
  </si>
  <si>
    <t xml:space="preserve">151-EKA MOBILITY </t>
  </si>
  <si>
    <t>Maur, Punjab, India</t>
  </si>
  <si>
    <t>dgmaur1939@gmail.com</t>
  </si>
  <si>
    <t>Siddheshwar Enterprises</t>
  </si>
  <si>
    <t>siddheshwardrip@gmail.com</t>
  </si>
  <si>
    <t>SNEHAL AMIT KHESE</t>
  </si>
  <si>
    <t>Turuwal Private Ltd</t>
  </si>
  <si>
    <t>Bhiwandi</t>
  </si>
  <si>
    <t>viguray6555@gmail.com</t>
  </si>
  <si>
    <t>Vandana Cables</t>
  </si>
  <si>
    <t>New Delhi, Delhi, India</t>
  </si>
  <si>
    <t>Hoist 6 m 0.5 Ton</t>
  </si>
  <si>
    <t>jeetanshashra9@gmail.com</t>
  </si>
  <si>
    <t>Velani Metal Indestries</t>
  </si>
  <si>
    <t>kirankg21@gmail.com</t>
  </si>
  <si>
    <t>Viral Velani</t>
  </si>
  <si>
    <t xml:space="preserve">Atharva Enterprises </t>
  </si>
  <si>
    <t>153-ARHAN-LCS-20-MAY-2026</t>
  </si>
  <si>
    <t>154-BOMAG-DISM &amp; REINSTALL</t>
  </si>
  <si>
    <t>Caxport</t>
  </si>
  <si>
    <t>Sundargarh</t>
  </si>
  <si>
    <t>VIJAY KUMAR</t>
  </si>
  <si>
    <t xml:space="preserve">Dhruv Enterprises </t>
  </si>
  <si>
    <t>sandipanthombre84@gmail.com</t>
  </si>
  <si>
    <t>Sandeep</t>
  </si>
  <si>
    <t>eefco metals unit 2</t>
  </si>
  <si>
    <t>abdullabala7777@gmail.com</t>
  </si>
  <si>
    <t>Ajit pramanik</t>
  </si>
  <si>
    <t>GODHANI EXPORTS LIMITED</t>
  </si>
  <si>
    <t>Kems Auto Components Limited</t>
  </si>
  <si>
    <t>MR. Pravin Godhani</t>
  </si>
  <si>
    <t>individual</t>
  </si>
  <si>
    <t>dabhi hardik</t>
  </si>
  <si>
    <t>MR Raghunath G Gangurde</t>
  </si>
  <si>
    <t>New Company - Shivansh Khare</t>
  </si>
  <si>
    <t>Mohammad Arsiwala</t>
  </si>
  <si>
    <t>Shivansh Khare</t>
  </si>
  <si>
    <t>New Company-Nirmesh</t>
  </si>
  <si>
    <t>Vadodara</t>
  </si>
  <si>
    <t>Jib Cranes</t>
  </si>
  <si>
    <t>Nirmesh</t>
  </si>
  <si>
    <t>Rara hardware</t>
  </si>
  <si>
    <t>Guwahati</t>
  </si>
  <si>
    <t>Kunwar</t>
  </si>
  <si>
    <t>620 Diamond Harbour Road</t>
  </si>
  <si>
    <t>purchase@resconindia.co.in</t>
  </si>
  <si>
    <t>Ronit LLB</t>
  </si>
  <si>
    <t>amit.engineerings@gmail.com</t>
  </si>
  <si>
    <t>Ronit</t>
  </si>
  <si>
    <t>Saheb ice House</t>
  </si>
  <si>
    <t>Karauli</t>
  </si>
  <si>
    <t>H K Consultants &amp; Engineers Private Limited</t>
  </si>
  <si>
    <t>Dinesh Kumar</t>
  </si>
  <si>
    <t xml:space="preserve">Sandeep
</t>
  </si>
  <si>
    <t>SKH MAGNA</t>
  </si>
  <si>
    <t>dheeraj.bhargave@jcb.com</t>
  </si>
  <si>
    <t xml:space="preserve">152-SKH-PLATFORM </t>
  </si>
  <si>
    <t>Yogesh Biradar</t>
  </si>
  <si>
    <t>gholvevijay@gmail.com</t>
  </si>
  <si>
    <t>Houston Group</t>
  </si>
  <si>
    <t>New company -Annapuna Roy</t>
  </si>
  <si>
    <t>houstonconstructions@gmail.com</t>
  </si>
  <si>
    <t>RAKSHITHA</t>
  </si>
  <si>
    <t>Prologic Mechatronics Pvt. Ltd</t>
  </si>
  <si>
    <t>Annapuna Roy</t>
  </si>
  <si>
    <t xml:space="preserve">167-PROLOGIC-FESTOONING ACCESSORIES-23-May-26 </t>
  </si>
  <si>
    <t>nandha.m20us@gmail.com</t>
  </si>
  <si>
    <t>Mr. Umesh Hanswani</t>
  </si>
  <si>
    <t>Electrax Mart Private Limited</t>
  </si>
  <si>
    <t>NAGPUR</t>
  </si>
  <si>
    <t>pallavipotteries@gmail.com</t>
  </si>
  <si>
    <t>swapnil8484939395@gmail.com</t>
  </si>
  <si>
    <t>Pride Sales Corp</t>
  </si>
  <si>
    <t>155-ENDO-1T &amp;500KG -M-JC</t>
  </si>
  <si>
    <t>Instor</t>
  </si>
  <si>
    <t>Faridabad,</t>
  </si>
  <si>
    <t xml:space="preserve">187-PINNACLE MOBILITY -3T SGEOT-31-May-26 </t>
  </si>
  <si>
    <t>Jendamark</t>
  </si>
  <si>
    <t>alpesh.patel0707@gmail.com</t>
  </si>
  <si>
    <t>158-JENDAMARK-HOIST -1T</t>
  </si>
  <si>
    <t>KATHIRESAN</t>
  </si>
  <si>
    <t>Virudhunagar</t>
  </si>
  <si>
    <t>Heavy Duty Eot Crane</t>
  </si>
  <si>
    <t xml:space="preserve">191-SRIRAM-LCS1T </t>
  </si>
  <si>
    <t>liftsafesales@gmail.com</t>
  </si>
  <si>
    <t>A. Ramanaiah</t>
  </si>
  <si>
    <t>New Company-Abdul Kayum</t>
  </si>
  <si>
    <t>Abdul Kayum</t>
  </si>
  <si>
    <t>New Company-Sunil</t>
  </si>
  <si>
    <t>Om Shanta Febrication</t>
  </si>
  <si>
    <t>Sunil</t>
  </si>
  <si>
    <t>sushil singh</t>
  </si>
  <si>
    <t>Next Automation</t>
  </si>
  <si>
    <t>Tiruchengode</t>
  </si>
  <si>
    <t>connect@nextautomation.co.in</t>
  </si>
  <si>
    <t>Kiran</t>
  </si>
  <si>
    <t xml:space="preserve">Punnawala </t>
  </si>
  <si>
    <t>Uttarakhand</t>
  </si>
  <si>
    <t>SAMSON INTERNATIONAL</t>
  </si>
  <si>
    <t>Wipro Pari</t>
  </si>
  <si>
    <t>Koppal,India</t>
  </si>
  <si>
    <t>157-WIPRO-JC</t>
  </si>
  <si>
    <t>halcyongladiator@gmail.com</t>
  </si>
  <si>
    <t>Arm welders</t>
  </si>
  <si>
    <t>Mr. Basavaraj S. Dambal</t>
  </si>
  <si>
    <t>application1@armwelders.com'</t>
  </si>
  <si>
    <t xml:space="preserve">Swapnil </t>
  </si>
  <si>
    <t>Anil Malviya' &lt;anil.m@ekamobility.com&gt;</t>
  </si>
  <si>
    <t>Krushna Yarabandi &lt;Krushna.Yarabandi@ekamobility.com&gt;</t>
  </si>
  <si>
    <t xml:space="preserve">krushna </t>
  </si>
  <si>
    <t>mailto:krushna.y@ekamobility.com</t>
  </si>
  <si>
    <t xml:space="preserve">Krushna </t>
  </si>
  <si>
    <t>161-EKA-MODI &amp; DISM EOT-5T</t>
  </si>
  <si>
    <t>Monorail</t>
  </si>
  <si>
    <t>197-EKA MOBILITY-6.3T SGEOT-7-Jun-26</t>
  </si>
  <si>
    <t>Ashwin Deshpande (KPCL)' &lt;ashwin.deshpande@kirloskar.com&gt;</t>
  </si>
  <si>
    <t>Yamuna Nagar</t>
  </si>
  <si>
    <t>Semi Goliath Crane</t>
  </si>
  <si>
    <t>sanjeev.verma@isgec.com</t>
  </si>
  <si>
    <t xml:space="preserve">
Sanjeev Verma</t>
  </si>
  <si>
    <t>JSW Greentech Limited</t>
  </si>
  <si>
    <t>Ramesh G</t>
  </si>
  <si>
    <t>Brijesh Patel</t>
  </si>
  <si>
    <t>163-JSW-TROLLEY-200NOS</t>
  </si>
  <si>
    <t>Lavlesh</t>
  </si>
  <si>
    <t xml:space="preserve">Ahmedabad </t>
  </si>
  <si>
    <t>Hubli,India</t>
  </si>
  <si>
    <t>Manali Enterprises</t>
  </si>
  <si>
    <t>Manali</t>
  </si>
  <si>
    <t>164-MANALI-1T JC-FM&amp; M</t>
  </si>
  <si>
    <t>New Company-Imran</t>
  </si>
  <si>
    <t>Vinay Mali</t>
  </si>
  <si>
    <t>R S Packaging</t>
  </si>
  <si>
    <t>Bhor</t>
  </si>
  <si>
    <t>mangeshshete133@gmail.com</t>
  </si>
  <si>
    <t>Mangesh Shivaji Shete</t>
  </si>
  <si>
    <t>shopping_inquiry_29565448</t>
  </si>
  <si>
    <t>TATA INTERNATIONAL VEH PVT LTD</t>
  </si>
  <si>
    <t>8600-120-115</t>
  </si>
  <si>
    <t>Sandip Shinde' &lt;sandip.shinde@tatainternational.com&gt;</t>
  </si>
  <si>
    <t>159-TIVPL-4.5T-23-04-26</t>
  </si>
  <si>
    <t>Akshith</t>
  </si>
  <si>
    <t>superquality.fabmechpvtltd@gmail.com</t>
  </si>
  <si>
    <t>Afroj Sutar</t>
  </si>
  <si>
    <t>M. P. INDUSTRIES</t>
  </si>
  <si>
    <t xml:space="preserve"> &lt;sbelambe@forbesmarshall.com&gt;</t>
  </si>
  <si>
    <t xml:space="preserve">Sachin Belambe </t>
  </si>
  <si>
    <t>175-FORBESMARSHALL-JC-</t>
  </si>
  <si>
    <t>CHakan</t>
  </si>
  <si>
    <t>Amol</t>
  </si>
  <si>
    <t>dheeraj.bhargave@JCB.com</t>
  </si>
  <si>
    <t xml:space="preserve">176-JCBINDIA-EOT MODI </t>
  </si>
  <si>
    <t>jiib</t>
  </si>
  <si>
    <t>sanjibkotal19@gmail.com</t>
  </si>
  <si>
    <t>Sanjib Kotal</t>
  </si>
  <si>
    <t>Santy Store</t>
  </si>
  <si>
    <t>Kalyan</t>
  </si>
  <si>
    <t>shreejicorporation@hotmail.com</t>
  </si>
  <si>
    <t>santosh@thesleepcompany.in</t>
  </si>
  <si>
    <t>Santy Khedkar</t>
  </si>
  <si>
    <t>Suraj Deepak</t>
  </si>
  <si>
    <t>reshma111mkp@gmail.com</t>
  </si>
  <si>
    <t>Barnamay</t>
  </si>
  <si>
    <t>Paschim Midnapore</t>
  </si>
  <si>
    <t>200-SRIRAMENGG-LCS 500KG</t>
  </si>
  <si>
    <t>J P Industries</t>
  </si>
  <si>
    <t>jpindustriesgroup@gmail.com</t>
  </si>
  <si>
    <t>Sooraj Singh Rajpoot Senger</t>
  </si>
  <si>
    <t>Unitoz Enterprises</t>
  </si>
  <si>
    <t>navin.rai@jcb.com'</t>
  </si>
  <si>
    <t>Navin Rai</t>
  </si>
  <si>
    <t>MAHESH</t>
  </si>
  <si>
    <t xml:space="preserve">SHAKATIMAN </t>
  </si>
  <si>
    <t>170-shakatiman-TACKLE</t>
  </si>
  <si>
    <t>whatsapp-inquiry-28732117</t>
  </si>
  <si>
    <t>CHINDALA INDUSTRIES PRODUCTS LTD</t>
  </si>
  <si>
    <t>NEW</t>
  </si>
  <si>
    <t>180-CIPL-1TJC</t>
  </si>
  <si>
    <t xml:space="preserve">Pune </t>
  </si>
  <si>
    <t>indigenous system</t>
  </si>
  <si>
    <t>maintenanceis2023@gmail.com</t>
  </si>
  <si>
    <t>Vaibhavi FOUND Patil</t>
  </si>
  <si>
    <t>Jai Bhagwan Engineering Works</t>
  </si>
  <si>
    <t>Mr DHAKANE N. S .</t>
  </si>
  <si>
    <t>Jaycee Equipment Pvt. ltd</t>
  </si>
  <si>
    <t>METSO INDIA PVT LTD</t>
  </si>
  <si>
    <t>design@jaycee.co.in</t>
  </si>
  <si>
    <t>Miranda Engineering Works</t>
  </si>
  <si>
    <t>guruempire8889@gmail.com</t>
  </si>
  <si>
    <t>A B PATHMANAPAN</t>
  </si>
  <si>
    <t>Omega</t>
  </si>
  <si>
    <t>2 Ton Electric Hoist</t>
  </si>
  <si>
    <t>Shrikant Jadhav</t>
  </si>
  <si>
    <t>PINNACLE MOBILITY SOLUTIONS</t>
  </si>
  <si>
    <t>Shubham Shivdhari Patel</t>
  </si>
  <si>
    <t>Ajay Gunnal' &lt;ajay.dg@ekamobility.com&gt;</t>
  </si>
  <si>
    <t xml:space="preserve">AJAY GUNNAL </t>
  </si>
  <si>
    <t>171-PMS-MODI EOT-27-05-26</t>
  </si>
  <si>
    <t>Rajeev Sharma Sharma</t>
  </si>
  <si>
    <t>whatsapp-inquiry-29618544</t>
  </si>
  <si>
    <t xml:space="preserve">205-ULTRA-LCS &amp; JC -500kg </t>
  </si>
  <si>
    <t>Aravind Dandavate</t>
  </si>
  <si>
    <t xml:space="preserve">LCS System of 250kg Capacity </t>
  </si>
  <si>
    <t xml:space="preserve">Mayur </t>
  </si>
  <si>
    <t>90288 96027</t>
  </si>
  <si>
    <t>purchase@chemsept.in</t>
  </si>
  <si>
    <t>Akash Kharmate</t>
  </si>
  <si>
    <t>D HANUMANTHU</t>
  </si>
  <si>
    <t>Kurnool</t>
  </si>
  <si>
    <t>P.S.ENTERPRISES</t>
  </si>
  <si>
    <t>Wardha</t>
  </si>
  <si>
    <t>Piyush Supare</t>
  </si>
  <si>
    <t>tirupatieng2020@gmail.com</t>
  </si>
  <si>
    <t>Senthilkumar</t>
  </si>
  <si>
    <t>Merino India</t>
  </si>
  <si>
    <t>Vadordra</t>
  </si>
  <si>
    <t>172-TECHEXCPERT -MANUALTROLEY</t>
  </si>
  <si>
    <t>Venkat</t>
  </si>
  <si>
    <t>whatsapp-inquiry-29637660</t>
  </si>
  <si>
    <t>Electric chain hoists</t>
  </si>
  <si>
    <t>CONSOLIDATED SWIFT INDUSTRIES LIMITED</t>
  </si>
  <si>
    <t>Jagdishsingh Siddhu</t>
  </si>
  <si>
    <t xml:space="preserve">Ganesh </t>
  </si>
  <si>
    <t>183-R-SWIFT-WMJC-500KG</t>
  </si>
  <si>
    <t>Sgs   Trading Solutions</t>
  </si>
  <si>
    <t>178-FORBESMARSHALL-LCS1T</t>
  </si>
  <si>
    <t>VILE WEST MUMBAI</t>
  </si>
  <si>
    <t>Star Wire India Ltd Faridabad Delhi</t>
  </si>
  <si>
    <t>Aman Kumar Pandey</t>
  </si>
  <si>
    <t>Total Marine Technology</t>
  </si>
  <si>
    <t>tantrahegde@gmail.com</t>
  </si>
  <si>
    <t>182-TANTRA- ARTICULATED JC-250KG-29-May-26</t>
  </si>
  <si>
    <t>Vivek yadav</t>
  </si>
  <si>
    <t>whatsapp-inquiry-29792403</t>
  </si>
  <si>
    <t>Ananda Vitharana</t>
  </si>
  <si>
    <t>Colombo</t>
  </si>
  <si>
    <t>Gurugram</t>
  </si>
  <si>
    <t>vitharana31@gmail.com</t>
  </si>
  <si>
    <t>Ankit Shah</t>
  </si>
  <si>
    <t>ATHARVA ENTERPRISES</t>
  </si>
  <si>
    <t>prashant.gaikwad@bgauss.com</t>
  </si>
  <si>
    <t xml:space="preserve">189-ATHARVAENTERPRISES-3MT EOT </t>
  </si>
  <si>
    <t>BPS Agri Machineries</t>
  </si>
  <si>
    <t>craneindustries19@gmail.com</t>
  </si>
  <si>
    <t>p.k.rout21@gmail.com</t>
  </si>
  <si>
    <t>Prakash Kumar Singh</t>
  </si>
  <si>
    <t>EBNAR INDIA PVT LTD</t>
  </si>
  <si>
    <t>Mahendra Singha</t>
  </si>
  <si>
    <t>priyaassociatesgwl@gmail.com</t>
  </si>
  <si>
    <t>Krushna.Yarabandi@ekamobility.com</t>
  </si>
  <si>
    <t>QUOTATION REQ.</t>
  </si>
  <si>
    <t>lixil india private ltd</t>
  </si>
  <si>
    <t>Eluru</t>
  </si>
  <si>
    <t>kuditrekary@gmail.com</t>
  </si>
  <si>
    <t>preethi.babu@lixil.com</t>
  </si>
  <si>
    <t xml:space="preserve">Virgin Blunger </t>
  </si>
  <si>
    <t>Mr. Gowtham</t>
  </si>
  <si>
    <t>Bhubaneswar</t>
  </si>
  <si>
    <t>DHIRAJ DIPAK JAGTAP</t>
  </si>
  <si>
    <t>PITTI ENGINEERING LTD,</t>
  </si>
  <si>
    <t>Sambhajinagar</t>
  </si>
  <si>
    <t>kuldeepsingh12765@gmail.com</t>
  </si>
  <si>
    <t>pankaj.dhawade@pitti.in'</t>
  </si>
  <si>
    <t>Pankaj Dhawade</t>
  </si>
  <si>
    <t>181-PITTIEL-1TLCS</t>
  </si>
  <si>
    <t>Abohar</t>
  </si>
  <si>
    <t>rahuljuneja6660@gmail.com</t>
  </si>
  <si>
    <t xml:space="preserve">Raja Enterprises </t>
  </si>
  <si>
    <t>Bhosari</t>
  </si>
  <si>
    <t xml:space="preserve">Festooning System </t>
  </si>
  <si>
    <t>purchase@rajasystems.co.in</t>
  </si>
  <si>
    <t xml:space="preserve">185-RAJAENTERPRISES-FESTOON </t>
  </si>
  <si>
    <t>Rajendra</t>
  </si>
  <si>
    <t>214-TOOLCON -LITER&amp;SCISSORLIFT</t>
  </si>
  <si>
    <t>Sohill Shahh</t>
  </si>
  <si>
    <t>Mr. Sanjeev Raghavan</t>
  </si>
  <si>
    <t>Struct Rehab India Private Limited</t>
  </si>
  <si>
    <t>MR. Mayank</t>
  </si>
  <si>
    <t>sgowtham302@gmail.com</t>
  </si>
  <si>
    <t>Gowtham</t>
  </si>
  <si>
    <t xml:space="preserve">Tej Enterprises </t>
  </si>
  <si>
    <t>Jaspal Engineering Works</t>
  </si>
  <si>
    <t>184-TEJ ENTERPRISES-ECH 500KG</t>
  </si>
  <si>
    <t>Mr. BHAVIN SADARIA</t>
  </si>
  <si>
    <t>New company-  Shahajiraje</t>
  </si>
  <si>
    <t>krishna_fasteners@yahoo.com</t>
  </si>
  <si>
    <t>Om Sai Supplier</t>
  </si>
  <si>
    <t xml:space="preserve"> Vadodara</t>
  </si>
  <si>
    <t>Overhead Crane</t>
  </si>
  <si>
    <t>acp.alpesh@gmail.com</t>
  </si>
  <si>
    <t>ALPESH KUMAR</t>
  </si>
  <si>
    <t xml:space="preserve">Pinnacle mobility Solutions (Instore) </t>
  </si>
  <si>
    <t>Pendurthi</t>
  </si>
  <si>
    <t>prashant.z@instorindia.com</t>
  </si>
  <si>
    <t xml:space="preserve">Prashant </t>
  </si>
  <si>
    <t xml:space="preserve">187-PMS-3MT SGEOT </t>
  </si>
  <si>
    <t>Rhythm Soft Robotics</t>
  </si>
  <si>
    <t xml:space="preserve">Vishal </t>
  </si>
  <si>
    <t>Kiran Gaikwad</t>
  </si>
  <si>
    <t>San Pawar</t>
  </si>
  <si>
    <t>Anil Seth Delhi</t>
  </si>
  <si>
    <t>Dahanu</t>
  </si>
  <si>
    <t>Atharva Enterprises_Sales' &lt;sales@aenterprises.co.in&gt;</t>
  </si>
  <si>
    <t>193-ATHAVAENTERPRISES- 500KG JC</t>
  </si>
  <si>
    <t>Mr. Deepak Gandhi</t>
  </si>
  <si>
    <t>krushna.y@ekamobility.com</t>
  </si>
  <si>
    <t>Krushna sir</t>
  </si>
  <si>
    <t>188-EMS-TRUCKASS</t>
  </si>
  <si>
    <t>vijaykumarmourya64@gmail.com</t>
  </si>
  <si>
    <t>Abhinav</t>
  </si>
  <si>
    <t>Tirupati Engg</t>
  </si>
  <si>
    <t>Aditya Birla Group</t>
  </si>
  <si>
    <t>vigeehenry@gmail.com</t>
  </si>
  <si>
    <t>Vigee Henry</t>
  </si>
  <si>
    <t>Bala Enterprise</t>
  </si>
  <si>
    <t>Mr. Ahilan Natarajan</t>
  </si>
  <si>
    <t>Abdulla Bala</t>
  </si>
  <si>
    <t>Jagadish Prasad</t>
  </si>
  <si>
    <t>jagadishp67@gmail.com</t>
  </si>
  <si>
    <t>Hosur, Tamil Nadu, India</t>
  </si>
  <si>
    <t>crajamanickam@gmail.com</t>
  </si>
  <si>
    <t>Raja Manickam</t>
  </si>
  <si>
    <t>Muzaf Enterprise</t>
  </si>
  <si>
    <t xml:space="preserve">Vasai Virar, </t>
  </si>
  <si>
    <t>muzafrigging@gmail.com</t>
  </si>
  <si>
    <t xml:space="preserve">Sanjay </t>
  </si>
  <si>
    <t xml:space="preserve">Mumbai </t>
  </si>
  <si>
    <t>Dnyaneshwar</t>
  </si>
  <si>
    <t>SRIRAM ENGINEERING SERVICES</t>
  </si>
  <si>
    <t xml:space="preserve">sohar </t>
  </si>
  <si>
    <t>s.mirje@gmail.com</t>
  </si>
  <si>
    <t>Aditya Mirje</t>
  </si>
  <si>
    <t>syscon@batelco.com.bh</t>
  </si>
  <si>
    <t>Shah sir</t>
  </si>
  <si>
    <t>147-R1-SYSCON-MC-TR</t>
  </si>
  <si>
    <t>Transformer Repairing And Maintenance</t>
  </si>
  <si>
    <t>Latur</t>
  </si>
  <si>
    <t>jadhavprasad1165@gmail.com</t>
  </si>
  <si>
    <t>Prasad Jadhav</t>
  </si>
  <si>
    <t>Amit Engineering Systems</t>
  </si>
  <si>
    <t>Portable Crane</t>
  </si>
  <si>
    <t>Ram Shirsat</t>
  </si>
  <si>
    <t>Abdul Aziz</t>
  </si>
  <si>
    <t>AS per OLD PO</t>
  </si>
  <si>
    <t>192-CRAFTSMAN-JC 500KG</t>
  </si>
  <si>
    <t>Dhuri</t>
  </si>
  <si>
    <t>crm@hkenggs.com</t>
  </si>
  <si>
    <t>Baljit Kaur</t>
  </si>
  <si>
    <t>Mr. Sanmati Jain</t>
  </si>
  <si>
    <t xml:space="preserve">Dheeraj Bhargave </t>
  </si>
  <si>
    <t>Jeevandhara food</t>
  </si>
  <si>
    <t>Kallam</t>
  </si>
  <si>
    <t>Vijay Gholve</t>
  </si>
  <si>
    <t>electric wire rope hoist</t>
  </si>
  <si>
    <t>Sivaji</t>
  </si>
  <si>
    <t>New Company-m d sikandar</t>
  </si>
  <si>
    <t>Patna,India</t>
  </si>
  <si>
    <t>NV INFRA</t>
  </si>
  <si>
    <t>Chennai,</t>
  </si>
  <si>
    <t>New Company- Tripurari</t>
  </si>
  <si>
    <t>Nandha</t>
  </si>
  <si>
    <t>Pallavi Potteries Rebbena</t>
  </si>
  <si>
    <t xml:space="preserve"> Adilabad, </t>
  </si>
  <si>
    <t>Prash7002@gmail.com'</t>
  </si>
  <si>
    <t>Kiran Rao</t>
  </si>
  <si>
    <t>Pune,India</t>
  </si>
  <si>
    <t>ateesh.sahu@gmail.com</t>
  </si>
  <si>
    <t>m d sikandar</t>
  </si>
  <si>
    <t>Sadguru Textiles</t>
  </si>
  <si>
    <t xml:space="preserve"> Ahmedabad,</t>
  </si>
  <si>
    <t>Alpesh Kotadiya</t>
  </si>
  <si>
    <t xml:space="preserve">Shri Bhagwati </t>
  </si>
  <si>
    <t>Gangakhed</t>
  </si>
  <si>
    <t xml:space="preserve">Hydrabad </t>
  </si>
  <si>
    <t>Waseem</t>
  </si>
  <si>
    <t>sriramengineering2022@gmail.com</t>
  </si>
  <si>
    <t>Tejaswini Equipments</t>
  </si>
  <si>
    <t>Jaideep B Salunkhe' &lt;jaideep.salunkhe@cummins.com&gt;</t>
  </si>
  <si>
    <t>snaponrkp@gmail.com</t>
  </si>
  <si>
    <t>whatsapp-inquiry-29715516</t>
  </si>
  <si>
    <t>Elgi Electric Industries Limited</t>
  </si>
  <si>
    <t>MR. Ateesh  Sahu</t>
  </si>
  <si>
    <t>Chandra Shekhar</t>
  </si>
  <si>
    <t>Friends electrical engineering sales and service</t>
  </si>
  <si>
    <t>info@jprengineers.com</t>
  </si>
  <si>
    <t>M.K.Traders</t>
  </si>
  <si>
    <t>akashsolanke693@gmail.com</t>
  </si>
  <si>
    <t>Akash Solanke</t>
  </si>
  <si>
    <t>Preetam</t>
  </si>
  <si>
    <t>Mauli Traders</t>
  </si>
  <si>
    <t xml:space="preserve">Versatile engineer </t>
  </si>
  <si>
    <t>Miraj,India</t>
  </si>
  <si>
    <t>MAULI Raghunath Jangale</t>
  </si>
  <si>
    <t>whatsapp-inquiry-29620707</t>
  </si>
  <si>
    <t>Harda,India</t>
  </si>
  <si>
    <t>ashish</t>
  </si>
  <si>
    <t>Rudrapur</t>
  </si>
  <si>
    <t xml:space="preserve">Arce Polymer </t>
  </si>
  <si>
    <t>abhi_its@rediffmail.com</t>
  </si>
  <si>
    <t>Abhishek</t>
  </si>
  <si>
    <t>Asia Pacific Mineral And Energy Pvt</t>
  </si>
  <si>
    <t>252-SYSCON-SGGC5T</t>
  </si>
  <si>
    <t>praveengouda855@gmail.com</t>
  </si>
  <si>
    <t>Praveen Gouda</t>
  </si>
  <si>
    <t>DHARANI PIPES PVT. LTD.</t>
  </si>
  <si>
    <t>Discover Tooling And Precision Works</t>
  </si>
  <si>
    <t>K Mehta</t>
  </si>
  <si>
    <t>discover.tpw@rediffmail.com</t>
  </si>
  <si>
    <t>Sanjay Torkhade</t>
  </si>
  <si>
    <t>OUT SOURCE</t>
  </si>
  <si>
    <t xml:space="preserve">Anil Malviya </t>
  </si>
  <si>
    <t xml:space="preserve">196-EMS-6.3T SGEOT </t>
  </si>
  <si>
    <t xml:space="preserve">SG EOT Crane of 5MT Capacity </t>
  </si>
  <si>
    <t xml:space="preserve">198-EMS-EOT 5T </t>
  </si>
  <si>
    <t>ajay.dg@ekamobility.com</t>
  </si>
  <si>
    <t xml:space="preserve">Ajay Gunnal </t>
  </si>
  <si>
    <t xml:space="preserve">ASHWINI </t>
  </si>
  <si>
    <t>194-KPCL-5T EOT</t>
  </si>
  <si>
    <t>Niraj Agency</t>
  </si>
  <si>
    <t>torqtektools@gmail.com'</t>
  </si>
  <si>
    <t>neerajmotwani843@gmail.com</t>
  </si>
  <si>
    <t>Mr Neeraj</t>
  </si>
  <si>
    <t>Monorail Crane</t>
  </si>
  <si>
    <t>ramesh.g@pitti.in'</t>
  </si>
  <si>
    <t xml:space="preserve">195-PEL-7.5T EOT </t>
  </si>
  <si>
    <t>RND engineers</t>
  </si>
  <si>
    <t>deepu8@hotmail.com</t>
  </si>
  <si>
    <t>Deepak Pamnani</t>
  </si>
  <si>
    <t>Shantiraj Cement Products</t>
  </si>
  <si>
    <t>Alliance Auto Parts</t>
  </si>
  <si>
    <t>shantiraj.nrc@gmail.com</t>
  </si>
  <si>
    <t>Mr. Nitin  Chaknalwar</t>
  </si>
  <si>
    <t>UNITECH INDUSTRIES</t>
  </si>
  <si>
    <t>bapu.gaikwad9@gmail.com</t>
  </si>
  <si>
    <t>unitechindustrieshbl@gmail.com</t>
  </si>
  <si>
    <t>Mr. JAYAPRAKASH V. PATIL</t>
  </si>
  <si>
    <t>Sangli,</t>
  </si>
  <si>
    <t>vinaymali1495@gmail.com</t>
  </si>
  <si>
    <t>Vinaymali</t>
  </si>
  <si>
    <t>Vishwa Auto</t>
  </si>
  <si>
    <t>Anuppur,India</t>
  </si>
  <si>
    <t>P. Mahendra</t>
  </si>
  <si>
    <t>vishwautos@yahoo.in</t>
  </si>
  <si>
    <t>Mr. Jayaprakash</t>
  </si>
  <si>
    <t>Mr. Sameer Prakash Agrawal</t>
  </si>
  <si>
    <t>202-AThatvaenterprises- Jib Crane -250kg</t>
  </si>
  <si>
    <t>Endo Kagyo LTD</t>
  </si>
  <si>
    <t>kudalerajesh@gmail.com</t>
  </si>
  <si>
    <t>eki1@endo-india.co.in</t>
  </si>
  <si>
    <t>Akshay Sir</t>
  </si>
  <si>
    <t>203-ENDO-PILLAR  TYPE ARTICULATED</t>
  </si>
  <si>
    <t xml:space="preserve">Himgiri Casting  </t>
  </si>
  <si>
    <t>Arunachal Pradesh</t>
  </si>
  <si>
    <t>Nanded,India</t>
  </si>
  <si>
    <t>Maintenance Goa' &lt;maintenance.goa@himcast.in&gt;</t>
  </si>
  <si>
    <t>Mukund Mudasi</t>
  </si>
  <si>
    <t xml:space="preserve">199-Himgiri-LT EXTENSION </t>
  </si>
  <si>
    <t>Recceived</t>
  </si>
  <si>
    <t>Varanasi</t>
  </si>
  <si>
    <t>Amafhh Steels</t>
  </si>
  <si>
    <t>rajendrapal696@gmail.com</t>
  </si>
  <si>
    <t>Raj Pal</t>
  </si>
  <si>
    <t>New Company:Amol</t>
  </si>
  <si>
    <t>Pimpri</t>
  </si>
  <si>
    <t>Durgapur,</t>
  </si>
  <si>
    <t>New Company-Manmohan singh</t>
  </si>
  <si>
    <t>National Capital Territory of Delhi</t>
  </si>
  <si>
    <t>Manmohan Singh</t>
  </si>
  <si>
    <t>numbermasking-inquiry- 29766100</t>
  </si>
  <si>
    <t>mmmcompressormart@gmail.com</t>
  </si>
  <si>
    <t>Omkar Hardware</t>
  </si>
  <si>
    <t>Mahavir engineering</t>
  </si>
  <si>
    <t>omkar.hardware@yahoo.com</t>
  </si>
  <si>
    <t>Mr. Jayant phadke</t>
  </si>
  <si>
    <t>SHREEJI CORPORATION</t>
  </si>
  <si>
    <t>New Company-A r ingale</t>
  </si>
  <si>
    <t>Mr. Hemant Jasvantrai Mathuria</t>
  </si>
  <si>
    <t>Sodexo</t>
  </si>
  <si>
    <t>Shirmpur</t>
  </si>
  <si>
    <t>New company-Arun Ghotkar</t>
  </si>
  <si>
    <t>Khalid Pathan</t>
  </si>
  <si>
    <t>Hydrabad</t>
  </si>
  <si>
    <t>New Company-Gopal Dodmani</t>
  </si>
  <si>
    <t>SSA INTERNATIONAL LTD.</t>
  </si>
  <si>
    <t>rathore_mahseh87@yahoo.co.in</t>
  </si>
  <si>
    <t>mahesh  rathore</t>
  </si>
  <si>
    <t>jaywant_8311@yahoo.com</t>
  </si>
  <si>
    <t>Jaswant</t>
  </si>
  <si>
    <t>Amit Engineering Construction</t>
  </si>
  <si>
    <t>Daund</t>
  </si>
  <si>
    <t>amitengg8889@gmail.com</t>
  </si>
  <si>
    <t>Ravindra Hiranwale</t>
  </si>
  <si>
    <t>Ankur Engineering Works</t>
  </si>
  <si>
    <t>Pneumatic Industrial Manipulator</t>
  </si>
  <si>
    <t>info@ankurengineering.com</t>
  </si>
  <si>
    <t>Milind Kulkarni</t>
  </si>
  <si>
    <t>nmpramod697@gmail.com</t>
  </si>
  <si>
    <t>207-ENDO-SGEOT &amp; JC 1T</t>
  </si>
  <si>
    <t>Innovista</t>
  </si>
  <si>
    <t>SWASTIK AUTHENTIC IMPORT LLP</t>
  </si>
  <si>
    <t>innovista.purchase@gmail.com</t>
  </si>
  <si>
    <t xml:space="preserve">206-R3-INNOVISTA- 250KG-CH </t>
  </si>
  <si>
    <t xml:space="preserve">Kamal Envirotech </t>
  </si>
  <si>
    <t>pune</t>
  </si>
  <si>
    <t>veropaconsumerproducts@gmail.com</t>
  </si>
  <si>
    <t>Pankaj Sharma' &lt;purchase@kamalenvirotech.com&gt;</t>
  </si>
  <si>
    <t xml:space="preserve">Pankaj </t>
  </si>
  <si>
    <t xml:space="preserve">204-KAMALENVIROTECH-15T EOT </t>
  </si>
  <si>
    <t>Alwar</t>
  </si>
  <si>
    <t>Medankar</t>
  </si>
  <si>
    <t>Narinder K Sharma' &lt;narinder.k.sharma@metso.com&gt;</t>
  </si>
  <si>
    <t>Narinder Sharma</t>
  </si>
  <si>
    <t>201-METSO-15t &amp;20t</t>
  </si>
  <si>
    <t>R.K. Electrical Works</t>
  </si>
  <si>
    <t>Mr. Rajeev Kumar</t>
  </si>
  <si>
    <t>Shubham Metal Work</t>
  </si>
  <si>
    <t xml:space="preserve"> Ambarnath</t>
  </si>
  <si>
    <t>vermashubham588@gmail.com</t>
  </si>
  <si>
    <t>Shubhline Automation Private Limited</t>
  </si>
  <si>
    <t>Industrial Goliath Gantry Crane</t>
  </si>
  <si>
    <t>purchase2@shubhlinegroup.co.in</t>
  </si>
  <si>
    <t>Mr. Parmeshwar</t>
  </si>
  <si>
    <t xml:space="preserve">Ultra Corpotech </t>
  </si>
  <si>
    <t>Manish Patwl</t>
  </si>
  <si>
    <t>Bachav sir</t>
  </si>
  <si>
    <t>Winfast Solutions</t>
  </si>
  <si>
    <t>mayur.jagtap@winfastsolution.in'</t>
  </si>
  <si>
    <t>208-Winfastsolu-LCS SYS-250KG</t>
  </si>
  <si>
    <t>CRANE &amp; SERVICES</t>
  </si>
  <si>
    <t>Ravindra prasad</t>
  </si>
  <si>
    <t>pravinrgokhale77@gmail.com</t>
  </si>
  <si>
    <t>Mr. PRAVIN</t>
  </si>
  <si>
    <t>kedar Agency / PS Enginnering solutions</t>
  </si>
  <si>
    <t xml:space="preserve">Silverline </t>
  </si>
  <si>
    <t>zanjurne.sudhir@gmail.com</t>
  </si>
  <si>
    <t>Mr. Sudhir  Zanjurne</t>
  </si>
  <si>
    <t>KISHAN GRINDING</t>
  </si>
  <si>
    <t>Mr. Hari  Bhai</t>
  </si>
  <si>
    <t>M.I.D.C Waluj Aurangabad</t>
  </si>
  <si>
    <t>235-GATIMAN-250KG ECH</t>
  </si>
  <si>
    <t>Balasaheb More</t>
  </si>
  <si>
    <t>Kanchipuram,India</t>
  </si>
  <si>
    <t>davedhavalkumar@merinoindia.com</t>
  </si>
  <si>
    <t xml:space="preserve">Dhaval </t>
  </si>
  <si>
    <t>209-MERINO-1T JC-VACC-LIF-8-Jun-26</t>
  </si>
  <si>
    <t>New Company-Jagdishsingh Siddhu</t>
  </si>
  <si>
    <t>Mr. Mr. ramchandra</t>
  </si>
  <si>
    <t>info@waheguruindustries.com</t>
  </si>
  <si>
    <t>SAI TECH CRANES</t>
  </si>
  <si>
    <t>Guru Krupa Engineering</t>
  </si>
  <si>
    <t>saitechcranes2021@gmail.com'</t>
  </si>
  <si>
    <t>210-SAICRANES-1THOIST</t>
  </si>
  <si>
    <t>dssmfg@gmail.com</t>
  </si>
  <si>
    <t>Subhash</t>
  </si>
  <si>
    <t>sales@shreejicorp.in</t>
  </si>
  <si>
    <t>HEMANT SIR</t>
  </si>
  <si>
    <t>211-SHREEJI- 2T-SGEOT -9-Jun-26   </t>
  </si>
  <si>
    <t>Laxmi Bairwa Traders</t>
  </si>
  <si>
    <t>Ernakulam</t>
  </si>
  <si>
    <t>ttscochin@gmail.com</t>
  </si>
  <si>
    <t>Harikrishnan</t>
  </si>
  <si>
    <t>sujithkumarimmidisetty</t>
  </si>
  <si>
    <t>AUTO LIV India Pvt. Ltd.</t>
  </si>
  <si>
    <t>257-SHIVA ASPHALTIC -1T-M &amp; 2T-FM- JC-22-Jun-26</t>
  </si>
  <si>
    <t>amit.kumar@autoliv.com</t>
  </si>
  <si>
    <t>Mr. Amit  kumar</t>
  </si>
  <si>
    <t>BGAUSS AUTO PVT LTD</t>
  </si>
  <si>
    <t>Mr. Amar</t>
  </si>
  <si>
    <t>COGNANT COMPOSITES</t>
  </si>
  <si>
    <t xml:space="preserve">213-COGNANT COMPOSITES-1T FLOOR CRANE </t>
  </si>
  <si>
    <t>Crane Industries</t>
  </si>
  <si>
    <t>Kolhapur,</t>
  </si>
  <si>
    <t>pradipraipur@gmail.com</t>
  </si>
  <si>
    <t>Jyotirjay Chandrekar</t>
  </si>
  <si>
    <t xml:space="preserve">Nitin Marane </t>
  </si>
  <si>
    <t>213-JCB-LCSSYSTEM 1T</t>
  </si>
  <si>
    <t>215-JCB-5T EWRH</t>
  </si>
  <si>
    <t>Gwalior</t>
  </si>
  <si>
    <t xml:space="preserve">Nitin </t>
  </si>
  <si>
    <t>new company - Harsh naik</t>
  </si>
  <si>
    <t>239-NKPENGG- 2T JC</t>
  </si>
  <si>
    <t>harshnaiknenawat@gmail.com</t>
  </si>
  <si>
    <t>Harsh naik</t>
  </si>
  <si>
    <t>New Company - Yuvraj Kuditrekar</t>
  </si>
  <si>
    <t>Fiber Fill Interior</t>
  </si>
  <si>
    <t>Mr. Yuvraj Kuditrekar</t>
  </si>
  <si>
    <t>New Company-Nitin</t>
  </si>
  <si>
    <t>sk3403628@gmail.com</t>
  </si>
  <si>
    <t>Nitin</t>
  </si>
  <si>
    <t>Om   Energy   Seva</t>
  </si>
  <si>
    <t>New Company-Sankar</t>
  </si>
  <si>
    <t>Sankar</t>
  </si>
  <si>
    <t>Om Electricals</t>
  </si>
  <si>
    <t>Basti</t>
  </si>
  <si>
    <t>Kuldeep Singh</t>
  </si>
  <si>
    <t>Samson international</t>
  </si>
  <si>
    <t>212-SamsonInternstional-LCS -09-Jun-26</t>
  </si>
  <si>
    <t>Steelmac Industries</t>
  </si>
  <si>
    <t>Suresh Kumar</t>
  </si>
  <si>
    <t>steelmac.roofing@gmail.com</t>
  </si>
  <si>
    <t>Dilesh Parulekar</t>
  </si>
  <si>
    <t>supreme enterprises</t>
  </si>
  <si>
    <t>White Light Scannings</t>
  </si>
  <si>
    <t>choudharynizam@gmail.com</t>
  </si>
  <si>
    <t>choudhary nizam</t>
  </si>
  <si>
    <t>Suraj Technology</t>
  </si>
  <si>
    <t>sameer agrawal</t>
  </si>
  <si>
    <t>surajtechnology@gmail.com</t>
  </si>
  <si>
    <t>Kuldeep</t>
  </si>
  <si>
    <t>TOOLCON</t>
  </si>
  <si>
    <t>VEE AAR INDUSTRIES</t>
  </si>
  <si>
    <t>248-MIRHAE-LCS250kg- 20-Jun-26</t>
  </si>
  <si>
    <t>vearindustries@rediffmail.com</t>
  </si>
  <si>
    <t>Viraat Industries</t>
  </si>
  <si>
    <t>sales@viraatindustries.com</t>
  </si>
  <si>
    <t>Arrow Crane &amp; Services</t>
  </si>
  <si>
    <t>Goliath Crane</t>
  </si>
  <si>
    <t>Pravin Ramlal Gokhale</t>
  </si>
  <si>
    <t>Jugsalai</t>
  </si>
  <si>
    <t xml:space="preserve">Kingdom of Bahrain </t>
  </si>
  <si>
    <t>Jeetander</t>
  </si>
  <si>
    <t>Lakshya malhotra</t>
  </si>
  <si>
    <t>satejdhas@gmail.com</t>
  </si>
  <si>
    <t>Shahajiraje Dhas</t>
  </si>
  <si>
    <t>New company- Bharat</t>
  </si>
  <si>
    <t>IN PROGRESS</t>
  </si>
  <si>
    <t>BHARAT</t>
  </si>
  <si>
    <t>New Company-gautam s</t>
  </si>
  <si>
    <t>gautam s</t>
  </si>
  <si>
    <t>New Company-Suresh .K</t>
  </si>
  <si>
    <t>Suresh .K</t>
  </si>
  <si>
    <t>Nidec ACIM Global Appliance Private Limited</t>
  </si>
  <si>
    <t>Chhatrapati Sambhaji Nagar</t>
  </si>
  <si>
    <t>SG01SV</t>
  </si>
  <si>
    <t>vishal.kulkarni@nidec-ga.com</t>
  </si>
  <si>
    <t>103 needed s</t>
  </si>
  <si>
    <t>Public Mens Store</t>
  </si>
  <si>
    <t>krmanoj358@gmail.com</t>
  </si>
  <si>
    <t>Rohit Polishers</t>
  </si>
  <si>
    <t xml:space="preserve">EOT Crane </t>
  </si>
  <si>
    <t>y_mystique@yahoo.com</t>
  </si>
  <si>
    <t>ROHIT Polishers</t>
  </si>
  <si>
    <r>
      <t>234-ROHIT POLISHERS-5T-10T OR 15T 17-Jun-2026</t>
    </r>
    <r>
      <rPr>
        <sz val="11"/>
        <color theme="1"/>
        <rFont val="Calibri"/>
        <family val="2"/>
        <scheme val="minor"/>
      </rPr>
      <t xml:space="preserve"> </t>
    </r>
  </si>
  <si>
    <t>Ss Enterprises</t>
  </si>
  <si>
    <t>Archna</t>
  </si>
  <si>
    <t>Techma Engineering Enterprise Pvt Ltd</t>
  </si>
  <si>
    <t>Monoj</t>
  </si>
  <si>
    <t xml:space="preserve">Sambhajinagar </t>
  </si>
  <si>
    <t>jigneshkabani@gmail.com</t>
  </si>
  <si>
    <t>220-TirupattiENGG-1THOIST</t>
  </si>
  <si>
    <t>BHASKAR INDUSTRIES</t>
  </si>
  <si>
    <t>Thiruvarur</t>
  </si>
  <si>
    <t>info@umsscales.com</t>
  </si>
  <si>
    <t>Vinu Shri Bio Tech</t>
  </si>
  <si>
    <t>Pollachi</t>
  </si>
  <si>
    <t>Abhi Sahu</t>
  </si>
  <si>
    <t>Aansu plastic recycling</t>
  </si>
  <si>
    <t>Electric wire rope hoist</t>
  </si>
  <si>
    <t>shailesh1781007@gmail.com</t>
  </si>
  <si>
    <t>Shailesh kumar singh</t>
  </si>
  <si>
    <t>Aaradhya Enterprises</t>
  </si>
  <si>
    <t>Wagholi</t>
  </si>
  <si>
    <t>Aaradhya</t>
  </si>
  <si>
    <t>Angel Engineering Co.</t>
  </si>
  <si>
    <t>raut.shailendra@gmail.com</t>
  </si>
  <si>
    <t>gopal.jaliya99@gmail.com</t>
  </si>
  <si>
    <t>Mr. Gopal  Jaliya</t>
  </si>
  <si>
    <t>Sooraj Singh Rajpoot </t>
  </si>
  <si>
    <t>Mauli Agro Services Pandharpur</t>
  </si>
  <si>
    <t>Pandharpur</t>
  </si>
  <si>
    <t>Ganesh Johare</t>
  </si>
  <si>
    <t>mothersland7488@gmail.com</t>
  </si>
  <si>
    <t>227-MAULIAGRO-5TWRH</t>
  </si>
  <si>
    <t xml:space="preserve">Mirje Marketing Services </t>
  </si>
  <si>
    <t>Jai Bharat Roadways Corporation</t>
  </si>
  <si>
    <t>New Company - Sudarshan Hande</t>
  </si>
  <si>
    <t>Sudarshan Hande</t>
  </si>
  <si>
    <t>New Company-164247349</t>
  </si>
  <si>
    <t>2MT Jib crane floor mounted</t>
  </si>
  <si>
    <t>shopping_inquiry_29829633</t>
  </si>
  <si>
    <t>Pooja Engineers</t>
  </si>
  <si>
    <t xml:space="preserve">Vrushali </t>
  </si>
  <si>
    <t>rohit1_kharat@rediffmail.com</t>
  </si>
  <si>
    <t>Rohit Kharat</t>
  </si>
  <si>
    <t>whatsapp-inquiry-26632082</t>
  </si>
  <si>
    <t>guru.june10@gmail.com</t>
  </si>
  <si>
    <t>Magic Masala</t>
  </si>
  <si>
    <t>whatsapp-inquiry-29815394</t>
  </si>
  <si>
    <t>Doha</t>
  </si>
  <si>
    <t>mjsenterprises18@yahoo.com</t>
  </si>
  <si>
    <t>Aditi Air</t>
  </si>
  <si>
    <t>Bharuch, Gujarat, India</t>
  </si>
  <si>
    <t>jgrmevada@gmail.com</t>
  </si>
  <si>
    <t>Mr. Jigar Suthar</t>
  </si>
  <si>
    <t>AQUA DYNAMIC SOLUTION LTD.</t>
  </si>
  <si>
    <t>Malkapur</t>
  </si>
  <si>
    <t>Electric Wire Rope Hoist 1000kg</t>
  </si>
  <si>
    <t>sanmati2277@gmail.com</t>
  </si>
  <si>
    <t xml:space="preserve">Ranjangoan </t>
  </si>
  <si>
    <t>Industrial Cranes, 35 Ton</t>
  </si>
  <si>
    <t>866 9946189</t>
  </si>
  <si>
    <t>Ashutosh Mahaveer Chougule' &lt;ashutosh.chougule@cummins.com&gt;</t>
  </si>
  <si>
    <t>Ashutosh</t>
  </si>
  <si>
    <t xml:space="preserve">218-CGTPL-SGEOT-2MT </t>
  </si>
  <si>
    <t>Endo Kagyo India Ltd</t>
  </si>
  <si>
    <t>Shirish Pandey</t>
  </si>
  <si>
    <t>Akshay Salunkhe &lt;eki1@endo-india.co.in&gt;</t>
  </si>
  <si>
    <t>219-Endo-WMJC-250kg</t>
  </si>
  <si>
    <t>Laxmi Metal Rolling Mill</t>
  </si>
  <si>
    <t>dinesh verma</t>
  </si>
  <si>
    <t>laxmi1@hotmail.com</t>
  </si>
  <si>
    <t>Ms. Shailendra  Mehta</t>
  </si>
  <si>
    <t>New Company - Ashish Abhimanyu</t>
  </si>
  <si>
    <t>aabhimanyu@hpcl.in</t>
  </si>
  <si>
    <t>Mr. Ashish Abhimanyu</t>
  </si>
  <si>
    <t>Dadri</t>
  </si>
  <si>
    <t>End Carriage System, Capacity: 2-50 Ton</t>
  </si>
  <si>
    <t>Tripurari</t>
  </si>
  <si>
    <t xml:space="preserve">Prashant Sonawne </t>
  </si>
  <si>
    <t>Kuruli</t>
  </si>
  <si>
    <t>bijaykumarsethy19@gmail.com</t>
  </si>
  <si>
    <t>217-Prashantsonawne-SGEOT 5T</t>
  </si>
  <si>
    <t>Sobi Engineering Works</t>
  </si>
  <si>
    <t xml:space="preserve">Coimbatore, </t>
  </si>
  <si>
    <t>arjunsubramanian92@gmail.com</t>
  </si>
  <si>
    <t>Arjun</t>
  </si>
  <si>
    <t>swiss weld corp</t>
  </si>
  <si>
    <t>Hubli</t>
  </si>
  <si>
    <t>abukhajapur98@gmail.com</t>
  </si>
  <si>
    <t>Swiss Weld Corporation</t>
  </si>
  <si>
    <t>Akash Die Cast Pvt. Ltd.</t>
  </si>
  <si>
    <t>Single Girder EOT Cranes, 5-10 Ton</t>
  </si>
  <si>
    <t>Akash Bhulesh Kirad</t>
  </si>
  <si>
    <t>Ayesha interior</t>
  </si>
  <si>
    <t>ayesha.interior2024@gmail.com</t>
  </si>
  <si>
    <t>Brother'S Enterprises</t>
  </si>
  <si>
    <t>Thiruvananthapuram</t>
  </si>
  <si>
    <t>Gandhinagar, Gujarat, India</t>
  </si>
  <si>
    <t>Gautam Biswas</t>
  </si>
  <si>
    <t>Mukesh Kumar</t>
  </si>
  <si>
    <t>Jaideep sir</t>
  </si>
  <si>
    <t>221-CGIPL-SHAFT</t>
  </si>
  <si>
    <t>GK Service</t>
  </si>
  <si>
    <t xml:space="preserve">223-CGIPL-LCS MODI </t>
  </si>
  <si>
    <t>georgewashington580@gmail.com</t>
  </si>
  <si>
    <t>purchase.tmd@eet.saraelgi.com</t>
  </si>
  <si>
    <t>JPR Engineers</t>
  </si>
  <si>
    <t>Ravi</t>
  </si>
  <si>
    <t>Deoghar,</t>
  </si>
  <si>
    <t>NISHA RAJPUT</t>
  </si>
  <si>
    <t>Mdkamran97090@gmail.com</t>
  </si>
  <si>
    <t>Muhammad Kamran</t>
  </si>
  <si>
    <t>Newasa</t>
  </si>
  <si>
    <t>urjangale99@gmail.com</t>
  </si>
  <si>
    <t xml:space="preserve">New Company-Neelu </t>
  </si>
  <si>
    <t>3 Ton Single Girder EOT Crane Manf.</t>
  </si>
  <si>
    <t>Neelu</t>
  </si>
  <si>
    <t>Perfect Fabrication And Pipe Fittings Company</t>
  </si>
  <si>
    <t>LAIQUE AHMED RAEES AHMED SHAIKH</t>
  </si>
  <si>
    <t xml:space="preserve">SG EOT Crane of 5MT </t>
  </si>
  <si>
    <t>&lt;Dattukumar.p@arcepolymers.com&gt;</t>
  </si>
  <si>
    <t>Datta</t>
  </si>
  <si>
    <t>222-ARCEPOLYMER-WRH</t>
  </si>
  <si>
    <t xml:space="preserve">AGILOMATRIX PRIVATE LIMITED </t>
  </si>
  <si>
    <t>chakan</t>
  </si>
  <si>
    <t>Rangaswamy s</t>
  </si>
  <si>
    <t>consultantforall@agilomatrix.com</t>
  </si>
  <si>
    <t>Amit Kumar Sir</t>
  </si>
  <si>
    <t>224-AGILOMATRIX-10MT-SGGC</t>
  </si>
  <si>
    <t>Poltary</t>
  </si>
  <si>
    <t>mehta.kishore@gmail.com</t>
  </si>
  <si>
    <t>Avinash Arole</t>
  </si>
  <si>
    <t>Sarvo Engineers</t>
  </si>
  <si>
    <t>abhishek mobile</t>
  </si>
  <si>
    <t>info@sarvoengineers.com</t>
  </si>
  <si>
    <t>Ravindra Patil</t>
  </si>
  <si>
    <t>Shiv Traders</t>
  </si>
  <si>
    <t xml:space="preserve">Ahmedabadh </t>
  </si>
  <si>
    <t>Kbk Light Crane System</t>
  </si>
  <si>
    <t>shiv_traders11@yahoo.com</t>
  </si>
  <si>
    <t>Dipen Patel</t>
  </si>
  <si>
    <t>Sidel India Pvt Ltd</t>
  </si>
  <si>
    <t>111,VIHAV SUPRIMES,OPP ISKON HEIGHTS,Vadodara Building No. 207, Manjalpur,390011,Vadodara, Vadodara, Gujarat, India</t>
  </si>
  <si>
    <t>aniket.kavitkar@sidel.com</t>
  </si>
  <si>
    <t xml:space="preserve">aniket </t>
  </si>
  <si>
    <t>225-Sidel-5+10TSGEOT</t>
  </si>
  <si>
    <t xml:space="preserve">Torq tek tools </t>
  </si>
  <si>
    <t xml:space="preserve">chimbali </t>
  </si>
  <si>
    <t>tulsirao.ob@gmail.com</t>
  </si>
  <si>
    <t xml:space="preserve">226-TORQ-LCS SYSTEM </t>
  </si>
  <si>
    <t>VOLVO BUSES INDIA PVT. LTD.</t>
  </si>
  <si>
    <t>kapil.kumar@volvo.com</t>
  </si>
  <si>
    <t>Mr. Kapil</t>
  </si>
  <si>
    <t>whatsapp-inquiry-29881476</t>
  </si>
  <si>
    <t>Ponda,India</t>
  </si>
  <si>
    <t>NSP</t>
  </si>
  <si>
    <t>Aarya Pallet Manucatures</t>
  </si>
  <si>
    <t>M. J. Cement Products</t>
  </si>
  <si>
    <t>dharmensanghvi@hotmail.com</t>
  </si>
  <si>
    <t>Mr. Dharmen  Sanghvi</t>
  </si>
  <si>
    <t>allianceautoparts.goa@gmail.com</t>
  </si>
  <si>
    <t>Mr Nitin  S  Pandit</t>
  </si>
  <si>
    <t>Ashwin Home Appliances And Repairing</t>
  </si>
  <si>
    <t>Mr. Gaikwad Namdev</t>
  </si>
  <si>
    <t>ATHARVA ENTERPRISES.</t>
  </si>
  <si>
    <t>Izaan Electricals</t>
  </si>
  <si>
    <t>Thakurdwara,India</t>
  </si>
  <si>
    <t>raja</t>
  </si>
  <si>
    <t>Irshad Ali</t>
  </si>
  <si>
    <t>Mahendra Industries Unit II</t>
  </si>
  <si>
    <t xml:space="preserve">Bengaluru, </t>
  </si>
  <si>
    <t>Ratish.Waghmare@economysolutions.in</t>
  </si>
  <si>
    <t>marketing@mahendraindustries.in</t>
  </si>
  <si>
    <t>Nagpur Steel Ind.</t>
  </si>
  <si>
    <t>Nagpur,India</t>
  </si>
  <si>
    <t>New Company - Rajesh Kudale</t>
  </si>
  <si>
    <t>Wall mounted jib cranes hoist</t>
  </si>
  <si>
    <t>Mr. Rajesh Kudale</t>
  </si>
  <si>
    <t>Sevasys Solutions</t>
  </si>
  <si>
    <t>Raichur,India</t>
  </si>
  <si>
    <t>97306 21899/ 90498 11125‬</t>
  </si>
  <si>
    <t>shankar8190@gmail.com</t>
  </si>
  <si>
    <t>Mr Shankar  Gouda</t>
  </si>
  <si>
    <t>SUNRISE ENTERPRISES</t>
  </si>
  <si>
    <t>Single girder eot cranes</t>
  </si>
  <si>
    <t>Vinod Shah</t>
  </si>
  <si>
    <t>Jamnagar</t>
  </si>
  <si>
    <t>Paranda</t>
  </si>
  <si>
    <t>shah.eng.service@gmail.com</t>
  </si>
  <si>
    <t>whatsapp-inquiry-29871428</t>
  </si>
  <si>
    <t>AEROCOM AUTOMTIVES PVT. LTD</t>
  </si>
  <si>
    <t>Mr Vinayak Sahu Ji</t>
  </si>
  <si>
    <t>DINESH KEJARIWAL</t>
  </si>
  <si>
    <t>Bellary,India</t>
  </si>
  <si>
    <t>99 2242 4143</t>
  </si>
  <si>
    <t>amafhhsteels786@gmail.com</t>
  </si>
  <si>
    <t>Mr. Ahmed Basha</t>
  </si>
  <si>
    <t>DVC</t>
  </si>
  <si>
    <t>prashant00216@gmail.com</t>
  </si>
  <si>
    <t>Prashant Kumar</t>
  </si>
  <si>
    <t>219-R1-ENDO- JC-1.5T-16-Jun-26</t>
  </si>
  <si>
    <t>HYT</t>
  </si>
  <si>
    <t>Machines Machinery Manufacturers</t>
  </si>
  <si>
    <t>MMM</t>
  </si>
  <si>
    <t xml:space="preserve">Pune, </t>
  </si>
  <si>
    <t>mahavir.engineering9545@gmail.com</t>
  </si>
  <si>
    <t>Pawan Singh</t>
  </si>
  <si>
    <t>Lucknow</t>
  </si>
  <si>
    <t>ot receiving</t>
  </si>
  <si>
    <t>A r ingale</t>
  </si>
  <si>
    <t>New Company-Ajmeer saifan shaikh</t>
  </si>
  <si>
    <t>sankpal143@gmail.com</t>
  </si>
  <si>
    <t>Ajmeer saifan shaikh</t>
  </si>
  <si>
    <t>hero cycles</t>
  </si>
  <si>
    <t>Amravati,India</t>
  </si>
  <si>
    <t>Kamal Pandey</t>
  </si>
  <si>
    <t>satpudateakwood@gmail.com</t>
  </si>
  <si>
    <t>Arun Ghotkar</t>
  </si>
  <si>
    <t>vijaypatel.mech08@gmail.com</t>
  </si>
  <si>
    <t>Vasai,India</t>
  </si>
  <si>
    <t>Heavy duty eot crane</t>
  </si>
  <si>
    <t>Gopal Dodmani</t>
  </si>
  <si>
    <t>New Company-Subhash Wavhal</t>
  </si>
  <si>
    <t>Beed,India</t>
  </si>
  <si>
    <t>subhashwavhal9@gmail.com</t>
  </si>
  <si>
    <t>Subhash Wavhal</t>
  </si>
  <si>
    <t>Rudra Auto Spare Centre</t>
  </si>
  <si>
    <t>Samastipur</t>
  </si>
  <si>
    <t>vivekrajc025@gmail.com</t>
  </si>
  <si>
    <t>VIVEKRAJ CHAUHAN</t>
  </si>
  <si>
    <t>SAGAR PLASTIC</t>
  </si>
  <si>
    <t>Malegaon,India</t>
  </si>
  <si>
    <t xml:space="preserve">Double beam eot crane </t>
  </si>
  <si>
    <t>farooque231766@gmail.com</t>
  </si>
  <si>
    <t>Umar Farooque</t>
  </si>
  <si>
    <t>Shree Electricals &amp; Eng.</t>
  </si>
  <si>
    <t>Shreyash Palande</t>
  </si>
  <si>
    <t>P. G Conversions</t>
  </si>
  <si>
    <t>Shreyash.palande20@gmail.com</t>
  </si>
  <si>
    <t>Amritsar,India</t>
  </si>
  <si>
    <t>swastikauthenticimport@gmail.com</t>
  </si>
  <si>
    <t>Mr Vaneet Chhabra</t>
  </si>
  <si>
    <t>Veropa Consumer Products</t>
  </si>
  <si>
    <t>Eot crane</t>
  </si>
  <si>
    <t>&lt;rajendrapatil@prologicmechatronics.com&gt;</t>
  </si>
  <si>
    <t>Rajendra Patil</t>
  </si>
  <si>
    <t>232-PMPL-WRH10T</t>
  </si>
  <si>
    <t>MOVETECH CONVEYORS PVT LTD</t>
  </si>
  <si>
    <t>Vertex Automation System Private Limited</t>
  </si>
  <si>
    <t>ssmedankar' &lt;ssmedankar@movetechconveyors.com&gt;</t>
  </si>
  <si>
    <t>233-MOVETECH-LCS500KG</t>
  </si>
  <si>
    <t>Anitha</t>
  </si>
  <si>
    <t>Geeta steels</t>
  </si>
  <si>
    <t>Ichalkaranji,India</t>
  </si>
  <si>
    <t>vmanwadi@gmail.com</t>
  </si>
  <si>
    <t>Vinayak</t>
  </si>
  <si>
    <t>Laxmi pever product</t>
  </si>
  <si>
    <t>Gokak,India</t>
  </si>
  <si>
    <t>Jan-MN01SV</t>
  </si>
  <si>
    <t>siddukariholi9@gmail.com</t>
  </si>
  <si>
    <t>Mr SIddagoud bhimappa Kariholi</t>
  </si>
  <si>
    <t xml:space="preserve">Lucky Crain service </t>
  </si>
  <si>
    <t>Sidlaghatta,India</t>
  </si>
  <si>
    <t>e' &lt;vishwajeet.b@wipropari.com&gt;</t>
  </si>
  <si>
    <t>Madhu Kumar</t>
  </si>
  <si>
    <t>Mahindra &amp; Mahindra</t>
  </si>
  <si>
    <t>SGP ELECTROPNEUMATICS</t>
  </si>
  <si>
    <t>New Company - Sunil</t>
  </si>
  <si>
    <t>Meerut,India</t>
  </si>
  <si>
    <t>PARC ROBOTICS SYSTEM PVT LTD</t>
  </si>
  <si>
    <t>numbermasking-inquiry- 28751562</t>
  </si>
  <si>
    <t>Electric chain Hoist of 250kg</t>
  </si>
  <si>
    <t>'parcpurchase@parcrobotics.in'</t>
  </si>
  <si>
    <t>RAMESH G</t>
  </si>
  <si>
    <t>243-PITTI ENGG-DGEOT-15/10MT-MA</t>
  </si>
  <si>
    <t>Ranganatha steels</t>
  </si>
  <si>
    <t>Hassan,India</t>
  </si>
  <si>
    <t>ravindraprasadgr@gmail.com</t>
  </si>
  <si>
    <t>Samarth Engineering Works</t>
  </si>
  <si>
    <t>samarthengg.works2007@gmail.com</t>
  </si>
  <si>
    <t>Yogesh Kate</t>
  </si>
  <si>
    <t>JAN-OQ008SV</t>
  </si>
  <si>
    <t>eotspares@silverlineintl.com</t>
  </si>
  <si>
    <t xml:space="preserve">MURALI NADAR </t>
  </si>
  <si>
    <t>240-SILVERLINE-C HOIST-10T-19-Jun-26</t>
  </si>
  <si>
    <t>GATIMAN AUTO PVT. LTD</t>
  </si>
  <si>
    <t xml:space="preserve">Pithampur </t>
  </si>
  <si>
    <t>Meta Fold</t>
  </si>
  <si>
    <t>purchase@metafold.com</t>
  </si>
  <si>
    <r>
      <t xml:space="preserve">237-METAFOLD- 250KG-CH-17-Jun-26 </t>
    </r>
    <r>
      <rPr>
        <b/>
        <sz val="11"/>
        <color theme="1"/>
        <rFont val="Calibri"/>
        <family val="2"/>
        <scheme val="minor"/>
      </rPr>
      <t> </t>
    </r>
  </si>
  <si>
    <t>New Company-BOOMI</t>
  </si>
  <si>
    <t>BOOMI</t>
  </si>
  <si>
    <t>SRN Technology</t>
  </si>
  <si>
    <t>Solapur,India</t>
  </si>
  <si>
    <t>toolper1@gmail.com</t>
  </si>
  <si>
    <t>Nagesh</t>
  </si>
  <si>
    <t>4261419@gmaih</t>
  </si>
  <si>
    <t>​9325932073</t>
  </si>
  <si>
    <t>nm4261419@gmail.com</t>
  </si>
  <si>
    <t>C.S. Tech Solutions</t>
  </si>
  <si>
    <t>3T</t>
  </si>
  <si>
    <t>​7022217917</t>
  </si>
  <si>
    <t>lamanishankar34@gmail.com</t>
  </si>
  <si>
    <t>Shankarnayak</t>
  </si>
  <si>
    <t>appasaheb.mane@alpha-plan.in</t>
  </si>
  <si>
    <t>247-ALPLAPLAN-CH-20-Jun-26</t>
  </si>
  <si>
    <t>Exide Energy</t>
  </si>
  <si>
    <t>Aurangabad,India</t>
  </si>
  <si>
    <t>FOUNDRY EQUIPMENT ENGINEERS</t>
  </si>
  <si>
    <t>gurukrupa.engineering.3333@gmail.com</t>
  </si>
  <si>
    <t>Samarth</t>
  </si>
  <si>
    <t>Hendrickson</t>
  </si>
  <si>
    <t>RAVI CHIRPUTKAR</t>
  </si>
  <si>
    <t>dlashkare@hendrickson-intl.com</t>
  </si>
  <si>
    <t>Ahilyanagar,India</t>
  </si>
  <si>
    <t>Mr DHAKANE  N. S .</t>
  </si>
  <si>
    <t>Js Engineering</t>
  </si>
  <si>
    <t>Satish Patil</t>
  </si>
  <si>
    <t>Shimoga,India</t>
  </si>
  <si>
    <t>Sri Vinayaka Hydraulic</t>
  </si>
  <si>
    <t>manjeshlbt@gmail.com</t>
  </si>
  <si>
    <t>Manjegowda Gowda</t>
  </si>
  <si>
    <t>Revent Pricesion Engineering Limited Sanaswadi</t>
  </si>
  <si>
    <t>G Anandaraj</t>
  </si>
  <si>
    <t>sagar.kawade@reventengineering.com</t>
  </si>
  <si>
    <t>Sagar Kawade</t>
  </si>
  <si>
    <t xml:space="preserve">242-RPE-JC &amp; LCS 250KG </t>
  </si>
  <si>
    <t>Shiva Asphaltic Products Pvt Ltd</t>
  </si>
  <si>
    <t>Shri Hari Industries.</t>
  </si>
  <si>
    <t>Belgaum,India</t>
  </si>
  <si>
    <t>shrihariindbgm@gmail.com</t>
  </si>
  <si>
    <t>Vedant Bhanderi</t>
  </si>
  <si>
    <t>Sri Samarthan Novallite</t>
  </si>
  <si>
    <t>tushar.desadla@rohanbuilders.com</t>
  </si>
  <si>
    <t>Tushar vijay desadla</t>
  </si>
  <si>
    <t>Tanmay Traders</t>
  </si>
  <si>
    <t>Bhusawal,India</t>
  </si>
  <si>
    <t>Mr. Pradip  Patil</t>
  </si>
  <si>
    <t>nmarane@ultracorpotech.com</t>
  </si>
  <si>
    <t>245-ULTRA-500KG-PT-CH-20-Jun-26</t>
  </si>
  <si>
    <t>INNOVATIVE ENGINEERING</t>
  </si>
  <si>
    <t xml:space="preserve">Bhosari </t>
  </si>
  <si>
    <t>'Kiran Deore (TACO-EV)' &lt;kiran.deore@tacogotion.com&gt;</t>
  </si>
  <si>
    <t>innovativeengsandfab@gmail.com'</t>
  </si>
  <si>
    <t>238-INNOVTIVE-1T LCS</t>
  </si>
  <si>
    <t>NKP ENGINEERING</t>
  </si>
  <si>
    <t>navnath</t>
  </si>
  <si>
    <t>​08118866488</t>
  </si>
  <si>
    <t>Yash Pal</t>
  </si>
  <si>
    <t>Rewa</t>
  </si>
  <si>
    <t>Electric Chain Hoist  500KG</t>
  </si>
  <si>
    <t>​09594836771</t>
  </si>
  <si>
    <t>yashpalsingh000007@gmail.com</t>
  </si>
  <si>
    <t>YASHPAL     SINGH</t>
  </si>
  <si>
    <t>Vostok Industries</t>
  </si>
  <si>
    <t>Akola</t>
  </si>
  <si>
    <t>1-3T</t>
  </si>
  <si>
    <t>​09823803440</t>
  </si>
  <si>
    <t>vostokindustries00@gmail.com</t>
  </si>
  <si>
    <t>Ashish Uddhaorao Dhade</t>
  </si>
  <si>
    <t>APH Tech</t>
  </si>
  <si>
    <t>dinesh276@ymail.com</t>
  </si>
  <si>
    <t>Dinesh Raval</t>
  </si>
  <si>
    <t>tribhuwank136@gmail.com</t>
  </si>
  <si>
    <t>Tribhuwan Kushwaha</t>
  </si>
  <si>
    <t>New Famous</t>
  </si>
  <si>
    <t>Salman Khan</t>
  </si>
  <si>
    <t>Viru Parab.</t>
  </si>
  <si>
    <t>purchase.oes1@gmail.com</t>
  </si>
  <si>
    <t>Tanish</t>
  </si>
  <si>
    <t>Phoenixmass</t>
  </si>
  <si>
    <t>accustrain@gmail.com</t>
  </si>
  <si>
    <t>SACHIN Sabharwal</t>
  </si>
  <si>
    <t>user</t>
  </si>
  <si>
    <t>ynv.sai@pitti.in</t>
  </si>
  <si>
    <t>NagaVenkata Sai.Y</t>
  </si>
  <si>
    <t>244-PITTIENGG -20-Jun-26</t>
  </si>
  <si>
    <t>Suresh</t>
  </si>
  <si>
    <t>suresh16182@gmail.com</t>
  </si>
  <si>
    <t>Neemrana</t>
  </si>
  <si>
    <t>hr2@electraev.com</t>
  </si>
  <si>
    <t>whatsapp-inquiry-29955313</t>
  </si>
  <si>
    <t>Gnanesh</t>
  </si>
  <si>
    <t>dhiraj_shetkar@rediffmail.com</t>
  </si>
  <si>
    <t>vivekanand@apmtech.in</t>
  </si>
  <si>
    <t>Vivekanand Kumar</t>
  </si>
  <si>
    <t>yogesh enterprises</t>
  </si>
  <si>
    <t>Akaber</t>
  </si>
  <si>
    <t>253-YOESHENTERPRISES-5T EOT</t>
  </si>
  <si>
    <t>MIRHAE ENGINEERING INDIA PVT. LTD</t>
  </si>
  <si>
    <t>Dighi</t>
  </si>
  <si>
    <t>Sachin Upadhyay</t>
  </si>
  <si>
    <t>&lt;sopan.k@mirhaeindia.com&gt;</t>
  </si>
  <si>
    <t>Sopan Kakad</t>
  </si>
  <si>
    <t>Gandhi Automations Private Limited (GAPL</t>
  </si>
  <si>
    <t>Keon Engg</t>
  </si>
  <si>
    <t>1T CH-PT</t>
  </si>
  <si>
    <t>256-KEON-1MT CH-PT-22-Jun-26</t>
  </si>
  <si>
    <t>​09987822118</t>
  </si>
  <si>
    <t>Om Energy  Saver Shop</t>
  </si>
  <si>
    <t>Floor Cranes</t>
  </si>
  <si>
    <t>​07045896540</t>
  </si>
  <si>
    <t>oes1.purchase@gmail.com</t>
  </si>
  <si>
    <t>Anisha KADAM</t>
  </si>
  <si>
    <t>​08591130767</t>
  </si>
  <si>
    <t xml:space="preserve">Kamal Enterprises </t>
  </si>
  <si>
    <t>Thane,India</t>
  </si>
  <si>
    <t xml:space="preserve"> Jib Crane</t>
  </si>
  <si>
    <t>kamalenterprises748@gmail.com</t>
  </si>
  <si>
    <t>Sushant shelke</t>
  </si>
  <si>
    <t>N S</t>
  </si>
  <si>
    <t>​09849662536</t>
  </si>
  <si>
    <t>srikanth.reddy745@gmail.com</t>
  </si>
  <si>
    <t>Gyptorq</t>
  </si>
  <si>
    <t>Washim</t>
  </si>
  <si>
    <t>​09890565069</t>
  </si>
  <si>
    <t>sahilali9942@gmail.com</t>
  </si>
  <si>
    <t>Sahil</t>
  </si>
  <si>
    <t xml:space="preserve">SoundTechnics </t>
  </si>
  <si>
    <t xml:space="preserve">Chain hoist </t>
  </si>
  <si>
    <t>ashish.todankar@yahoo.co.in</t>
  </si>
  <si>
    <t>Ashish Todankar</t>
  </si>
  <si>
    <t xml:space="preserve"> Swapnil</t>
  </si>
  <si>
    <t>Chhatrapati Sambhajinagar,India</t>
  </si>
  <si>
    <t>swapnil.khandre@gmail.com</t>
  </si>
  <si>
    <t>swapnil</t>
  </si>
  <si>
    <t>Shree datta enterprises</t>
  </si>
  <si>
    <t>Kolhapur,India</t>
  </si>
  <si>
    <t>Chain hoist</t>
  </si>
  <si>
    <t>Sujetkumar jadhav</t>
  </si>
  <si>
    <t>Shri Gayatri Logistic and Services</t>
  </si>
  <si>
    <t>Visakhapatnam,India</t>
  </si>
  <si>
    <t xml:space="preserve">Industrial cranes </t>
  </si>
  <si>
    <t>tbharath3999@gmail.com</t>
  </si>
  <si>
    <t>Bharath</t>
  </si>
  <si>
    <t>Mass Auto financial services</t>
  </si>
  <si>
    <t>Dhulian,India</t>
  </si>
  <si>
    <t>Single girder eot crane</t>
  </si>
  <si>
    <t>c.shejul31@gmail.com</t>
  </si>
  <si>
    <t>Chandrakant Shivaji Shejul</t>
  </si>
  <si>
    <t>ANVAY PHARMA SYSTEMS PRIVATE LIMITED</t>
  </si>
  <si>
    <t xml:space="preserve">Wall mounted jib cranes </t>
  </si>
  <si>
    <t>sunilchuri@anvaypharma.com</t>
  </si>
  <si>
    <t>Mr. Sunil Jagannath Churi</t>
  </si>
  <si>
    <t>personally</t>
  </si>
  <si>
    <t xml:space="preserve">Chain hoist Inquiry </t>
  </si>
  <si>
    <t>skmodi1975@gmail.com</t>
  </si>
  <si>
    <t>Satish Modi</t>
  </si>
  <si>
    <t>Velu Pune</t>
  </si>
  <si>
    <t>AKASH BHAKARE</t>
  </si>
  <si>
    <t>RA Auto Firm</t>
  </si>
  <si>
    <t>​07767892296</t>
  </si>
  <si>
    <t>Brijesh Misha</t>
  </si>
  <si>
    <t>Aarav Transport</t>
  </si>
  <si>
    <t>5 Ton Double Girder EOT Crane</t>
  </si>
  <si>
    <t>​09850081029</t>
  </si>
  <si>
    <t>aarav.transport123@gmail.com</t>
  </si>
  <si>
    <t>Sonavane Atul Popat</t>
  </si>
  <si>
    <t>Jagdish Traders</t>
  </si>
  <si>
    <t>Jogabani</t>
  </si>
  <si>
    <t>​07033880770</t>
  </si>
  <si>
    <t>rajprtap.roy@gmail.com</t>
  </si>
  <si>
    <t>Raj Pratap Roy</t>
  </si>
  <si>
    <t>Hyundai Transit</t>
  </si>
  <si>
    <t>​09160370674</t>
  </si>
  <si>
    <t>DEPA SEKHAR</t>
  </si>
  <si>
    <t>New Life Machineries And Hydraulics</t>
  </si>
  <si>
    <t>Light Crane System (kbk Cranes)</t>
  </si>
  <si>
    <t>​09659974278</t>
  </si>
  <si>
    <t>praveen20190@gmail.com</t>
  </si>
  <si>
    <t>Praveen Kumar Mantharasalam</t>
  </si>
  <si>
    <t>Very Form</t>
  </si>
  <si>
    <t>Kanpur</t>
  </si>
  <si>
    <t>Electric Hoist</t>
  </si>
  <si>
    <t>​09794589004</t>
  </si>
  <si>
    <t>Jatin Aglin</t>
  </si>
  <si>
    <t>Mech Dot Engineering India Private Limited</t>
  </si>
  <si>
    <t>Industrial EOT Crane Systems</t>
  </si>
  <si>
    <t>​08600316457</t>
  </si>
  <si>
    <t>mechdotengineeringindia@gmail.com</t>
  </si>
  <si>
    <t>Kafeel</t>
  </si>
  <si>
    <t>G B Commercial Traders</t>
  </si>
  <si>
    <t>Hosur,India</t>
  </si>
  <si>
    <t xml:space="preserve"> Pillar Mounted Jib Crane</t>
  </si>
  <si>
    <t>kishore185es@gmail.com</t>
  </si>
  <si>
    <t>Mr Kishore</t>
  </si>
  <si>
    <t>Ramesh galli</t>
  </si>
  <si>
    <t>rameshgali9945@gmail.com</t>
  </si>
  <si>
    <t>Sonal Engineering Plastic Fabricator</t>
  </si>
  <si>
    <t>Raigarh,India</t>
  </si>
  <si>
    <t>sepf_bhai@yahoo.com</t>
  </si>
  <si>
    <t>Mr. Anil C. Mhatre</t>
  </si>
  <si>
    <t>Samaya Enterprises</t>
  </si>
  <si>
    <t>Curved Path Monorail Crane</t>
  </si>
  <si>
    <t>mahesh.yadav2454@gmail.com</t>
  </si>
  <si>
    <t>Shree Gurumalleshwara Motors</t>
  </si>
  <si>
    <t>Erode</t>
  </si>
  <si>
    <t>SHASHIKUMAR Shashi Kumar</t>
  </si>
  <si>
    <t>Shyam Global Technoventures Pvt. Ltd.</t>
  </si>
  <si>
    <t>5 Ton Hoist</t>
  </si>
  <si>
    <t>purchase@shyamtechno.com</t>
  </si>
  <si>
    <t>Aniket Gupta</t>
  </si>
  <si>
    <t>KAVIN</t>
  </si>
  <si>
    <t>​08925603484</t>
  </si>
  <si>
    <t>Krishnagiri</t>
  </si>
  <si>
    <t>​09943526471</t>
  </si>
  <si>
    <t>Varun</t>
  </si>
  <si>
    <t>Self Working</t>
  </si>
  <si>
    <t>Lifting Tools And Tackles</t>
  </si>
  <si>
    <t>​07798181548</t>
  </si>
  <si>
    <t>waghdsandeep@gmail.com</t>
  </si>
  <si>
    <t>SANDEEP DHARMA WAGH</t>
  </si>
  <si>
    <t>M G TOOL AND HARDWARE Shop</t>
  </si>
  <si>
    <t>Electric Chain Hoist-5 Piece</t>
  </si>
  <si>
    <t>​08847766741</t>
  </si>
  <si>
    <t>mgtoolschakan@gmail.com</t>
  </si>
  <si>
    <t>Bibin George</t>
  </si>
  <si>
    <t>Sagar Feeds</t>
  </si>
  <si>
    <t xml:space="preserve">Single girder eot crane </t>
  </si>
  <si>
    <t>prakashsagarsmg@gmail.com</t>
  </si>
  <si>
    <t>Mr. Prakash</t>
  </si>
  <si>
    <t>Aluminium Rails</t>
  </si>
  <si>
    <t>Abhishek Hon</t>
  </si>
  <si>
    <t>States</t>
  </si>
  <si>
    <t>Expected Order Value</t>
  </si>
  <si>
    <t xml:space="preserve">Quotation Status  </t>
  </si>
  <si>
    <t>Order loss Analysis</t>
  </si>
  <si>
    <t>BAHRAIN WORKSHOP COMPANY</t>
  </si>
  <si>
    <t xml:space="preserve">SG EOT Crane of 1MT Capacity </t>
  </si>
  <si>
    <t>Supply of Man Lifter</t>
  </si>
  <si>
    <t>Monorail System of 125KG Capacity</t>
  </si>
  <si>
    <t xml:space="preserve"> &lt;atharvaenterprises9999@gmail.com&gt;</t>
  </si>
  <si>
    <t>Rakesh sir</t>
  </si>
  <si>
    <t>Batliboi ltd,</t>
  </si>
  <si>
    <t>S/G EOT crane of 3MT</t>
  </si>
  <si>
    <t>VIKRAM</t>
  </si>
  <si>
    <t>Indo farm Equipments Pvt Ltd</t>
  </si>
  <si>
    <t xml:space="preserve">Solan </t>
  </si>
  <si>
    <t>Supply of SG EOT of 2T 3T 15T</t>
  </si>
  <si>
    <t>shokenderchhillar@indofarm.in</t>
  </si>
  <si>
    <t>sondeep lohan</t>
  </si>
  <si>
    <t>SMH Rail India Pvt Ltd</t>
  </si>
  <si>
    <t>Supply of SG EOT of10T</t>
  </si>
  <si>
    <t>srikanth@shmrail.com.my</t>
  </si>
  <si>
    <t>srikanth</t>
  </si>
  <si>
    <t>Perfect Engineering</t>
  </si>
  <si>
    <t>mk7276164@gmail.com</t>
  </si>
  <si>
    <t>Maaz Sir</t>
  </si>
  <si>
    <t>DNYANESHVAR UTTAM DIXIT</t>
  </si>
  <si>
    <t>Dwarkesh Engineering Works India</t>
  </si>
  <si>
    <t>dewaircompressor@gmail.com</t>
  </si>
  <si>
    <t>sanjay patel</t>
  </si>
  <si>
    <t>Bazaar Hai</t>
  </si>
  <si>
    <t>Jay Shankar</t>
  </si>
  <si>
    <t>IB Packaging</t>
  </si>
  <si>
    <t>electric chain hoists</t>
  </si>
  <si>
    <t>stores@ibpackaging.com</t>
  </si>
  <si>
    <t>PRAVIN PARMAR</t>
  </si>
  <si>
    <t>Jignesh</t>
  </si>
  <si>
    <t>MUMBAI</t>
  </si>
  <si>
    <t>Jignaesh</t>
  </si>
  <si>
    <t>bhaskarindustries21@gmail.com</t>
  </si>
  <si>
    <t>Vivek B Boritkar</t>
  </si>
  <si>
    <t>Arcelor Mittal Nippon Steel India</t>
  </si>
  <si>
    <t>Kanti</t>
  </si>
  <si>
    <t>sahuabhishekkumar022@gmail.com</t>
  </si>
  <si>
    <t>Psr enterprise</t>
  </si>
  <si>
    <t>srikanthreddy9926@gmail.com</t>
  </si>
  <si>
    <t>Shrikant reddy</t>
  </si>
  <si>
    <t>Advance Tooling Solution</t>
  </si>
  <si>
    <t xml:space="preserve">500kg LCS System with Support structure </t>
  </si>
  <si>
    <t>8446050108/9881207098</t>
  </si>
  <si>
    <t>Shailendra raut</t>
  </si>
  <si>
    <t>LCS01SV</t>
  </si>
  <si>
    <t>Karjat, Maharashtra, India</t>
  </si>
  <si>
    <t>sonujohare25@gmail.com</t>
  </si>
  <si>
    <t>THE SECRET WONDERS</t>
  </si>
  <si>
    <t>Karur, Tamil Nadu, India</t>
  </si>
  <si>
    <t>kameshsaravanan07@gmail.com</t>
  </si>
  <si>
    <t>Kamesh</t>
  </si>
  <si>
    <t>1st Floor, Office No 111, Prestige Chamber, Kalyan Street, Carnac Bunder, Masjid Bunder, Mumbai, Maharashtra, India</t>
  </si>
  <si>
    <t>gautam.4@hotmail.com</t>
  </si>
  <si>
    <t>Pooja Jagdish Soni</t>
  </si>
  <si>
    <t>Vrushali Panels &amp; Electricals</t>
  </si>
  <si>
    <t>Varve Bk Pune</t>
  </si>
  <si>
    <t>8660418059/9270726073</t>
  </si>
  <si>
    <t>vrushalipanels@outlook.com</t>
  </si>
  <si>
    <t>SPM Metals</t>
  </si>
  <si>
    <t>No.150, Mariamman Kovil Street, Tiruppur, Tamil Nadu, India</t>
  </si>
  <si>
    <t>Industrial Floor Crane</t>
  </si>
  <si>
    <t>Muthu Kumar Guruprasath</t>
  </si>
  <si>
    <t>SJM Enterprises</t>
  </si>
  <si>
    <t>Survey No 2/15, Electricity No.215, Pillaganahalli Village, Uttarahalli Hobli, Bengaluru, Karnataka, India</t>
  </si>
  <si>
    <t>Shuiab Ahmed</t>
  </si>
  <si>
    <t>Titus  engineering</t>
  </si>
  <si>
    <t>Electrical Wire Rope Hoist</t>
  </si>
  <si>
    <t>montumoyal957@gmail.com</t>
  </si>
  <si>
    <t>Montu Moyal</t>
  </si>
  <si>
    <t>Belagavi, Karnataka, India</t>
  </si>
  <si>
    <t>lohar</t>
  </si>
  <si>
    <t>Shri Durga Oil Mill Kichha</t>
  </si>
  <si>
    <t>Rudrapur Road  Near Fci Godown Kichha  Udham Singh Nagar, Rudrapur, Uttarakhand, India</t>
  </si>
  <si>
    <t>shridurgaoilmills@gmail.com</t>
  </si>
  <si>
    <t>Abhinav Goyal</t>
  </si>
  <si>
    <t>Sapco Brews India Private Limited</t>
  </si>
  <si>
    <t>UGF -19 Ozone Center  Sector 12, Faridabad, Haryana, India</t>
  </si>
  <si>
    <t>sapcobrews@gmail.com</t>
  </si>
  <si>
    <t>Labtech Analytical Solutions</t>
  </si>
  <si>
    <t>Trolley Hoists</t>
  </si>
  <si>
    <t>dinesh.verma607@gmail.com</t>
  </si>
  <si>
    <t>Varma Printing Press</t>
  </si>
  <si>
    <t>Shivaji Road, Parbhani, Maharashtra, India</t>
  </si>
  <si>
    <t>Industrial Double Girder EOT Crane</t>
  </si>
  <si>
    <t>varmapress@gmail.com</t>
  </si>
  <si>
    <t>kedar verma</t>
  </si>
  <si>
    <t>Perfect Auto Body Builders</t>
  </si>
  <si>
    <t>K-7, Opposite Chakan Oil Mil M.I.D.C Kupwad, Sangli, Maharashtra, India</t>
  </si>
  <si>
    <t>perfect_autobody@yahoo.co.in</t>
  </si>
  <si>
    <t>Yunus Beg</t>
  </si>
  <si>
    <t>Kalinga Nagar Industrial Area, Odisha, India</t>
  </si>
  <si>
    <t>Bijay Kumar Sethy</t>
  </si>
  <si>
    <t>Unicast Alloys Private Limited</t>
  </si>
  <si>
    <t>Flat 104, C-Block,  Avinashi Road, Coimbatore, Tamil Nadu, India</t>
  </si>
  <si>
    <t>End Carriage</t>
  </si>
  <si>
    <t>vasudevan@unitedgroupcompanies.com</t>
  </si>
  <si>
    <t>Vasudevan</t>
  </si>
  <si>
    <t>PMAC</t>
  </si>
  <si>
    <t>Chengalpattu, Tamil Nadu, India</t>
  </si>
  <si>
    <t>THANISH KUMAR R R</t>
  </si>
  <si>
    <t>Atrico Tools Shop</t>
  </si>
  <si>
    <t>Greater Noida, Uttar Pradesh, India</t>
  </si>
  <si>
    <t>attrico.sales4@gmail.com</t>
  </si>
  <si>
    <t>Nidhi Bhati</t>
  </si>
  <si>
    <t>J P Traders</t>
  </si>
  <si>
    <t>GALA NO 04,MARKET YARD ROAD, GULAB APPARTMENT, NEAR PARKALE BANGLOW,BARAMATI Shop No. I- 11, Phase 2,,411009,Baramati, Baramati, Maharashtra, India</t>
  </si>
  <si>
    <t>narayanpote000@gmail.com</t>
  </si>
  <si>
    <t>Pote Narayan</t>
  </si>
  <si>
    <t>JAN-HT005SV</t>
  </si>
  <si>
    <t>Wire Rope Hoists</t>
  </si>
  <si>
    <t>Pedvak Cranes Pvt. Ltd</t>
  </si>
  <si>
    <t>purchase@pedvak.com</t>
  </si>
  <si>
    <t>s siva Prasada rao</t>
  </si>
  <si>
    <t>111a Agraharam Street Vengankudi Village Mannachanallur Taluk, Tiruchirappalli, Tamil Nadu, India</t>
  </si>
  <si>
    <t> Jib Cranes</t>
  </si>
  <si>
    <t>George Washington</t>
  </si>
  <si>
    <t>Advanced Bolting solutions</t>
  </si>
  <si>
    <t>dhananjay.warane@absgroup.in</t>
  </si>
  <si>
    <t>Dhananjay Warane</t>
  </si>
  <si>
    <t>SILICA INFRA PROJECT</t>
  </si>
  <si>
    <t>10 Ton Portal Gantry Crane</t>
  </si>
  <si>
    <t>nisha@silicagroup.co.in</t>
  </si>
  <si>
    <t>Srikar Biotech Private Limited</t>
  </si>
  <si>
    <t>Nacharam, Secunderabad, Telangana, India</t>
  </si>
  <si>
    <t>support@srikargroup.com</t>
  </si>
  <si>
    <t>sanjay</t>
  </si>
  <si>
    <t>Ahmedabad, Gujarat, India</t>
  </si>
  <si>
    <t>Chain Hoist Electric</t>
  </si>
  <si>
    <t>DEV ENGINEERING</t>
  </si>
  <si>
    <t>Jamshedpur, Jharkhand, India</t>
  </si>
  <si>
    <t>souravmishra0310@gmail.com</t>
  </si>
  <si>
    <t>Sourav</t>
  </si>
  <si>
    <t>Portable Cranes</t>
  </si>
  <si>
    <t>gopali</t>
  </si>
  <si>
    <t>The Globet Crane Industries</t>
  </si>
  <si>
    <t>Plot No 283, Ground Floor, Pocket - B, DSIDC Sector - 4, Bawana Industrial Area, North West Delhi,, New Delhi, Delhi, India</t>
  </si>
  <si>
    <t>Cranes,</t>
  </si>
  <si>
    <t>neerajgupta20241988@gmail.com</t>
  </si>
  <si>
    <t>Neeraj Gupta</t>
  </si>
  <si>
    <t>Skmd Electrica</t>
  </si>
  <si>
    <t>swamyss280794@gimal.com</t>
  </si>
  <si>
    <t>Sangita industries</t>
  </si>
  <si>
    <t>Uran Islampur, Maharashtra, India</t>
  </si>
  <si>
    <t>abhijeetshinde3303@gmail.com</t>
  </si>
  <si>
    <t>Abhijeet Shinde</t>
  </si>
  <si>
    <t>Pune, Maharashtra, India</t>
  </si>
  <si>
    <t>Material Handling System</t>
  </si>
  <si>
    <t>ajittambe@yahoo.com</t>
  </si>
  <si>
    <t>ajeet</t>
  </si>
  <si>
    <t>Hoshangabad, Madhya Pradesh, India</t>
  </si>
  <si>
    <t>X Y Rail System</t>
  </si>
  <si>
    <t>rajkushwahasm@gmail.com</t>
  </si>
  <si>
    <t>Vilas Transcore Limited</t>
  </si>
  <si>
    <t>ashishpa23@yahoo.com</t>
  </si>
  <si>
    <t>ashish patel</t>
  </si>
  <si>
    <t>Earth Acquirer Engineering Corporation</t>
  </si>
  <si>
    <t>earthacquirer@gmail.com</t>
  </si>
  <si>
    <t>Himanshu Thakkar</t>
  </si>
  <si>
    <t>AV Cranes</t>
  </si>
  <si>
    <t>Room No. 5, Sunita Niwas, Road No 16, Kisan Nagar No 2, Near Shiv Mandir, Thane, Maharashtra, India</t>
  </si>
  <si>
    <t>Material Handling Systems</t>
  </si>
  <si>
    <t>Tulsirao Bhaskarrao Obinindi</t>
  </si>
  <si>
    <t>MAYURESH ENGINEERING</t>
  </si>
  <si>
    <t>Pirangut</t>
  </si>
  <si>
    <t xml:space="preserve">Pneumatic Hoist </t>
  </si>
  <si>
    <t>mayureshengineers.purchase@gmail.com</t>
  </si>
  <si>
    <t>JAN-HT06SV</t>
  </si>
  <si>
    <t>Siddheshwar Iron And Steel Pvt. Ltd.</t>
  </si>
  <si>
    <t>Plot No.29/2/B, At Post Khed, TQ Norh Solapur, Solapur, Maharashtra, India</t>
  </si>
  <si>
    <t>beskarumar@gmail.com</t>
  </si>
  <si>
    <t>Umar Beskar</t>
  </si>
  <si>
    <t>1223,Salgaon,Jambharmala,Mkg Road,Kudal,Sindhudurg, Kudal, Maharashtra, India</t>
  </si>
  <si>
    <t>Himmat Bhimji Patel</t>
  </si>
  <si>
    <t>shree krishna metal work</t>
  </si>
  <si>
    <t>Industrial Gantry Crane Solutions</t>
  </si>
  <si>
    <t>abhay9156273029@gmail.com</t>
  </si>
  <si>
    <t>Abhay</t>
  </si>
  <si>
    <t>Yansefu Inks &amp; Coatings Pvt. Ltd.</t>
  </si>
  <si>
    <t>Alwar, Rajasthan, India</t>
  </si>
  <si>
    <t>mvnn19@gmail.com</t>
  </si>
  <si>
    <t>Vinod Kumar</t>
  </si>
  <si>
    <t>jrctradingworkmate@gmail.com</t>
  </si>
  <si>
    <t>Economy Process Solutions Pvt. Ltd</t>
  </si>
  <si>
    <t>khopoli</t>
  </si>
  <si>
    <t>Offer for Supply of CHAIN PULLY BLOCK 5 TON</t>
  </si>
  <si>
    <t>Ratish</t>
  </si>
  <si>
    <t>Jan-OQ01SV</t>
  </si>
  <si>
    <t>bihar</t>
  </si>
  <si>
    <t>deepakkumarsah6960@gmail.com</t>
  </si>
  <si>
    <t>deepak kumar</t>
  </si>
  <si>
    <t>Balkrishna Suresh Shirke</t>
  </si>
  <si>
    <t>light crane system</t>
  </si>
  <si>
    <t>rahulraju.ra2@gmail.com</t>
  </si>
  <si>
    <t>rahul raju</t>
  </si>
  <si>
    <t>ACE COATING INDIA PVT LTD</t>
  </si>
  <si>
    <t xml:space="preserve">Flame Proof Hoist </t>
  </si>
  <si>
    <t>projects@aceindia.co.in'</t>
  </si>
  <si>
    <t>JAN-HT007SV</t>
  </si>
  <si>
    <t>called multiple times never received calles</t>
  </si>
  <si>
    <t>single girder eot cranes'.</t>
  </si>
  <si>
    <t>bhasin_batt@hotmail.com</t>
  </si>
  <si>
    <t>rajeev basin</t>
  </si>
  <si>
    <t>shree motar garage</t>
  </si>
  <si>
    <t>moneshwarmore7020@gmail.com</t>
  </si>
  <si>
    <t>moneshwar more</t>
  </si>
  <si>
    <t>kejariwaldinesh@gmail.com</t>
  </si>
  <si>
    <t>KIRLOSKAR PNEUMATICS CO. LTD</t>
  </si>
  <si>
    <t>Jib Crane of 1000KG Capacity</t>
  </si>
  <si>
    <t>'yogesh.patil@kirloskar.com'</t>
  </si>
  <si>
    <t>Yogesh Patil</t>
  </si>
  <si>
    <t>JAN-HT08SV</t>
  </si>
  <si>
    <t>SMH RAIL INDIA PVT LTD</t>
  </si>
  <si>
    <t xml:space="preserve">JibCrane of 1MT &amp;  2MT Capacity </t>
  </si>
  <si>
    <t>Srikantha</t>
  </si>
  <si>
    <t>JAN-JC05SV</t>
  </si>
  <si>
    <t>ENDO KOGYO INDIA LTD.</t>
  </si>
  <si>
    <t xml:space="preserve">of Jib Crane of 250kg &amp; 500kg Capacity </t>
  </si>
  <si>
    <t>'Akshay Salunkhe' &lt;eki1@endo-india.co.in&gt;</t>
  </si>
  <si>
    <t xml:space="preserve">Akshay </t>
  </si>
  <si>
    <t>JAN-JC06SV</t>
  </si>
  <si>
    <t xml:space="preserve">Datta Electricals </t>
  </si>
  <si>
    <t xml:space="preserve">SG EOT Crane of 10MT Capacity </t>
  </si>
  <si>
    <t>'Datta Electricals' &lt;electricals@dattaenterprises.co.in&gt;</t>
  </si>
  <si>
    <t>Mangalgatti.M.J</t>
  </si>
  <si>
    <t>JAN-SG02SV</t>
  </si>
  <si>
    <t>Pooja Enterprises</t>
  </si>
  <si>
    <t>H No 5434 Kolhapur, Kolhapur, Maharashtra, India</t>
  </si>
  <si>
    <t>New</t>
  </si>
  <si>
    <t>Bageshwar, Uttarakhand, India</t>
  </si>
  <si>
    <t>kamalpandey3005@gmail.com</t>
  </si>
  <si>
    <t>Gandhidham, Gujarat, India</t>
  </si>
  <si>
    <t>3 Ton Electric Chain Hoist</t>
  </si>
  <si>
    <t>Vijaypatel</t>
  </si>
  <si>
    <t>Infofil</t>
  </si>
  <si>
    <t>Bharuch</t>
  </si>
  <si>
    <t>nnayal@gmail.com</t>
  </si>
  <si>
    <t>Nirpendra Singh Nayal</t>
  </si>
  <si>
    <t>Perundurai</t>
  </si>
  <si>
    <t>ms electric chain hoist</t>
  </si>
  <si>
    <t>RAMESH NAIK</t>
  </si>
  <si>
    <t>Mit College Of Engineering</t>
  </si>
  <si>
    <t>Industrial Monorail Crane</t>
  </si>
  <si>
    <t>abhijeet.santosh.gawade@gmail.com</t>
  </si>
  <si>
    <t>Abhijeet Santosh Gawade</t>
  </si>
  <si>
    <t>Saharsh Technocrafts</t>
  </si>
  <si>
    <t>295/1/4, Bicholi Hapsi, Bicholi Hapsi Road, Indore, Madhya Pradesh, India</t>
  </si>
  <si>
    <t>mantrisankum@rediffmail.com</t>
  </si>
  <si>
    <t>Sanjay Mantri</t>
  </si>
  <si>
    <t>Siddhivinayak Distributors</t>
  </si>
  <si>
    <t>115,Shop, No Vighnahar, Sankul, Narayangaon, Junnar,, Pune, Maharashtra, India</t>
  </si>
  <si>
    <t>sthorat207@gmail.com</t>
  </si>
  <si>
    <t>Sagar Kerbhau Thorat</t>
  </si>
  <si>
    <t>Patel Industrial Estate, Building No. 5, Unit No. 110 Gaurai Pada, Vasai, Maharashtra, India</t>
  </si>
  <si>
    <t>pg_conversions@yahoo.com</t>
  </si>
  <si>
    <t>Aashish Goradia</t>
  </si>
  <si>
    <t>Nisha Agarbaati</t>
  </si>
  <si>
    <t>vikrambhaichaudhary1994@gmail.com</t>
  </si>
  <si>
    <t>Rutvik Chaudhary</t>
  </si>
  <si>
    <t>D Scon Construction Private Limited</t>
  </si>
  <si>
    <t>dsconconstruction@gmail.com</t>
  </si>
  <si>
    <t>DIPAK SHIRKE</t>
  </si>
  <si>
    <t>Tirupati</t>
  </si>
  <si>
    <t>Rahman Ali</t>
  </si>
  <si>
    <t>H-39 Surajpur Industrial Area Site-c Greater Noida  Gautam Buddha Nagar New Delhi, Greater Noida, Uttar Pradesh, India</t>
  </si>
  <si>
    <t>gauravan92@gmail.com</t>
  </si>
  <si>
    <t>Gourav Anand</t>
  </si>
  <si>
    <t>Yogi Enterprises</t>
  </si>
  <si>
    <t>S No 35, Dattawadi, Akurdi, Haveli, Pimpri Chinchwad, Maharashtra, India</t>
  </si>
  <si>
    <t>sachin</t>
  </si>
  <si>
    <t>Arm welder pvt Ltd</t>
  </si>
  <si>
    <t xml:space="preserve">Manipulator of 400KG Capacity </t>
  </si>
  <si>
    <t>'Swapnil Kashid' &lt;automation.bo@armwelders.com&gt;</t>
  </si>
  <si>
    <t xml:space="preserve">Swapnil Kashid </t>
  </si>
  <si>
    <t>within 2-3days 23-01</t>
  </si>
  <si>
    <t>WIPRO PARI</t>
  </si>
  <si>
    <t>VILLAGE DHANGARWADI</t>
  </si>
  <si>
    <t>Jib Crane of 500kg 1T &amp; 5T</t>
  </si>
  <si>
    <t>maruti keskar</t>
  </si>
  <si>
    <t>JAN-JC08SV</t>
  </si>
  <si>
    <t>'sales@gpe.net.in'</t>
  </si>
  <si>
    <t>JAN-JC09SV</t>
  </si>
  <si>
    <t>need tackle</t>
  </si>
  <si>
    <t>CHAKAN PUNE</t>
  </si>
  <si>
    <t>dnynesh</t>
  </si>
  <si>
    <t>Jan-JC09SV</t>
  </si>
  <si>
    <t>MR Nirmal Industries</t>
  </si>
  <si>
    <t>S no B 21,HNO 4060,Ramchandra nagar,Dhanakawadi Kolewadi Road, Jambhulwadi Lake, Jambhulwadi,411043,Pune, Pune, Maharashtra, India</t>
  </si>
  <si>
    <t>Electric Floor Cranes, 5 Ton</t>
  </si>
  <si>
    <t>sandypoman99@gmail.com</t>
  </si>
  <si>
    <t>Vishal Poman</t>
  </si>
  <si>
    <t>KINGDOM OF BAHRAIN</t>
  </si>
  <si>
    <t xml:space="preserve">Design of Support structure of EOT Crane </t>
  </si>
  <si>
    <t>'gk@bwcbah.com'</t>
  </si>
  <si>
    <t>RIJ ENGINEERING PVT. LTD. (FORGE DIV.),</t>
  </si>
  <si>
    <t>Monorail System  </t>
  </si>
  <si>
    <t>'maint.ht@rijeng.in'</t>
  </si>
  <si>
    <t>Dass</t>
  </si>
  <si>
    <t>Dec-MN003SV--RE</t>
  </si>
  <si>
    <t xml:space="preserve">Transfer trolley </t>
  </si>
  <si>
    <t>Ganeshsir</t>
  </si>
  <si>
    <t>Jan-OQ09SV</t>
  </si>
  <si>
    <t>laxmichand.raigar43@gmail.com</t>
  </si>
  <si>
    <t>Laxmi Chand Tanwer</t>
  </si>
  <si>
    <t>hazrat baba tajuddin trust</t>
  </si>
  <si>
    <t>Electric Single Girder Eot Crane</t>
  </si>
  <si>
    <t>iqbalveljee@hotmail.com</t>
  </si>
  <si>
    <t>Iqbal Veljee</t>
  </si>
  <si>
    <t>Premier Rolling Shutters</t>
  </si>
  <si>
    <t> EOT Crane</t>
  </si>
  <si>
    <t>babupremiershutters1099@gmail.com</t>
  </si>
  <si>
    <t>Velligiri babu</t>
  </si>
  <si>
    <t>industrial cranes</t>
  </si>
  <si>
    <t>abdul</t>
  </si>
  <si>
    <t>Kolhapur - Maharashtra</t>
  </si>
  <si>
    <t>pneumatic manipulator</t>
  </si>
  <si>
    <t>foundryequipment77@gmail.com</t>
  </si>
  <si>
    <t>COMPLETED</t>
  </si>
  <si>
    <t>Dhanaprakash Industrial Corporation</t>
  </si>
  <si>
    <t>sakshi shinde</t>
  </si>
  <si>
    <t>Aomegaa Tech Fencing Industry</t>
  </si>
  <si>
    <t>D.No.3/35, Sundakapatti, Vadamalampatti, Krishnagiri, Tamil Nadu, India</t>
  </si>
  <si>
    <t>kirubataniesh114@gmail.com</t>
  </si>
  <si>
    <t>Kirubanandhan</t>
  </si>
  <si>
    <t>Opp Santhi Theatre 120 3 711 P.n.road Sivasakthi Complex Tirupur, Tiruppur, Tamil Nadu, India</t>
  </si>
  <si>
    <t>5 Ton Single Girder Gantry Crane</t>
  </si>
  <si>
    <t>srivinayakahydraulic@gmail.com</t>
  </si>
  <si>
    <t>Srishti Constructions</t>
  </si>
  <si>
    <t>House No. 39, 2nd Main, Muneshwara Layout, Street Mannarayana Palya, Near Karnataka Housing Quarters, Bengaluru, Karnataka, India</t>
  </si>
  <si>
    <t>C-Rail System</t>
  </si>
  <si>
    <t>sampangiramh@gmail.com</t>
  </si>
  <si>
    <t>Sampangiram Hanumaiah</t>
  </si>
  <si>
    <t>Rajkot, Gujarat, India</t>
  </si>
  <si>
    <t>Material Handling Machines &amp; Systems</t>
  </si>
  <si>
    <t>bhanderivedant057@gmail.com</t>
  </si>
  <si>
    <t>fake</t>
  </si>
  <si>
    <t>Foundry equipment engineers</t>
  </si>
  <si>
    <t>Industrial Pneumatic Manipulator for Core Material Lifting</t>
  </si>
  <si>
    <t>sagarr.fee@gmail.com</t>
  </si>
  <si>
    <t>Gayatri Sagar</t>
  </si>
  <si>
    <t>TCP 2 Army Cantonment, Faridkot Division, Faridkot, Punjab, India</t>
  </si>
  <si>
    <t>VINOD SINGH</t>
  </si>
  <si>
    <t>PITTI ENGINEERING LTD</t>
  </si>
  <si>
    <t xml:space="preserve"> &lt;manojkumar.m@pitti.in&gt;</t>
  </si>
  <si>
    <t>M. Manoj Kuma</t>
  </si>
  <si>
    <t>Jan-SG06SV</t>
  </si>
  <si>
    <t>TATA AUTOCOMP GOTION GREEN ENERGY SOLUTIONS</t>
  </si>
  <si>
    <t xml:space="preserve">Electric Chain Hoist of 500KG &amp; 1MT Capacity </t>
  </si>
  <si>
    <t xml:space="preserve">Kiran Deore </t>
  </si>
  <si>
    <t>JAN-HT010SV</t>
  </si>
  <si>
    <t>SYSCON TRADING &amp; MECHANICAL SERVICES CO.W.L.L</t>
  </si>
  <si>
    <t xml:space="preserve">Kingdom of Bharain </t>
  </si>
  <si>
    <t>Jib Crane 2MT</t>
  </si>
  <si>
    <t>'crane@syscon.bh'</t>
  </si>
  <si>
    <t>Avadhut Patil</t>
  </si>
  <si>
    <t>Combat Robotics India Pvt Ltd </t>
  </si>
  <si>
    <t>Electric Wire Rope Hoist Of 10MT Capacity</t>
  </si>
  <si>
    <t>'aditya.tahakik@combatrobotics.in'</t>
  </si>
  <si>
    <t>Aditya Tahakik</t>
  </si>
  <si>
    <t>JAN-JC10SV</t>
  </si>
  <si>
    <t>Shubhada Polymers Products Pvt. Ltd.</t>
  </si>
  <si>
    <t>NEW Mumbai</t>
  </si>
  <si>
    <t>'Viru Parab' &lt;viru.parab@shubhadapolymers.com&gt;</t>
  </si>
  <si>
    <t>JAN-HT05SV</t>
  </si>
  <si>
    <t>VARC INTERNATIONAL PVT LTD</t>
  </si>
  <si>
    <t>Chhatrapati Sambhajinagar</t>
  </si>
  <si>
    <t>Single Girder EOT Crane</t>
  </si>
  <si>
    <t>Anil Thale</t>
  </si>
  <si>
    <t>Agriculture</t>
  </si>
  <si>
    <t>Parseoni, Maharashtra, India</t>
  </si>
  <si>
    <t>sagarrewatkar908@gmail.com</t>
  </si>
  <si>
    <t>Sagar Rewatkar</t>
  </si>
  <si>
    <t>Electrodrive Powertrain Solutions Pvt. Ltd.</t>
  </si>
  <si>
    <t>TRICHY ROAD, 97/3, VADAKKU SAMBALA THOTTAM, KANNAMPALAYAM, SULUR TALUK, Coimbatore, Tamil Nadu, India</t>
  </si>
  <si>
    <t>Nikhil Kumar</t>
  </si>
  <si>
    <t>Goa Tissue</t>
  </si>
  <si>
    <t>Sanvordem, Goa, Goa, India</t>
  </si>
  <si>
    <t>Dhiraj</t>
  </si>
  <si>
    <t>Akber Engineering Work</t>
  </si>
  <si>
    <t>khan.akbar1212@gmail.com</t>
  </si>
  <si>
    <t>Bhoot Nath Construction Company</t>
  </si>
  <si>
    <t>779 Gumnawara  Pichhor Gumnawara Pithhor, Jhansi, Uttar Pradesh, India</t>
  </si>
  <si>
    <t>EOT Crane Manufacturer</t>
  </si>
  <si>
    <t>sachin.upadhyay51@gmail.com</t>
  </si>
  <si>
    <t>G Technical Resource</t>
  </si>
  <si>
    <t>prajapatiajay675@gmail.com</t>
  </si>
  <si>
    <t>Ajay Prajapati</t>
  </si>
  <si>
    <t>Mirit Laser Tech</t>
  </si>
  <si>
    <t>ajaikulkarni669@gmail.com</t>
  </si>
  <si>
    <t>ajay</t>
  </si>
  <si>
    <t>Pranav Engineering Works</t>
  </si>
  <si>
    <t>M.No. 1290, Anthurne, Indapur, Pune, Maharashtra, India</t>
  </si>
  <si>
    <t>10 Ton Electric Wire Rope Hoist</t>
  </si>
  <si>
    <t>sablekv1222@gmail.com</t>
  </si>
  <si>
    <t>Kishor Vaman Sabale</t>
  </si>
  <si>
    <t>Nashik, Maharashtra, India</t>
  </si>
  <si>
    <t>500 Electric Hoist, 0.5 Ton</t>
  </si>
  <si>
    <t>sagar_india@outlook.in</t>
  </si>
  <si>
    <t>Archana Singh</t>
  </si>
  <si>
    <t>PROCCESS</t>
  </si>
  <si>
    <t>MERINO INDUSTRIES LTD</t>
  </si>
  <si>
    <t xml:space="preserve">Vadodala </t>
  </si>
  <si>
    <t xml:space="preserve">1T Jib Crane with Hoist </t>
  </si>
  <si>
    <t>santoshkumardas@merinoindia.com'</t>
  </si>
  <si>
    <t>Santosh Das</t>
  </si>
  <si>
    <t>JAN-JC011SV</t>
  </si>
  <si>
    <t xml:space="preserve">Kirloskar Pneumatics Co Ltd </t>
  </si>
  <si>
    <t>Hadapsar Pune</t>
  </si>
  <si>
    <t>yogesh.patil@kirloskar.com'</t>
  </si>
  <si>
    <t>Yogesh B Patil</t>
  </si>
  <si>
    <t>PARANJPE AUTOCAST PVT LTD</t>
  </si>
  <si>
    <t>Shirwal</t>
  </si>
  <si>
    <t>Monorail System of 2Mt</t>
  </si>
  <si>
    <t>ojyadav@paranjapeautocast.com'</t>
  </si>
  <si>
    <t>Kiran Yadav</t>
  </si>
  <si>
    <t>JAN-MN06SV</t>
  </si>
  <si>
    <t>Ultra Corpotech Ltd</t>
  </si>
  <si>
    <t>nwarang@ultracorpotech.com'</t>
  </si>
  <si>
    <t>Nitin Warang</t>
  </si>
  <si>
    <t>JAN-MN02SV</t>
  </si>
  <si>
    <t xml:space="preserve">1T Jib Crane &amp; 250kg Support structure </t>
  </si>
  <si>
    <t>Akshay Salunke</t>
  </si>
  <si>
    <t xml:space="preserve">JAN -Mail </t>
  </si>
  <si>
    <t>Hanuman Engineering</t>
  </si>
  <si>
    <t>Flat No. B-304, Gat No. 140/1, 11 K County, Borhadewadi, Moshi, Pune, Maharashtra, India</t>
  </si>
  <si>
    <t>hanumaneng95@gmail.com</t>
  </si>
  <si>
    <t>Audumbar Survase</t>
  </si>
  <si>
    <t>Faridabad, Haryana, India</t>
  </si>
  <si>
    <t>Sumit Kumar</t>
  </si>
  <si>
    <t>Saffron Techmech</t>
  </si>
  <si>
    <t>Shed No-112, Aarya Ind. Park, Village- Kubadthal, Ta-Daskroi, Opp-Vivekanand Ind. Park, Ahmedabad, Gujarat, India</t>
  </si>
  <si>
    <t>saffrontechmech@outlook.in</t>
  </si>
  <si>
    <t>Yash Panchal</t>
  </si>
  <si>
    <t>Gantry Crane (5 T Capacity)</t>
  </si>
  <si>
    <t>Palus, Maharashtra, India</t>
  </si>
  <si>
    <t>abhisalunkhe07@gmail.com</t>
  </si>
  <si>
    <t>Abhijeet</t>
  </si>
  <si>
    <t>IPE Global Ltd</t>
  </si>
  <si>
    <t>Mysuru, Karnataka, India</t>
  </si>
  <si>
    <t>ramyamadhusudhan3@gmail.com</t>
  </si>
  <si>
    <t>Ramya AM</t>
  </si>
  <si>
    <t>Vishal Automobiles</t>
  </si>
  <si>
    <t>64,Dada Estate,Sanand Cross Road,Sarkhej, Ahmedabad, Gujarat, India</t>
  </si>
  <si>
    <t> 7.5 Ton Electric Chain Hoist</t>
  </si>
  <si>
    <t>bhavanimotocraft@gmail.com</t>
  </si>
  <si>
    <t>Mukeshbhai Bhupendrabhai Solanki</t>
  </si>
  <si>
    <t>Arham Hi-Tech Design And Solution Pvt.Ltd</t>
  </si>
  <si>
    <t>2, Ground, Gamdevi Ambika Temple Trust Compound, Kirol, Vidyavihar, Suburban, Mumbai, Maharashtra, India</t>
  </si>
  <si>
    <t xml:space="preserve">T chain Hoist 6Mtr HOL Power trolley </t>
  </si>
  <si>
    <t>sales@arhamcomposite.com</t>
  </si>
  <si>
    <t>vijay</t>
  </si>
  <si>
    <t>JAN-HT013SV</t>
  </si>
  <si>
    <t>not fitted in there req</t>
  </si>
  <si>
    <t>akshaydsabale@gmail.com</t>
  </si>
  <si>
    <t>AKSHAY Sabale</t>
  </si>
  <si>
    <t>pattishwara</t>
  </si>
  <si>
    <t>Coimbatore, Tamil Nadu, India</t>
  </si>
  <si>
    <t>smahesh7662@gmail.com</t>
  </si>
  <si>
    <t>Maheshwaran</t>
  </si>
  <si>
    <t>Vistaar Solutions</t>
  </si>
  <si>
    <t>City Arcade, Shop No. 12, Plot No. 9, Sector 5, Navi Mumbai, Maharashtra, India</t>
  </si>
  <si>
    <t>himank@vistaarsolutions.in</t>
  </si>
  <si>
    <t>Himank Konde</t>
  </si>
  <si>
    <t>S.M.Traders</t>
  </si>
  <si>
    <t>Gangarampur</t>
  </si>
  <si>
    <t>s.m.traders.dd@gmail.com</t>
  </si>
  <si>
    <t>Himansu Sarkar</t>
  </si>
  <si>
    <t xml:space="preserve">PARAG INDUSTRIES </t>
  </si>
  <si>
    <t>Chakan Shikrapur</t>
  </si>
  <si>
    <t xml:space="preserve">festooning System </t>
  </si>
  <si>
    <t>paragempire@gmail.com'</t>
  </si>
  <si>
    <t>JAN-OQ03SV</t>
  </si>
  <si>
    <t>FM LOGISTIC,</t>
  </si>
  <si>
    <t>Baner Pune</t>
  </si>
  <si>
    <t>Jib Crane Foundation Template &amp; Bolts</t>
  </si>
  <si>
    <t>piyush.shinde@fmlogistic.com</t>
  </si>
  <si>
    <t>Piyush Shinde</t>
  </si>
  <si>
    <t>JAN-OQ04SV</t>
  </si>
  <si>
    <t>KIRLOSKAR OIL ENGINE LTD</t>
  </si>
  <si>
    <t xml:space="preserve">Kagal Kolhapur </t>
  </si>
  <si>
    <t>Electric Chain Hoist of 1000kg Capacity</t>
  </si>
  <si>
    <t>kishor.agale@kirloskar.com'</t>
  </si>
  <si>
    <t xml:space="preserve">kishor agale </t>
  </si>
  <si>
    <t>JAN-HT12SV</t>
  </si>
  <si>
    <t>Pithampur, Madhya Pradesh, India</t>
  </si>
  <si>
    <t>Ashish</t>
  </si>
  <si>
    <t>swatah.ai</t>
  </si>
  <si>
    <t>Crane Under Light</t>
  </si>
  <si>
    <t>abhinav@swatah.ai</t>
  </si>
  <si>
    <t>ABHINAV BHARTI</t>
  </si>
  <si>
    <t>Zeal Institute</t>
  </si>
  <si>
    <t xml:space="preserve">Katraj Pune </t>
  </si>
  <si>
    <t>levin.c.v.5346@gmail.com'</t>
  </si>
  <si>
    <t>levin cv</t>
  </si>
  <si>
    <t>JAN-LCS10SV</t>
  </si>
  <si>
    <t>S P M India Ltd.</t>
  </si>
  <si>
    <t>KT No 182, GDR Tech Ville Block A, 30th KM Bangalore -Mysore Highway, Ketaganahalli Village,Bidadi Hobli Ramanagara Taluk, Ramanagara, Karnataka, India</t>
  </si>
  <si>
    <t>design@spmil.com</t>
  </si>
  <si>
    <t>Mithu</t>
  </si>
  <si>
    <t>FEB-MN01SV-F01</t>
  </si>
  <si>
    <t>VINAYAK ENTERPRISES</t>
  </si>
  <si>
    <t>vikashmanjhi1987@gmail.com</t>
  </si>
  <si>
    <t>VINAYAK</t>
  </si>
  <si>
    <t>ravi</t>
  </si>
  <si>
    <t>uttar pradesh</t>
  </si>
  <si>
    <t>Mayank Yadav</t>
  </si>
  <si>
    <t>Traveling cranes</t>
  </si>
  <si>
    <t>SK Print Solutions Pvt Ltd</t>
  </si>
  <si>
    <t>Single Girder Goliath Crane of 3MT Capacity.</t>
  </si>
  <si>
    <t xml:space="preserve"> &lt;ajay.dg@ekamobility.com&gt;</t>
  </si>
  <si>
    <t>Ajay Gunnal'</t>
  </si>
  <si>
    <t>JAN-GC001SV</t>
  </si>
  <si>
    <t>Shringar engineering and energy systems</t>
  </si>
  <si>
    <t>Bengaluru, Karnataka, India</t>
  </si>
  <si>
    <t>Karnatka</t>
  </si>
  <si>
    <t>Electric Chain Pillar Crane </t>
  </si>
  <si>
    <t>gowri.gowdaiah01@gmail.com</t>
  </si>
  <si>
    <t>gwari</t>
  </si>
  <si>
    <t>lcs</t>
  </si>
  <si>
    <t>Siddharth</t>
  </si>
  <si>
    <t>Suntech Engineering Corporation</t>
  </si>
  <si>
    <t>plot No T-80 , Gala No J-05 Mangalmurti Ind. T Block  Chinchwad, Pune, Maharashtra, India</t>
  </si>
  <si>
    <t>suntec.ec@gmail.com</t>
  </si>
  <si>
    <t>victor</t>
  </si>
  <si>
    <t>MG Divine Enterprise</t>
  </si>
  <si>
    <t>0, Garhi Rahna Ganauli Road, Garhi Bus Stop, Garhi, Raipur Rani, Haryana, India</t>
  </si>
  <si>
    <t>MS Portable Gantry Crane</t>
  </si>
  <si>
    <t>sainiyarr066@gmail.com</t>
  </si>
  <si>
    <t>Hunny Saini</t>
  </si>
  <si>
    <t xml:space="preserve">KURULI </t>
  </si>
  <si>
    <t>liftsafesales' &lt;liftsafesales@gmail.com&gt;</t>
  </si>
  <si>
    <t>JAN-HT14SV</t>
  </si>
  <si>
    <t>Dhiman Shah</t>
  </si>
  <si>
    <t>portable jib cranes'</t>
  </si>
  <si>
    <t>Reliable Enterprises</t>
  </si>
  <si>
    <t>S No 54, bande nagar,khadi machine chowk, Kondhwa, Pune, Maharashtra, India</t>
  </si>
  <si>
    <t>Single Girder Hoist Crane</t>
  </si>
  <si>
    <t>reliable.enterprises@ymail.com</t>
  </si>
  <si>
    <t>Hitesh Kitawat</t>
  </si>
  <si>
    <t>Kanpur, Uttar Pradesh, India</t>
  </si>
  <si>
    <t>Jyoti Gupta</t>
  </si>
  <si>
    <t>Iqra scrap trders</t>
  </si>
  <si>
    <t>Darwaha, Maharashtra, India</t>
  </si>
  <si>
    <t>iqrascrap7191@gmail.com</t>
  </si>
  <si>
    <t>Abdul Nadim</t>
  </si>
  <si>
    <t>DRAN Engg.</t>
  </si>
  <si>
    <t>dipali</t>
  </si>
  <si>
    <t>Sadashiv Rajput</t>
  </si>
  <si>
    <t>Plot No.R-849, TTC Industrial Area, Rabale Midc, Navi Mumbai, Maharashtra, India</t>
  </si>
  <si>
    <t>EOT Crane </t>
  </si>
  <si>
    <t>production.unit1@enggmech.com</t>
  </si>
  <si>
    <t>Prabhu K</t>
  </si>
  <si>
    <t>mackon</t>
  </si>
  <si>
    <t>makonbs@gmail.com</t>
  </si>
  <si>
    <t>Aryan ispat Pvt limited</t>
  </si>
  <si>
    <t>Bhadrak</t>
  </si>
  <si>
    <t>kumarnateshbbs705@gmail.com</t>
  </si>
  <si>
    <t>Naresh kuanr</t>
  </si>
  <si>
    <t>susmita</t>
  </si>
  <si>
    <t>Vinayak India Ltd</t>
  </si>
  <si>
    <t>Thoothukudi, Tamil Nadu, India</t>
  </si>
  <si>
    <t>abhirami.p@rinac.com</t>
  </si>
  <si>
    <t>Abhirami</t>
  </si>
  <si>
    <t>Kolhapur, Maharashtra, India</t>
  </si>
  <si>
    <t>Industrial Electric Hoist</t>
  </si>
  <si>
    <t>project@acebrain.com</t>
  </si>
  <si>
    <t>Aniket</t>
  </si>
  <si>
    <t>Godawri Spherocast Private Limited</t>
  </si>
  <si>
    <t>Post Office Tasimbly, Ambala Naraingarh Road, Humayunpur-Village, Near Handesra Punjab, Lalru, Mohali, Punjab, India</t>
  </si>
  <si>
    <t>Industrial Electric Manipulators</t>
  </si>
  <si>
    <t>sam.g55@gmail.com</t>
  </si>
  <si>
    <t>Samir Gupta</t>
  </si>
  <si>
    <t>Sri Shyam Engg.Works</t>
  </si>
  <si>
    <t>RENGALIPALI CAMP,N.H-06,R.P.CAMP,BARGARH Near Ambapali Choke,bolangir Road,768028,Bargarh, Bargarh, Odisha, India</t>
  </si>
  <si>
    <t>Krishna Agarwal</t>
  </si>
  <si>
    <t>DEEPAK</t>
  </si>
  <si>
    <t>Bhanpura, Madhya Pradesh, India</t>
  </si>
  <si>
    <t>Overhead Travelling Cranes</t>
  </si>
  <si>
    <t>Shah Alam Sayd</t>
  </si>
  <si>
    <t>5 Ton Electric Wire Rope Hoist</t>
  </si>
  <si>
    <t>syed</t>
  </si>
  <si>
    <t>ojaspatil2025@gmail.com</t>
  </si>
  <si>
    <t>ojas</t>
  </si>
  <si>
    <t>Pochampalle, Telangana, India</t>
  </si>
  <si>
    <t>bade</t>
  </si>
  <si>
    <t>Kirloskar Pneumatic co ltd</t>
  </si>
  <si>
    <t>Saswad</t>
  </si>
  <si>
    <t>single girder EOT Crane 3MT</t>
  </si>
  <si>
    <t>kiran.nikam@kirloskar.com'</t>
  </si>
  <si>
    <t>kiran nikam</t>
  </si>
  <si>
    <t>JAN-SG08SV</t>
  </si>
  <si>
    <t>In june it will be final</t>
  </si>
  <si>
    <t>PINNACLE MOBILITY SOLUTIONS (INSTOR INDIA),</t>
  </si>
  <si>
    <t>kOREGOAN bHIMA</t>
  </si>
  <si>
    <t>Keshav</t>
  </si>
  <si>
    <t>JAN-JC13SV</t>
  </si>
  <si>
    <t xml:space="preserve">jib crane of 250kg &amp; 1T Capacity </t>
  </si>
  <si>
    <t>Rajiv Falodiya' &lt;rajiv.f@ekamobility.com&gt;</t>
  </si>
  <si>
    <t>Rajiv Foladiya</t>
  </si>
  <si>
    <t>JAN-JC14SV</t>
  </si>
  <si>
    <t xml:space="preserve">Monorail system of 1T Capacity </t>
  </si>
  <si>
    <t>JAN-MN14SV</t>
  </si>
  <si>
    <t>EDWARDS INDIA (ATLAS COPCO GROUP)</t>
  </si>
  <si>
    <t>SG EOt Crane of 2&amp;3T Capacity</t>
  </si>
  <si>
    <t>alok.deshmukh@atlascopco.com'</t>
  </si>
  <si>
    <t>alok Mali</t>
  </si>
  <si>
    <t>JAN-SG13SV</t>
  </si>
  <si>
    <t>JCB India Ltd</t>
  </si>
  <si>
    <t xml:space="preserve">Jaipur </t>
  </si>
  <si>
    <t xml:space="preserve">5T SG EOT Crane </t>
  </si>
  <si>
    <t>Harjeet Singh' &lt;harjeet.singh@jcb.com&gt;</t>
  </si>
  <si>
    <t>Harjeet singh</t>
  </si>
  <si>
    <t>JAN SG14SV</t>
  </si>
  <si>
    <t>all not received</t>
  </si>
  <si>
    <t xml:space="preserve">Pall Corporation </t>
  </si>
  <si>
    <t>Birdawade, Vinayak' &lt;vinayak_birdawade@ap.pall.com&gt;</t>
  </si>
  <si>
    <t>Vinayak Birdawade</t>
  </si>
  <si>
    <t>JAN-SG12SV</t>
  </si>
  <si>
    <t>nbcc</t>
  </si>
  <si>
    <t>Delhi, Delhi, India</t>
  </si>
  <si>
    <t>sunil.k@nbccindia.com</t>
  </si>
  <si>
    <t>Sunil Kumar</t>
  </si>
  <si>
    <t>FEB DG01SV</t>
  </si>
  <si>
    <t>Sahara Engineering</t>
  </si>
  <si>
    <t>CHAWL NO.02,ROOM NO.18,VIJAY RAHIWASHI SANGH,NR KHANDOBA MANDIR,SG BARVE MARG,KURLA EAST Kurla Kamgar Nagar CHS Ltd. S. G. Barve Marg,, Mumbai, Maharashtra, India</t>
  </si>
  <si>
    <t>Industrial Manipulator</t>
  </si>
  <si>
    <t>sandeep98prajapati@gmail.com</t>
  </si>
  <si>
    <t>Sandip Prajapati</t>
  </si>
  <si>
    <t>Bokaro Distillery Private Limited</t>
  </si>
  <si>
    <t>Bokaro, Jharkhand, India</t>
  </si>
  <si>
    <t>Monorail Cranes</t>
  </si>
  <si>
    <t>jaytomar0203@gmail.com</t>
  </si>
  <si>
    <t>Jay Wardhan</t>
  </si>
  <si>
    <t>Panruti, Tamil Nadu, India</t>
  </si>
  <si>
    <t>saravansurya69@gmail.com</t>
  </si>
  <si>
    <t>Saravan Jayasurya</t>
  </si>
  <si>
    <t>Ashatura Glass Company</t>
  </si>
  <si>
    <t>Mehsana, Gujarat, India</t>
  </si>
  <si>
    <t>bharatparsia@gmail.com</t>
  </si>
  <si>
    <t>dharat</t>
  </si>
  <si>
    <t>Sant Baba Fabrication</t>
  </si>
  <si>
    <t>Solapur, Maharashtra, India</t>
  </si>
  <si>
    <t>somnathpatmas4574@gmail.com</t>
  </si>
  <si>
    <t>somnath</t>
  </si>
  <si>
    <t>MS Electric Chain Hoist</t>
  </si>
  <si>
    <t>Chhotelal</t>
  </si>
  <si>
    <t>Ajhuwa, Uttar Pradesh, India</t>
  </si>
  <si>
    <t>Electric Chain Hoist 2 Ton Only Up Down</t>
  </si>
  <si>
    <t>nayabm035@gmail.com</t>
  </si>
  <si>
    <t>HH</t>
  </si>
  <si>
    <t>Gaurav store</t>
  </si>
  <si>
    <t>Bahraich, Uttar Pradesh, India</t>
  </si>
  <si>
    <t>at173615@gmail.com</t>
  </si>
  <si>
    <t>Gurav</t>
  </si>
  <si>
    <t>S G Engineering Services</t>
  </si>
  <si>
    <t>SR NO 224/2/7, Mauli Niwas, Tukai Nagar, Dighi Road, Pune, Maharashtra, India</t>
  </si>
  <si>
    <t>Material Handling </t>
  </si>
  <si>
    <t>sgengg2014@gmail.com</t>
  </si>
  <si>
    <t>Anand Reddy</t>
  </si>
  <si>
    <t>Electric Chain Hoist with Electric Trolley</t>
  </si>
  <si>
    <t>lalsk7403@gmail.com</t>
  </si>
  <si>
    <t>SK Lal</t>
  </si>
  <si>
    <t>Munippa Industries</t>
  </si>
  <si>
    <t>S.F.343-B, Green View Telecom Colony, Vilankurich Village, Peelamedu, Coimbatore, Tamil Nadu, India</t>
  </si>
  <si>
    <t>Neelamegam Mohandass</t>
  </si>
  <si>
    <t>single girder eot cranes</t>
  </si>
  <si>
    <t>teel.rajendra@gmail.com</t>
  </si>
  <si>
    <t>Shashank Narayan Kolapkar</t>
  </si>
  <si>
    <t>The Exclusive</t>
  </si>
  <si>
    <t>exclusivejsr@hotmail.com</t>
  </si>
  <si>
    <t>Kailash Kumar Nagelia</t>
  </si>
  <si>
    <t>Rajput naitik</t>
  </si>
  <si>
    <t>3/349-1 First Floor, G V D Nagar Perur Chettipalayam, Postal Colony, Coimbatore, Tamil Nadu, India</t>
  </si>
  <si>
    <t>globaltechcbe1627@gmail.com</t>
  </si>
  <si>
    <t>Sathish Kumar</t>
  </si>
  <si>
    <t>Megha Ciment Pipe</t>
  </si>
  <si>
    <t>Meghacement Pipe,Botad, Botad, Gujarat, India</t>
  </si>
  <si>
    <t>nilesh patel</t>
  </si>
  <si>
    <t>Joel Process Engineering Private Limited</t>
  </si>
  <si>
    <t>100 Ton Heavy Duty Gantry Crane</t>
  </si>
  <si>
    <t>gonsalvesjoel2000@gmail.com</t>
  </si>
  <si>
    <t>Joel Johnson Gonsalves</t>
  </si>
  <si>
    <t>Bharat Forge Ltd</t>
  </si>
  <si>
    <t>Baramati midc</t>
  </si>
  <si>
    <t>ib crane of 1T, 1.5T &amp; 500kg</t>
  </si>
  <si>
    <t>MallikarjunBillur@bharatforge.com'</t>
  </si>
  <si>
    <t xml:space="preserve">Mallikarjaun </t>
  </si>
  <si>
    <t>JAN-JC015SV</t>
  </si>
  <si>
    <t>Heavy Duty Cranes</t>
  </si>
  <si>
    <t>0, Dadupur Govindpur, Sidcul Haridwar, Haridwar, Uttarakhand, India</t>
  </si>
  <si>
    <t>nafees52438@gmail.com</t>
  </si>
  <si>
    <t>Jendamark India Private Limited</t>
  </si>
  <si>
    <t>Gat No 736,733, Pune-Bangalore Highway, At Post Velu, Tal- Bhor, Pune, Maharashtra, India</t>
  </si>
  <si>
    <t>sandipan@jendamark.in</t>
  </si>
  <si>
    <t>Sandipan Sake</t>
  </si>
  <si>
    <t>EOT Crane Service</t>
  </si>
  <si>
    <t>DESAI QA</t>
  </si>
  <si>
    <t>Medha Servo Drives Private Limited</t>
  </si>
  <si>
    <t>Hyderabad, Telangana, India</t>
  </si>
  <si>
    <t>brcmurthy2577@gmail.com</t>
  </si>
  <si>
    <t>Ramachandra Murthy</t>
  </si>
  <si>
    <t>techno ind</t>
  </si>
  <si>
    <t>jayanti.parmar@technoelevators.com</t>
  </si>
  <si>
    <t>Rakesh enterprises</t>
  </si>
  <si>
    <t>Gandhinagar</t>
  </si>
  <si>
    <t>rakesh patel</t>
  </si>
  <si>
    <t>rajesh</t>
  </si>
  <si>
    <t>urja techniques india pvt ltd</t>
  </si>
  <si>
    <t>kalyan</t>
  </si>
  <si>
    <t>contract@urjatransformers.com</t>
  </si>
  <si>
    <t>kishor</t>
  </si>
  <si>
    <t>SRL Design Den</t>
  </si>
  <si>
    <t>shabbar1972@gmail.com</t>
  </si>
  <si>
    <t>mohammad</t>
  </si>
  <si>
    <t>Indore, Madhya Pradesh, India</t>
  </si>
  <si>
    <t> Wire Rope</t>
  </si>
  <si>
    <t>sharadpali1980@gmail.com</t>
  </si>
  <si>
    <t>Sharad Kumar Pali</t>
  </si>
  <si>
    <t>Megatech Industries</t>
  </si>
  <si>
    <t>71, Mahadev Industrial Estate V-3, Celluloz Mill Compound, On Canal, CTM Ramol Road, Ramol, Ahmedabad, Gujarat, India</t>
  </si>
  <si>
    <t>megatechindustries0101@gmail.com</t>
  </si>
  <si>
    <t>Devang Patel</t>
  </si>
  <si>
    <t>Darshit Corporation</t>
  </si>
  <si>
    <t>2 Ton Chain Hoist</t>
  </si>
  <si>
    <t>sanjay bhai</t>
  </si>
  <si>
    <t>Bathinda, Punjab, India</t>
  </si>
  <si>
    <t>Wire Rope Chain Hoist</t>
  </si>
  <si>
    <t>97harjeet97@gmail.com</t>
  </si>
  <si>
    <t>Hardeep Singh</t>
  </si>
  <si>
    <t>Construction Business</t>
  </si>
  <si>
    <t>Bhilwara, Rajasthan, India</t>
  </si>
  <si>
    <t>Material Lifting Crane</t>
  </si>
  <si>
    <t>Satyanarayan</t>
  </si>
  <si>
    <t>HYDRABAD</t>
  </si>
  <si>
    <t xml:space="preserve">1T Jib Crane </t>
  </si>
  <si>
    <t>K Bhaskara Rao Kollu' &lt;bhaskar@smhrail.com.my&gt;</t>
  </si>
  <si>
    <t>Bhaskar</t>
  </si>
  <si>
    <t>JAN-JC15SV</t>
  </si>
  <si>
    <t>Dismantling Modification</t>
  </si>
  <si>
    <t>ganesh.godambe@jcb.com'</t>
  </si>
  <si>
    <t>Ganesh Godambe</t>
  </si>
  <si>
    <t>JAN-OQ06SV</t>
  </si>
  <si>
    <t>5T Hoist</t>
  </si>
  <si>
    <t>Dipak Lagad' &lt;Dipak.Lagad@jcb.com&gt;</t>
  </si>
  <si>
    <t>Dipak lagad</t>
  </si>
  <si>
    <t>JAN-HT15SV</t>
  </si>
  <si>
    <t xml:space="preserve">Arhan Technology </t>
  </si>
  <si>
    <t>LCS Support Structure of 250kg</t>
  </si>
  <si>
    <t>assembly@arhan.co.in'</t>
  </si>
  <si>
    <t>ajay pardeshi</t>
  </si>
  <si>
    <t>S.S.engineering</t>
  </si>
  <si>
    <t>pune, Pune, Maharashtra, India</t>
  </si>
  <si>
    <t>navajadhav8@gmail.com</t>
  </si>
  <si>
    <t>NAVNATH SUBHASH JADHAV</t>
  </si>
  <si>
    <t>Bhabhar, Gujarat, India</t>
  </si>
  <si>
    <t>tejabhaiprajapati170@gmail.com</t>
  </si>
  <si>
    <t>Tejabhai</t>
  </si>
  <si>
    <t>ravikiran engg</t>
  </si>
  <si>
    <t>ravisutar24425@gmail.com</t>
  </si>
  <si>
    <t>ravindra</t>
  </si>
  <si>
    <t>Jib-cranes</t>
  </si>
  <si>
    <t>chirag8357@gmail.com</t>
  </si>
  <si>
    <t>chirag</t>
  </si>
  <si>
    <t>Amruta Enterprises</t>
  </si>
  <si>
    <t>SR No.83, Sonai Shankar Ind. Estate,Near, Shinde Bridge Shivane,, Pune, Maharashtra, India</t>
  </si>
  <si>
    <t>sunil.k@amrutaenterprises.com</t>
  </si>
  <si>
    <t>Sunil Karambelkar</t>
  </si>
  <si>
    <t>Kushinagar, Uttar Pradesh, India</t>
  </si>
  <si>
    <t>manish</t>
  </si>
  <si>
    <t>Rushi Gokhale</t>
  </si>
  <si>
    <t>Pimpri Chinchwad, Maharashtra, India</t>
  </si>
  <si>
    <t>Shatayuraj</t>
  </si>
  <si>
    <t>Sun Rock Synergy</t>
  </si>
  <si>
    <t>Plot No C-5, NU - 4, nr Anand Marg School, Sapna Nagar, Gandhidham, Gujarat, India</t>
  </si>
  <si>
    <t>info@sunrocksynergy.com</t>
  </si>
  <si>
    <t>Fateh Singh Rathore</t>
  </si>
  <si>
    <t>Spider Texs</t>
  </si>
  <si>
    <t>42,42/1 Murugan Nagar Vilankurichi Coimbatore, Coimbatore, Tamil Nadu, India</t>
  </si>
  <si>
    <t>spidertexs@gmail.com</t>
  </si>
  <si>
    <t>Samykannu Babyjohn</t>
  </si>
  <si>
    <t>manishghule39@gmail.com</t>
  </si>
  <si>
    <t>manish ghule</t>
  </si>
  <si>
    <t>Shubham Hydraulics</t>
  </si>
  <si>
    <t>Milkat No- 1734, Medankarwadi, Chakan, Pune, Maharashtra, India</t>
  </si>
  <si>
    <t>shubham.hydraluic@gmail.com</t>
  </si>
  <si>
    <t>Shubham Manjare</t>
  </si>
  <si>
    <t>Danfoss</t>
  </si>
  <si>
    <t>a.t.u.ldixit007@gmail.com</t>
  </si>
  <si>
    <t>Atul Dixit</t>
  </si>
  <si>
    <t>55555kunalpatil@gmail.com</t>
  </si>
  <si>
    <t>kunal</t>
  </si>
  <si>
    <t>Bhartiya Ispat Udhyog Mandir</t>
  </si>
  <si>
    <t>10-11, Kenpura Road, Rani, Rajasthan, India</t>
  </si>
  <si>
    <t>rani@bhartiyaispat.com</t>
  </si>
  <si>
    <t>C. L. Jain</t>
  </si>
  <si>
    <t>Sonu Fastener</t>
  </si>
  <si>
    <t>sonufastner@yahoo.com</t>
  </si>
  <si>
    <t>Baljit Singh Rehan</t>
  </si>
  <si>
    <t>P j Engineering</t>
  </si>
  <si>
    <t>dinesh</t>
  </si>
  <si>
    <t>Hotel heightview residency</t>
  </si>
  <si>
    <t>Dehra</t>
  </si>
  <si>
    <t>Jib crane</t>
  </si>
  <si>
    <t>amit agarwal</t>
  </si>
  <si>
    <t xml:space="preserve">A RAymond Chennai </t>
  </si>
  <si>
    <t xml:space="preserve">Plot No S21, 
 Vallam Vadagal, Taluk, 
Sriperumbudur
</t>
  </si>
  <si>
    <t>EOT Crane of 5T &amp; 3T</t>
  </si>
  <si>
    <t>humayun.mallick@araymond.com</t>
  </si>
  <si>
    <t xml:space="preserve">Humayun </t>
  </si>
  <si>
    <t>JAN-SG01SV</t>
  </si>
  <si>
    <t>KSB Pumps Ltd</t>
  </si>
  <si>
    <t>Shirwal Pune</t>
  </si>
  <si>
    <t>Dismantling &amp; Installation of Jib Crane</t>
  </si>
  <si>
    <t>Devendra.Kapade@ksb.com'</t>
  </si>
  <si>
    <t>Devendra Kapade</t>
  </si>
  <si>
    <t>JAN-OQ07SV</t>
  </si>
  <si>
    <t>Master Handlers Pvt.Ltd.</t>
  </si>
  <si>
    <t>EOT Crane of 10MT Capacity</t>
  </si>
  <si>
    <t>pur2@masterhandlers.com'</t>
  </si>
  <si>
    <t>Naagesh Jadhav</t>
  </si>
  <si>
    <t>JAN-DG02SV</t>
  </si>
  <si>
    <t>44,74,441.11</t>
  </si>
  <si>
    <t>jcb iNDIA ltd</t>
  </si>
  <si>
    <t xml:space="preserve">500kg &amp; 1T Jib crane </t>
  </si>
  <si>
    <t>&lt;musharrafali.syed@jcb.com&gt;</t>
  </si>
  <si>
    <t>Musharrafali Syed</t>
  </si>
  <si>
    <t>JAN-JC17SV</t>
  </si>
  <si>
    <t xml:space="preserve">Busbar </t>
  </si>
  <si>
    <t>' &lt;mdshinde@movetechconveyors.in&gt;</t>
  </si>
  <si>
    <t>Mangesh Shinde</t>
  </si>
  <si>
    <t>JAN-OQ08SV</t>
  </si>
  <si>
    <t xml:space="preserve">Ultra corpotech </t>
  </si>
  <si>
    <t xml:space="preserve"> Nighoje Chakan</t>
  </si>
  <si>
    <t xml:space="preserve">Jib Crane of 2MT Capacity </t>
  </si>
  <si>
    <t>skshirsagar@ultracorpotech.com'</t>
  </si>
  <si>
    <t xml:space="preserve">Sanjay shirsagar </t>
  </si>
  <si>
    <t>JAN-JC19SV</t>
  </si>
  <si>
    <t xml:space="preserve">Hadapsar </t>
  </si>
  <si>
    <t>LCS sytem with support structure 1T</t>
  </si>
  <si>
    <t xml:space="preserve"> &lt;rushikesh.tawade@kirloskar.com&gt;</t>
  </si>
  <si>
    <t>Rushikesh tawade</t>
  </si>
  <si>
    <t>JAN-LCS011SV</t>
  </si>
  <si>
    <t>MRF LTD</t>
  </si>
  <si>
    <t>Verna</t>
  </si>
  <si>
    <t>dhiraj.shetkar@mrfmail.com'</t>
  </si>
  <si>
    <t xml:space="preserve">Dhiraj </t>
  </si>
  <si>
    <t>JAN-JC016SV</t>
  </si>
  <si>
    <t xml:space="preserve">DUNKUN ENGG LTD </t>
  </si>
  <si>
    <t>SG Goliath Crane of 3+3 MT Capacity</t>
  </si>
  <si>
    <t>shailesh.paithankar@duncanengg.com'</t>
  </si>
  <si>
    <t xml:space="preserve">Shailesh </t>
  </si>
  <si>
    <t>Jan-GC05SV</t>
  </si>
  <si>
    <t>Bajarang Crane Service</t>
  </si>
  <si>
    <t>kunaldpawar1010@gmail.com</t>
  </si>
  <si>
    <t>\</t>
  </si>
  <si>
    <t>Disha Enterprises</t>
  </si>
  <si>
    <t>Prayagraj, Uttar Pradesh, India</t>
  </si>
  <si>
    <t>vm3304@gmail.com</t>
  </si>
  <si>
    <t>Virendra Nath Mishra</t>
  </si>
  <si>
    <t>Badri Rai &amp; Co.</t>
  </si>
  <si>
    <t>Near Radha Krishna Mandhir, Satation Road, Duliajan, Naharkatiya, Assam, India</t>
  </si>
  <si>
    <t>Dhirendra Pratap Singh</t>
  </si>
  <si>
    <t>Bhausaheb Namdeo Pawar</t>
  </si>
  <si>
    <t>3 RD Floor, Room No 301, Abhishek Home, Near Raj Palace, Khariwad, Daman, Dadra and Nagar Haveli and Daman and Diu, India</t>
  </si>
  <si>
    <t>Sangam Pawar</t>
  </si>
  <si>
    <t>5 Ton Single Girder EOT Cranes</t>
  </si>
  <si>
    <t>mostafamondal098@gmail.com</t>
  </si>
  <si>
    <t>Mostafa Mondal</t>
  </si>
  <si>
    <t>Confiar Engineers</t>
  </si>
  <si>
    <t>Ground Floor, Godown No. Unit No. B-18, Dhruv Industrial Park,Koyanavele, Industrial, Taloja Midc, Navi Mumbai, Maharashtra, India</t>
  </si>
  <si>
    <t>confiarengineers@gmail.com</t>
  </si>
  <si>
    <t>Vaibhav Mestri</t>
  </si>
  <si>
    <t>Marwar-Jn, Rajasthan, India</t>
  </si>
  <si>
    <t>jk768844@gmail.com</t>
  </si>
  <si>
    <t>Mohhamed JAVED</t>
  </si>
  <si>
    <t>Ossaak India</t>
  </si>
  <si>
    <t>A 20, Behind Stadium, Kirti Nagar, Bareilly, Uttar Pradesh, India</t>
  </si>
  <si>
    <t>Single Girder EOT Cranes</t>
  </si>
  <si>
    <t>sales1@ossaak.com</t>
  </si>
  <si>
    <t>RK Parajapati</t>
  </si>
  <si>
    <t>UV Enterprises</t>
  </si>
  <si>
    <t>1st Floor, Flat No 273, SS Iii, Sector-6, Navi Mumbai, Maharashtra, India</t>
  </si>
  <si>
    <t>Wire Ropes</t>
  </si>
  <si>
    <t>jaiambeprint2014@gmail.com</t>
  </si>
  <si>
    <t>Hetal Jitendra Chambariya</t>
  </si>
  <si>
    <t>Hardik Metal Works</t>
  </si>
  <si>
    <t>K-141,Phase-Viii Focal Point  Ludhiana  Ludhiana, Ludhiana, Punjab, India</t>
  </si>
  <si>
    <t>honeymehta75@gmail.com</t>
  </si>
  <si>
    <t>Honey Kumar Mehta</t>
  </si>
  <si>
    <t>Triz Automations And Robotics Private Limited</t>
  </si>
  <si>
    <t>G -709, Near Velu Phata, Velu, Pune, Maharashtra, India</t>
  </si>
  <si>
    <t>purchase@trizsystems.com</t>
  </si>
  <si>
    <t>Kajal Shelar</t>
  </si>
  <si>
    <t>Real Engineering</t>
  </si>
  <si>
    <t>PLOT NO-24,29-SURVEY NO-54/1, RK INDUSTRIAL PARK PHASE-1, OPP.BHARAT BENZ SHOW ROOM, RAJKOT-AHEMDAB No. 5th Floor, Shree Guru Krupa Tower, Near Moti Tanki Chowk, Shubhash Road,360001,Rajkot, Rajkot, Gujarat, India</t>
  </si>
  <si>
    <t>babulalmehta@hotmail.com</t>
  </si>
  <si>
    <t>Babulal Mehta</t>
  </si>
  <si>
    <t>Susshil</t>
  </si>
  <si>
    <t xml:space="preserve">S R INDUSTRIES </t>
  </si>
  <si>
    <t xml:space="preserve">LCS System  with support structure </t>
  </si>
  <si>
    <t>srindustries77@gmail.com'</t>
  </si>
  <si>
    <t>FEB-LCS01SV</t>
  </si>
  <si>
    <t>MANE KANCOR INGREDIENTS PRIVATE LTD</t>
  </si>
  <si>
    <t xml:space="preserve">karnataka </t>
  </si>
  <si>
    <t>SG EOT Crane of 7.5MT Capacity</t>
  </si>
  <si>
    <t>&lt;Fenstein.GPAUL@mane.com&gt;</t>
  </si>
  <si>
    <t>G PAUL Fenstein'</t>
  </si>
  <si>
    <t xml:space="preserve">FEB-SGEOT01SV </t>
  </si>
  <si>
    <t xml:space="preserve">PINNACLE MOBILITY SOLUTIONS, </t>
  </si>
  <si>
    <t>Monkey Ladder &amp; Maintenance Platform</t>
  </si>
  <si>
    <t xml:space="preserve"> Sambitkumar.Meher@ekamobility.com</t>
  </si>
  <si>
    <t>Sambit Meher'</t>
  </si>
  <si>
    <t>FEB-OQ01SV</t>
  </si>
  <si>
    <t>Zero Gravity Pneumatic Manipulator of 100kg Capacity</t>
  </si>
  <si>
    <t>78699 58579</t>
  </si>
  <si>
    <t xml:space="preserve"> &lt;Vishal.Pawar@ekamobility.com&gt;</t>
  </si>
  <si>
    <t>Vishal Pawar'</t>
  </si>
  <si>
    <t>FEB-MN01SV</t>
  </si>
  <si>
    <t xml:space="preserve">Hoist of 1 MT Capacity </t>
  </si>
  <si>
    <t>PARC Sales' &lt;sales@parcrobotics.in&gt;</t>
  </si>
  <si>
    <t>SOHAM NALE</t>
  </si>
  <si>
    <t>FEB-HT002SV</t>
  </si>
  <si>
    <t xml:space="preserve">Underslung Crane of 1MT Capacity </t>
  </si>
  <si>
    <t>vikaspadalkar@bharatforge.com'</t>
  </si>
  <si>
    <t>Vikas padalkar</t>
  </si>
  <si>
    <t>FEB-UC01SV</t>
  </si>
  <si>
    <t>Electric chain Hoist 1MT</t>
  </si>
  <si>
    <t xml:space="preserve"> &lt;kvkharjul@movetechconveyors.in&gt;</t>
  </si>
  <si>
    <t>Kuldeep Kharjul</t>
  </si>
  <si>
    <t>FEB-HT001SV</t>
  </si>
  <si>
    <t>JENDAMARK INDIA PVT LTD</t>
  </si>
  <si>
    <t>velu pune</t>
  </si>
  <si>
    <t>Jib Crane with Air Balancer of 150kg Capacity</t>
  </si>
  <si>
    <t>sandipan@jendamark.in'</t>
  </si>
  <si>
    <t>Sandipan</t>
  </si>
  <si>
    <t>FEB JC01SV</t>
  </si>
  <si>
    <t>pto dec</t>
  </si>
  <si>
    <t>Architects United</t>
  </si>
  <si>
    <t>Prabhat Road, Pune</t>
  </si>
  <si>
    <t>SG EOT Crane of 5MT &amp; Monorail System of 5MT</t>
  </si>
  <si>
    <t xml:space="preserve"> &lt;au@architectsunited.co.in&gt;</t>
  </si>
  <si>
    <t>Rashm</t>
  </si>
  <si>
    <t>FEB-SGEOT1SV</t>
  </si>
  <si>
    <t xml:space="preserve">JSW Green Tech </t>
  </si>
  <si>
    <t xml:space="preserve">SAmbhajinagar </t>
  </si>
  <si>
    <t>Utility Structure</t>
  </si>
  <si>
    <t>brijesh.patel@jsw.in'</t>
  </si>
  <si>
    <t>FEB -OQ2SV</t>
  </si>
  <si>
    <t>THERMOPAC PROCESS ENGINEERING LLP</t>
  </si>
  <si>
    <t>SG EOT Crane of 10MT</t>
  </si>
  <si>
    <t xml:space="preserve"> &lt;pe2@thermopac.in&gt;</t>
  </si>
  <si>
    <t>Rohan Ambre</t>
  </si>
  <si>
    <t>FEB-SG003SV</t>
  </si>
  <si>
    <t>SR Infra Construction Pvt Ltd</t>
  </si>
  <si>
    <t>Bulandshahr, Uttar Pradesh, India</t>
  </si>
  <si>
    <t>5 Ton Single Girder Overhead Crane</t>
  </si>
  <si>
    <t>sal143mankhan@gmail.com</t>
  </si>
  <si>
    <t>Salmaan Khan</t>
  </si>
  <si>
    <t>Danfoss systems Ltd.</t>
  </si>
  <si>
    <t>Aurangabad, Maharashtra, India</t>
  </si>
  <si>
    <t>kedar.shewalkar@danfoss.com</t>
  </si>
  <si>
    <t>robin</t>
  </si>
  <si>
    <t>Civil Contructor</t>
  </si>
  <si>
    <t>Ashok Pal</t>
  </si>
  <si>
    <t>Flame Solren Pvt Ltd</t>
  </si>
  <si>
    <t>Surat, Gujarat, India</t>
  </si>
  <si>
    <t>EOT Crane 7.5ton</t>
  </si>
  <si>
    <t>purchase.flamesolren@gmail.com</t>
  </si>
  <si>
    <t>Pratik Rana</t>
  </si>
  <si>
    <t>R A Classes</t>
  </si>
  <si>
    <t>EOT Crane Double Beam Design</t>
  </si>
  <si>
    <t>manish.subhash@indiamart.com</t>
  </si>
  <si>
    <t>Manish Subhash</t>
  </si>
  <si>
    <t>Anjar, Gujarat, India</t>
  </si>
  <si>
    <t>PRADEEP Shukla</t>
  </si>
  <si>
    <t>Sampat Engineering</t>
  </si>
  <si>
    <t>narhe, Pune, Maharashtra, India</t>
  </si>
  <si>
    <t>Industrial Cranes</t>
  </si>
  <si>
    <t>prasad.desai020@gmail.com</t>
  </si>
  <si>
    <t>prasad</t>
  </si>
  <si>
    <t>GI Flexible Industries</t>
  </si>
  <si>
    <t>A-179, Gopal Charan Industrial Plots-2, Kujad-Bakrol Road, Ahmedabad, Gujarat, India</t>
  </si>
  <si>
    <t>inquiry.support@giflexible.com</t>
  </si>
  <si>
    <t>Dinesh Goswami</t>
  </si>
  <si>
    <t>girishdgoswami@gmail.com</t>
  </si>
  <si>
    <t>ritesh</t>
  </si>
  <si>
    <t>Electric Wire Rope Chain Mechanical Hoist</t>
  </si>
  <si>
    <t>Migglee Trading Company</t>
  </si>
  <si>
    <t>Near Kalbhor Hights, Gat No 2 Pashanlkar Baug, Loni Kalbhor Near Odha, Tal Haveli, Pune, Maharashtra, India</t>
  </si>
  <si>
    <t>Electric Wire Rope Chain </t>
  </si>
  <si>
    <t>miggleetraders65@gmail.com</t>
  </si>
  <si>
    <t>Amarjeet Kadam</t>
  </si>
  <si>
    <t>Dmh Trends</t>
  </si>
  <si>
    <t>Electric Chain Hoist 500 Kg</t>
  </si>
  <si>
    <t>Corinthian</t>
  </si>
  <si>
    <t>3/36,FATIMA BUILDING,DONGARI, 13TH DHARAMSHALA ROAD,,MASJID BUNDER House No.05,401208,Mumbai, Mumbai, Maharashtra, India</t>
  </si>
  <si>
    <t>imraanabbas1982@gmail.com</t>
  </si>
  <si>
    <t>IMRAN ABBAS</t>
  </si>
  <si>
    <t xml:space="preserve">Vedanta Group </t>
  </si>
  <si>
    <t xml:space="preserve">Bokaro, Jharkhand </t>
  </si>
  <si>
    <t>Loadcell with Display</t>
  </si>
  <si>
    <t>Ayush.Kumar6@vedanta.co.in'</t>
  </si>
  <si>
    <t>Ayush.Kumar</t>
  </si>
  <si>
    <t>FEB-OQ03SV</t>
  </si>
  <si>
    <t>ALEX GRINDERS</t>
  </si>
  <si>
    <t>LONAVWALA, pune</t>
  </si>
  <si>
    <t xml:space="preserve">LCS SYSTEM with Support Structure of 500kg Capacity </t>
  </si>
  <si>
    <t>engineering@alexgrinders.com'</t>
  </si>
  <si>
    <t>FEB-LCS04SV</t>
  </si>
  <si>
    <t>Jsr Enterprises</t>
  </si>
  <si>
    <t>Lucknow, Uttar Pradesh, India</t>
  </si>
  <si>
    <t>Double Girder Gantry Crane, 150 Ton</t>
  </si>
  <si>
    <t>om.ambalika@gmail.com</t>
  </si>
  <si>
    <t>om</t>
  </si>
  <si>
    <t>Soumya Pujari</t>
  </si>
  <si>
    <t>soumyapujari@sammoninfra.com</t>
  </si>
  <si>
    <t>Nivia Electricals</t>
  </si>
  <si>
    <t>MANDLIK NAGAR TOPH SHERKHANIA PALOURA JAMMU 181121, Bedarwah, Jammu &amp; Kashmir, India</t>
  </si>
  <si>
    <t>shapu789@gmail.com</t>
  </si>
  <si>
    <t>Puneet Sharma</t>
  </si>
  <si>
    <t>Ali Mohammamd</t>
  </si>
  <si>
    <t>5 TON Single Girder Overhead Crane, Span: 10-20 m</t>
  </si>
  <si>
    <t>aliraja53@gmail.com</t>
  </si>
  <si>
    <t>PW R&amp;B Department South Kashmir</t>
  </si>
  <si>
    <t>Yari Pora, Jammu &amp; Kashmir, India</t>
  </si>
  <si>
    <t>zakirbhat52@gmail.com</t>
  </si>
  <si>
    <t>Zahoor Bhat</t>
  </si>
  <si>
    <t>tta</t>
  </si>
  <si>
    <t>samsam19782001@gmail.com</t>
  </si>
  <si>
    <t>Sampathkumar</t>
  </si>
  <si>
    <t>DiFACTO Robotics</t>
  </si>
  <si>
    <t> XY rails</t>
  </si>
  <si>
    <t>vinayak.ik@difacto.com</t>
  </si>
  <si>
    <t>Vinayak I.K</t>
  </si>
  <si>
    <t>Anand Dalwale</t>
  </si>
  <si>
    <t>JM Road, Opp Sancheti Hospital, Pune, Maharashtra, India</t>
  </si>
  <si>
    <t>dalwaleanand@hotmail.com</t>
  </si>
  <si>
    <t xml:space="preserve">Wipro Pari </t>
  </si>
  <si>
    <t xml:space="preserve">Dhangarwada </t>
  </si>
  <si>
    <t xml:space="preserve">500KG JIB Crane </t>
  </si>
  <si>
    <t xml:space="preserve"> &lt;mukund.s.2@wipropari.com&gt;</t>
  </si>
  <si>
    <t>Mukund</t>
  </si>
  <si>
    <t>FEB-JC03SV</t>
  </si>
  <si>
    <t>Prabhat Fabricators</t>
  </si>
  <si>
    <t>3rd Floor, Apartment No /Flat No 5, Ganga Apartment , Sector No 16 , Raje Shivaji Nagar ,Chikhali,, Pimpri Chinchwad, Maharashtra, India</t>
  </si>
  <si>
    <t>Jitendra Choudhary</t>
  </si>
  <si>
    <t>Samson Group</t>
  </si>
  <si>
    <t xml:space="preserve">Khed Midc </t>
  </si>
  <si>
    <t xml:space="preserve">Q point Solutions </t>
  </si>
  <si>
    <t>Vadgoansheri, Wagholi</t>
  </si>
  <si>
    <t>SG EOT CRane of 1T</t>
  </si>
  <si>
    <t>mustafa@qpointsolutions.com'</t>
  </si>
  <si>
    <t xml:space="preserve">Mustafa </t>
  </si>
  <si>
    <t>FEB-SG002SV</t>
  </si>
  <si>
    <t>M L Industries</t>
  </si>
  <si>
    <t>Chennai, Tamil Nadu, India</t>
  </si>
  <si>
    <t>edith.24091999@gmail.com</t>
  </si>
  <si>
    <t>Srinivasan</t>
  </si>
  <si>
    <t>Bhilad, Gujarat, India</t>
  </si>
  <si>
    <t>3 Ton Single Girder EOT Crane, Span: 8.7 Mtr.</t>
  </si>
  <si>
    <t>pappu.mahto@vmach.in</t>
  </si>
  <si>
    <t>mehto</t>
  </si>
  <si>
    <t>Bajaj Enterprises</t>
  </si>
  <si>
    <t>26- A, Scheme No. 94,Sector H, Vijay Udyog Nagar, Indore, Madhya Pradesh, India</t>
  </si>
  <si>
    <t>adibajaj174@gmail.com</t>
  </si>
  <si>
    <t>Aditya Bajaj</t>
  </si>
  <si>
    <t>prabhakarsavulgay@gmail.com</t>
  </si>
  <si>
    <t>Parbha</t>
  </si>
  <si>
    <t>M.S. Industries</t>
  </si>
  <si>
    <t>S NO.67 , H.NO.7 NR. KAMALA GULABRANI  KATRAJ, Pune, Maharashtra, India</t>
  </si>
  <si>
    <t>sohammore94@gmail.com</t>
  </si>
  <si>
    <t>Soham More</t>
  </si>
  <si>
    <t>Unique Enterprises</t>
  </si>
  <si>
    <t>Pap-S-109 &amp; 110, Unnamed Road, Chakan Industrial Area Phase 2, Siddhant, Chakan, Pune, Maharashtra, India</t>
  </si>
  <si>
    <t>unent.pune@gmail.com</t>
  </si>
  <si>
    <t>MANOJ VILAS JAGTAP</t>
  </si>
  <si>
    <t>ganesh</t>
  </si>
  <si>
    <t>Prologic Mechtronics Pvt Ltd</t>
  </si>
  <si>
    <t>Single Girder EOT Cranes 20T</t>
  </si>
  <si>
    <t>rajendrapatil@prologicmechatronics.com</t>
  </si>
  <si>
    <t>FEB-DG01SV-10</t>
  </si>
  <si>
    <t>DUNKAN ENGINEERING LTD</t>
  </si>
  <si>
    <t>Electric Chain Hoist of 1MT.</t>
  </si>
  <si>
    <t>del.maintenance@duncanengg.com</t>
  </si>
  <si>
    <t>Hrushikesh Pansare.</t>
  </si>
  <si>
    <t>Semi Gantry EOT Crane</t>
  </si>
  <si>
    <t>darkdon1234567890@gmail.com</t>
  </si>
  <si>
    <t>ADITYA VIKAS POKHARNA</t>
  </si>
  <si>
    <t>PINNACLE MOBOLITY SOLUTIONS</t>
  </si>
  <si>
    <t>FEB-SG03SV</t>
  </si>
  <si>
    <t xml:space="preserve">Mahindra &amp; mahindra </t>
  </si>
  <si>
    <t xml:space="preserve">Electric Wire Rope Hoist of 2MT Capacity </t>
  </si>
  <si>
    <t>Jiddewar.shashank@mahindra.com'</t>
  </si>
  <si>
    <t>FEB-HT04SV</t>
  </si>
  <si>
    <t>Edwards India Ltd</t>
  </si>
  <si>
    <t>Dismantling &amp; Installation of Support structure</t>
  </si>
  <si>
    <t>alok.deshmukh@atlascopco.com</t>
  </si>
  <si>
    <t>Alok Deshmukh</t>
  </si>
  <si>
    <t>FEB-OQ04SV</t>
  </si>
  <si>
    <t xml:space="preserve">KPCL </t>
  </si>
  <si>
    <t>SG EOT Crane of 3MT &amp; 5MT Capacity</t>
  </si>
  <si>
    <t xml:space="preserve"> &lt;sangramsinh.ghatge@kirloskar.com&gt;</t>
  </si>
  <si>
    <t>Sangramsinh Ghatge (KPCL)'</t>
  </si>
  <si>
    <t>FEB-SG05SV</t>
  </si>
  <si>
    <t>ŠKODA AUTO VOLKSWAGEN INDIA PRIVATE LIMITED</t>
  </si>
  <si>
    <t xml:space="preserve">Mhalunghe </t>
  </si>
  <si>
    <t xml:space="preserve">Monorail System of 1.5T Capacity </t>
  </si>
  <si>
    <t>&lt;extern.abhijeet.nikam@skoda-vw.co.in&gt;</t>
  </si>
  <si>
    <t xml:space="preserve">Nikam, Abhijeet </t>
  </si>
  <si>
    <t>FEB-MN02SV</t>
  </si>
  <si>
    <t>DiFACTO ROBOTICS &amp; AUTOMATION PVT. LTD</t>
  </si>
  <si>
    <t>BANGALORE</t>
  </si>
  <si>
    <t>XY Rail System with Air Balancer of 100kg</t>
  </si>
  <si>
    <t>Yash Industries</t>
  </si>
  <si>
    <t>Khate Kramank 3964 Survey No.509/42 Lonar-2  Lonar  Buldhana, Lonar, Maharashtra, India</t>
  </si>
  <si>
    <t>Wall Travelling Jib Crane</t>
  </si>
  <si>
    <t>itin sarkate</t>
  </si>
  <si>
    <t>Raditech Hydromatics</t>
  </si>
  <si>
    <t>P-219,0,Unique Park,Unique Park Road,Kolkata,Kolkata, Howrah, West Bengal, India</t>
  </si>
  <si>
    <t>sbdhpl@gmail.com</t>
  </si>
  <si>
    <t>Subhasis Bhattacharya</t>
  </si>
  <si>
    <t>HOFFEN PLASTIC PVT LTD</t>
  </si>
  <si>
    <t>hydrabad</t>
  </si>
  <si>
    <t>Electric Wire Rope Hoist </t>
  </si>
  <si>
    <t>hoffenplastics@gmail.com'</t>
  </si>
  <si>
    <t>FEB-HT06SV</t>
  </si>
  <si>
    <t>Electrical Overhead Traveling Crane</t>
  </si>
  <si>
    <t>atulmatere@gmail.com</t>
  </si>
  <si>
    <t>Atul Kisan Matere</t>
  </si>
  <si>
    <t>Bansal Plastic Udhyog</t>
  </si>
  <si>
    <t>Dubey Ka Parao, Aligarh, Uttar Pradesh, India</t>
  </si>
  <si>
    <t>Ranjeet Kumar Chandra</t>
  </si>
  <si>
    <t>Near Bus Stand, Puruliya, West Bengal, India</t>
  </si>
  <si>
    <t>bibekchandra@ymail.com</t>
  </si>
  <si>
    <t>Vivek Chandra</t>
  </si>
  <si>
    <t>Madurai Vinayak Wiremesh Industries</t>
  </si>
  <si>
    <t>Plot No.18-21, Sri Velevan Nagar, Viraganoor Ring Road, Near Velammal Hospital,, Madurai, Tamil Nadu, India</t>
  </si>
  <si>
    <t>mduvinayakwiremeshindustries@gmail.com</t>
  </si>
  <si>
    <t>Prasanna</t>
  </si>
  <si>
    <t>Lee Hydraulics And Fastenrs Private Limited</t>
  </si>
  <si>
    <t>Plot No.11, Sy. No : 861, IDA Bhongir Town and Mandal., Bhongir, Telangana, India</t>
  </si>
  <si>
    <t>chindam.hruthik@gmail.com</t>
  </si>
  <si>
    <t>Hruthik Chindam</t>
  </si>
  <si>
    <t>Radiant corporation</t>
  </si>
  <si>
    <t>Nagpur, Maharashtra, India</t>
  </si>
  <si>
    <t>vittal.m@radiantcorpn.com</t>
  </si>
  <si>
    <t>katic</t>
  </si>
  <si>
    <t>Karad projects Ltd</t>
  </si>
  <si>
    <t xml:space="preserve">Satara </t>
  </si>
  <si>
    <t>gc pvt ltd</t>
  </si>
  <si>
    <t>shreeniwasbbh@gmail.com</t>
  </si>
  <si>
    <t>Shreeniwas bhawnani</t>
  </si>
  <si>
    <t>GS Peb And Civil Works Private Limited</t>
  </si>
  <si>
    <t>MRF India LTD</t>
  </si>
  <si>
    <t xml:space="preserve">LCS system with support structure </t>
  </si>
  <si>
    <t>FEB-LCS05SV</t>
  </si>
  <si>
    <t xml:space="preserve">AROR ENGINEERING </t>
  </si>
  <si>
    <t xml:space="preserve">SANY HEAVY INDUSTRY LTD </t>
  </si>
  <si>
    <t xml:space="preserve">Malgudi make Hoist </t>
  </si>
  <si>
    <t>Atul Mate' &lt;atul.mate@sanygroup.com&gt;</t>
  </si>
  <si>
    <t>Atul Mate</t>
  </si>
  <si>
    <t>FEBHT07SV</t>
  </si>
  <si>
    <t xml:space="preserve">NETZSCH TECHNOLOGIES PVT LTD </t>
  </si>
  <si>
    <t>goa</t>
  </si>
  <si>
    <t xml:space="preserve">Dismantling, Loading, Unloading &amp; Installation of Jib Crane </t>
  </si>
  <si>
    <t>Fatan, Manohar' &lt;manohar.fatan@netzsch.com&gt;</t>
  </si>
  <si>
    <t xml:space="preserve">Fatan </t>
  </si>
  <si>
    <t>FEB-OQ05SV</t>
  </si>
  <si>
    <t>Cherai osian</t>
  </si>
  <si>
    <t>pillar mounted jib crane</t>
  </si>
  <si>
    <t>mangijakhars@gmail.com</t>
  </si>
  <si>
    <t>Mangilal</t>
  </si>
  <si>
    <t>L G Balakrishnan &amp; Bros Ltd.</t>
  </si>
  <si>
    <t>Krisnarayapuram Road, Ganapathy, Coimbatore, Tamil Nadu, India</t>
  </si>
  <si>
    <t>Industrial Manipulator, for Material Lifting</t>
  </si>
  <si>
    <t>kannantks123@gmail.com</t>
  </si>
  <si>
    <t>SUHAS MANOHAR DESHMANE</t>
  </si>
  <si>
    <t>RAVI GARDEN, Manjri Bk, Pune Division, Pune, Maharashtra, India</t>
  </si>
  <si>
    <t>Ambica Enterprise</t>
  </si>
  <si>
    <t>3d/102,Heritage Apartment,Ganesh, Gavde Road Mulund,West, 400080, Mumbai, Maharashtra, India</t>
  </si>
  <si>
    <t>Jitendra Doshi</t>
  </si>
  <si>
    <t>Vel Engineering</t>
  </si>
  <si>
    <t>SF No 199/1, PKD Nagar Narasimhanaickenpalayam, Coimbatore, Tamil Nadu, India</t>
  </si>
  <si>
    <t>Senthil Kumar Logeswari</t>
  </si>
  <si>
    <t>nikhil</t>
  </si>
  <si>
    <t>GAURAV Vijay</t>
  </si>
  <si>
    <t>Dnyandeep Engineering Works</t>
  </si>
  <si>
    <t>Milkat No-4436/97, Old No-4314, 2086 B/2, Dnyandeep Engineering Works, Kirloskarwadi Palus Road Palus, Sangli, Maharashtra, India</t>
  </si>
  <si>
    <t>ajitsalunkhe14@gmail.com</t>
  </si>
  <si>
    <t>ajit</t>
  </si>
  <si>
    <t>suribhe electrical</t>
  </si>
  <si>
    <t>Dewas, Madhya Pradesh, India</t>
  </si>
  <si>
    <t>2 Ton Electric Hoist </t>
  </si>
  <si>
    <t>Kirat International</t>
  </si>
  <si>
    <t>0 97 Iie Sidcul Haridwar Sector 7, Haridwar, Uttarakhand, India</t>
  </si>
  <si>
    <t>headmfg@kiratinternational.com</t>
  </si>
  <si>
    <t>Harpreet</t>
  </si>
  <si>
    <t>kkk</t>
  </si>
  <si>
    <t>Ashwini Enterprises</t>
  </si>
  <si>
    <t>No. 36, HPC Main Road, Hebbal Industrial Area, Opp. Cipet College, Mahalakshmi Layout, Mysuru, Karnataka, India</t>
  </si>
  <si>
    <t>Kadapa, Andhra Pradesh, India</t>
  </si>
  <si>
    <t> Electric Hoist</t>
  </si>
  <si>
    <t>Mr YKS MAHESWARA RAO</t>
  </si>
  <si>
    <t>Gantry Cranes</t>
  </si>
  <si>
    <t>aydeep Patel</t>
  </si>
  <si>
    <t>ATHARVA CRANES AND HOISTS LLP</t>
  </si>
  <si>
    <t>Electric Chain Hoist Of 250kg Capacity</t>
  </si>
  <si>
    <t>sales .' &lt;sales@atharvacranes.com&gt;</t>
  </si>
  <si>
    <t>FEB-HT08SV</t>
  </si>
  <si>
    <t>DANFOSS SYSTEM LIMITED</t>
  </si>
  <si>
    <t>Zero Gravity Manipulator of 100kg</t>
  </si>
  <si>
    <t>Kedar Shewalkar' &lt;kedar.shewalkar@danfoss.com&gt;</t>
  </si>
  <si>
    <t>Kedar Shewalkar</t>
  </si>
  <si>
    <t>FEB-MN03SV</t>
  </si>
  <si>
    <t>Prologics LTD</t>
  </si>
  <si>
    <t>Chakan Pune</t>
  </si>
  <si>
    <t>Electric Wire Rope Hoist of 3.2MT Capacity</t>
  </si>
  <si>
    <t>Rajendra Patil' &lt;rajendrapatil@prologicmechatronics.com&gt;</t>
  </si>
  <si>
    <t>Rajendra Patil'</t>
  </si>
  <si>
    <t>CARE LIFTING EQUIPMENTS</t>
  </si>
  <si>
    <t>Aluminum type profile LCS System of 250KG Capacity</t>
  </si>
  <si>
    <t>sales@carelifting.com'</t>
  </si>
  <si>
    <t>FEB-LCS06SV</t>
  </si>
  <si>
    <t>Shri gurMukhdas Ltd</t>
  </si>
  <si>
    <t>Vadodara Gujrat</t>
  </si>
  <si>
    <t xml:space="preserve">Zero gravity Pneumatic Manipulator of 100KG Capacity </t>
  </si>
  <si>
    <t>Shreeniwasbbh@gmail.com'</t>
  </si>
  <si>
    <t>Pace tool Assembly</t>
  </si>
  <si>
    <t xml:space="preserve">DG EOT Crane of 10MT Capacity </t>
  </si>
  <si>
    <t>salespune@pacetools.in'</t>
  </si>
  <si>
    <t>soham nikam</t>
  </si>
  <si>
    <t>FEB-DG03SV</t>
  </si>
  <si>
    <t>Shri Ganesh Collection</t>
  </si>
  <si>
    <t>Dist- Pume, Pune, Maharashtra, India</t>
  </si>
  <si>
    <t>sganesh1892@gmail.com</t>
  </si>
  <si>
    <t>Ganesh Suryawanshi</t>
  </si>
  <si>
    <t>Yallappa</t>
  </si>
  <si>
    <t>yatheeshkn041@gmail.com</t>
  </si>
  <si>
    <t>Yatheesh K N</t>
  </si>
  <si>
    <t>Jalna, Maharashtra, India</t>
  </si>
  <si>
    <t>dgeot</t>
  </si>
  <si>
    <t>yogesh</t>
  </si>
  <si>
    <t>RAJPATH INFRACON PVT LTD</t>
  </si>
  <si>
    <t>Satara, Maharashtra, India</t>
  </si>
  <si>
    <t>aniketbichkule49@gmail.com</t>
  </si>
  <si>
    <t>niket</t>
  </si>
  <si>
    <t>CHAMARAHALLI</t>
  </si>
  <si>
    <t>Gokul Shirgaon MIDC, Maharashtra, India</t>
  </si>
  <si>
    <t>Siddhant Ghevade</t>
  </si>
  <si>
    <t>Gor Gaminiben Ashokkumar</t>
  </si>
  <si>
    <t xml:space="preserve">Winfast solutions </t>
  </si>
  <si>
    <t xml:space="preserve">Support Structure of 250kg Capacity </t>
  </si>
  <si>
    <t xml:space="preserve">Mayur Jagtap </t>
  </si>
  <si>
    <t>FEB-LCS-06SV</t>
  </si>
  <si>
    <t xml:space="preserve">SS cranes </t>
  </si>
  <si>
    <t xml:space="preserve">Electric Chain Hoist 500kg Capacity </t>
  </si>
  <si>
    <t>sscranesindia@gmail.com'</t>
  </si>
  <si>
    <t>FEB-HT10SV</t>
  </si>
  <si>
    <t xml:space="preserve">Electric Chain Hoist 3MT Capacity </t>
  </si>
  <si>
    <t>pratiksha</t>
  </si>
  <si>
    <t>FEB-HT11SV</t>
  </si>
  <si>
    <t>Pinnacle Mobility Solutions</t>
  </si>
  <si>
    <t>Floor Mounted Jib Crane of 2000KG Capacity</t>
  </si>
  <si>
    <t>rajiv</t>
  </si>
  <si>
    <t>JAN JC014SV</t>
  </si>
  <si>
    <t>SPM INDIA LTD</t>
  </si>
  <si>
    <t xml:space="preserve">Flame Proof Hoist of 1MT Capacity </t>
  </si>
  <si>
    <t>purchase SPM' &lt;purchase@spmil.com&gt;</t>
  </si>
  <si>
    <t>angam</t>
  </si>
  <si>
    <t>FEB-MN12SV</t>
  </si>
  <si>
    <t>Accurate Engineering Company</t>
  </si>
  <si>
    <t>pramod.kunjir10@gmail.com</t>
  </si>
  <si>
    <t>pramod</t>
  </si>
  <si>
    <t>Anusha Infratech</t>
  </si>
  <si>
    <t>1007, Waghodia GIDC, Vadodara, Gujarat, India</t>
  </si>
  <si>
    <t>anushainfratech@gmail.com</t>
  </si>
  <si>
    <t>Pravardhan Shetty</t>
  </si>
  <si>
    <t>Navnirmiti Composites Innovative Solutions LLP</t>
  </si>
  <si>
    <t>Block No T-153/1, Midc, Bhosari, Gala No 88, Mahasainik Industrial Estate, Telco Midc Road, Philips Chowk, Near Lear Corporation Company, Pimpri Chinchwad, Pune, Maharashtra, India</t>
  </si>
  <si>
    <t>eot</t>
  </si>
  <si>
    <t>navnirmiti@protonmail.com</t>
  </si>
  <si>
    <t>Navnirmiti Composites Innovative Solution</t>
  </si>
  <si>
    <t>KSB INDIA LTD</t>
  </si>
  <si>
    <t>SHIRWAL</t>
  </si>
  <si>
    <t>Wall Mounted Jib Crane of 500KG Capacity</t>
  </si>
  <si>
    <t>Devendra kapde</t>
  </si>
  <si>
    <t>Rimko India</t>
  </si>
  <si>
    <t>Bangalaru</t>
  </si>
  <si>
    <t xml:space="preserve">DG EOT CRANE OF 30MT </t>
  </si>
  <si>
    <t>sales@rimcoindia.com'</t>
  </si>
  <si>
    <t>FEB-DG02SV</t>
  </si>
  <si>
    <t>Sri Krishna Rock Tools</t>
  </si>
  <si>
    <t>Sambalpur, Odisha, India</t>
  </si>
  <si>
    <t>5 ton Crane</t>
  </si>
  <si>
    <t>nrk.sbp@gmail.com</t>
  </si>
  <si>
    <t>N</t>
  </si>
  <si>
    <t>JIB</t>
  </si>
  <si>
    <t>Valliappa &amp; Co</t>
  </si>
  <si>
    <t>373 Periyar Nagar, Pudukkottai, Tamil Nadu, India</t>
  </si>
  <si>
    <t>MONORAIL</t>
  </si>
  <si>
    <t>valliappaandcompany@gmail.com</t>
  </si>
  <si>
    <t>Chockalingam</t>
  </si>
  <si>
    <t>My Store</t>
  </si>
  <si>
    <t>at Post, Satara, Maharashtra, India</t>
  </si>
  <si>
    <t>shubhamfarkade150@gmail.com</t>
  </si>
  <si>
    <t>Shubham Store</t>
  </si>
  <si>
    <t>PR Industries</t>
  </si>
  <si>
    <t>Ground Floor Gat No 162, 163, 164 P,  B-801 Chikhali Vishnu Vihar, Jadhav, Pune, Maharashtra, India</t>
  </si>
  <si>
    <t>Floor Mounted Jib Crane</t>
  </si>
  <si>
    <t>dp919569@gmail.com</t>
  </si>
  <si>
    <t>Devendra</t>
  </si>
  <si>
    <t>Rajinder Shop</t>
  </si>
  <si>
    <t>205, New Baldev Nagar, Arjun Singh Nagar, Jalandhar, Punjab, India</t>
  </si>
  <si>
    <t>ELECTRIC HOIST</t>
  </si>
  <si>
    <t>rajinderkang071@gmail.com</t>
  </si>
  <si>
    <t>R</t>
  </si>
  <si>
    <t xml:space="preserve">Shirwal </t>
  </si>
  <si>
    <t xml:space="preserve">LCS System of 1MT with Support Structure of 2MT Capacity </t>
  </si>
  <si>
    <t>mrajput@delvalflow.com'</t>
  </si>
  <si>
    <t>Rajput</t>
  </si>
  <si>
    <t>FEB-LCS08SV</t>
  </si>
  <si>
    <t>INDEVA ERGOMATIC INDIA PRIVATE LIMITED</t>
  </si>
  <si>
    <t>Festoonoing System</t>
  </si>
  <si>
    <t xml:space="preserve"> &lt;purchase@indeva-ergomatic.co.in&gt;</t>
  </si>
  <si>
    <t>Nikhil Konde</t>
  </si>
  <si>
    <t>FEB-FS01SV</t>
  </si>
  <si>
    <t>FORBES MARSHALL</t>
  </si>
  <si>
    <t>sbelambe@forbesmarshall.com'</t>
  </si>
  <si>
    <t>FEB-HT13SV</t>
  </si>
  <si>
    <t xml:space="preserve">Bahrain Workshop </t>
  </si>
  <si>
    <t xml:space="preserve">kingdom of Bahrain </t>
  </si>
  <si>
    <t xml:space="preserve">Pillar Mounted Jib Crane of 2MT Capacity </t>
  </si>
  <si>
    <t>gk@bwcbah.com'</t>
  </si>
  <si>
    <t>Ganesh sir</t>
  </si>
  <si>
    <t>FEB-JC01SV</t>
  </si>
  <si>
    <t>Nandi Farm</t>
  </si>
  <si>
    <t>chetn46@gmail.com</t>
  </si>
  <si>
    <t>CHETAN</t>
  </si>
  <si>
    <t>dineshdamorkismat242@gmail.com</t>
  </si>
  <si>
    <t>Damor Dinesh Bhai Kabirbhsi</t>
  </si>
  <si>
    <t>PARTH</t>
  </si>
  <si>
    <t> Gantry Cranes</t>
  </si>
  <si>
    <t xml:space="preserve">Portable Gantry Crane of 1MT Capacity </t>
  </si>
  <si>
    <t>FEB-PC01SV</t>
  </si>
  <si>
    <t>Endo Kogyo Ltd</t>
  </si>
  <si>
    <t>Kondhwa, Pune</t>
  </si>
  <si>
    <t xml:space="preserve">Support Structure </t>
  </si>
  <si>
    <t xml:space="preserve"> &lt;eki1@endo-india.co.in&gt;</t>
  </si>
  <si>
    <t>9,26,795.00</t>
  </si>
  <si>
    <t>Eka Mobility Solutions</t>
  </si>
  <si>
    <t>Floor Crane of 250kg Capacity</t>
  </si>
  <si>
    <t>&lt;Vishal.Pawar@ekamobility.com&gt;</t>
  </si>
  <si>
    <t xml:space="preserve">Vishal Pawar' </t>
  </si>
  <si>
    <t>FEB-FC01SV</t>
  </si>
  <si>
    <t>SGP  Electropneumatics</t>
  </si>
  <si>
    <t xml:space="preserve">Supply of Support Structure </t>
  </si>
  <si>
    <t>Newton G P' &lt;newton@gpe.net.in&gt;</t>
  </si>
  <si>
    <t>Newton</t>
  </si>
  <si>
    <t>FEB-LCS09SV</t>
  </si>
  <si>
    <t>sarth solar</t>
  </si>
  <si>
    <t>sarthakdhanve@gmail.com</t>
  </si>
  <si>
    <t>SARTHAK PRASHANT DHANAVE</t>
  </si>
  <si>
    <t>Clay Kids</t>
  </si>
  <si>
    <t>21/22, Ashapura Industries Estate, NR. Alankar Boiler, Gidc Vatva, Ahmedabad, Gujarat, India</t>
  </si>
  <si>
    <t>3 HP Electric Wire Rope Hoist</t>
  </si>
  <si>
    <t>claykids.ind@gmail.com</t>
  </si>
  <si>
    <t>Pooja Joshi</t>
  </si>
  <si>
    <t>WiproPari</t>
  </si>
  <si>
    <t>Dhangarwadi Pune</t>
  </si>
  <si>
    <t xml:space="preserve">Electric Chain Hoist </t>
  </si>
  <si>
    <t xml:space="preserve"> &lt;shantinath.k@wipropari.com&gt;</t>
  </si>
  <si>
    <t>Shantinath S. Kudache</t>
  </si>
  <si>
    <t>FEB-HT015SV</t>
  </si>
  <si>
    <t>Thirumalai Steels &amp; Traders</t>
  </si>
  <si>
    <t>24/3, Workshop Corner, Mettur Dam, Mettur, Tamil Nadu, India</t>
  </si>
  <si>
    <t>Brintha Rajendran</t>
  </si>
  <si>
    <t>Ghaziabad, Uttar Pradesh, India</t>
  </si>
  <si>
    <t>ra.engineers.gzb@gmail.com</t>
  </si>
  <si>
    <t>Arshad Ahmed</t>
  </si>
  <si>
    <t>Jay Khodiyar Electricals &amp; Electronics</t>
  </si>
  <si>
    <t>Shop No.12 Shakti Complex, Bharuch, Gujarat, India</t>
  </si>
  <si>
    <t>jkee.dahej@gmail.com</t>
  </si>
  <si>
    <t>Modulex Moduler Buildings Pvt Ltd</t>
  </si>
  <si>
    <t>Reg Off: A82 Indapur MIDC,, Pune, Maharashtra, India</t>
  </si>
  <si>
    <t>chetan.chavan@modulex.in</t>
  </si>
  <si>
    <t>chetan</t>
  </si>
  <si>
    <t>Sri Vari CNC And Automation</t>
  </si>
  <si>
    <t>D.No-2, Iswarya Illam, Balaji Nagar, P&amp;T Colony, Coimbatore, Tamil Nadu, India</t>
  </si>
  <si>
    <t>dharanikumarsenthil@gmail.com</t>
  </si>
  <si>
    <t>Sri Vari Cnc And Automation</t>
  </si>
  <si>
    <t>Krishna Kripa Industries</t>
  </si>
  <si>
    <t>15 Kalyan Colony  Sikar House  Jaipur, Jaipur, Rajasthan, India</t>
  </si>
  <si>
    <t>lokeshsharma9358@gmail.com</t>
  </si>
  <si>
    <t>Lokesh</t>
  </si>
  <si>
    <t>Hah Engineering Private Limited</t>
  </si>
  <si>
    <t>H.No. 1-5-269/1/1, Bakaram, Musheerabad, Hyderabad, Telangana, India</t>
  </si>
  <si>
    <t>Double Girder Gantry Cranes</t>
  </si>
  <si>
    <t>info.steel@hahgroup.in</t>
  </si>
  <si>
    <t>Zaffer Miya</t>
  </si>
  <si>
    <t>Siddesh Engineering Works</t>
  </si>
  <si>
    <t>5 A, Rukma Udhog Industrial Premises, Thane, Maharashtra, India</t>
  </si>
  <si>
    <t>dayanandpatil73@gmail.com</t>
  </si>
  <si>
    <t>Dayanand Patil</t>
  </si>
  <si>
    <t>Chirag Enterprises</t>
  </si>
  <si>
    <t>Thane, Maharashtra, India</t>
  </si>
  <si>
    <t>Carlstahl Craftsman Eseries Power Trolley</t>
  </si>
  <si>
    <t>jainc0537@gmail.com</t>
  </si>
  <si>
    <t>Virar, Maharashtra, India</t>
  </si>
  <si>
    <t>Akshta Gawas</t>
  </si>
  <si>
    <t>surajphule11@gmail.com</t>
  </si>
  <si>
    <t>Suraj Phule</t>
  </si>
  <si>
    <t>Jib Crane .</t>
  </si>
  <si>
    <t>mk.yadav150780@gmail.com</t>
  </si>
  <si>
    <t>MADHAVENDRA YADAV</t>
  </si>
  <si>
    <t>Coulomb Litech Pvt. Ltd.</t>
  </si>
  <si>
    <t>Plot No D-18, Midc Taloja Industrial Area, Village Pendhar, Padghe Panvel, Dharam Kanta, Navi Mumbai, Maharashtra, India</t>
  </si>
  <si>
    <t>Double Girder Gantry Crane</t>
  </si>
  <si>
    <t>ammeyasathe17@gmail.com</t>
  </si>
  <si>
    <t>Ameya Sathe</t>
  </si>
  <si>
    <t>ARUN IMPEX ELECTRICALS PVT LTD</t>
  </si>
  <si>
    <t>amesimpex.engg@gmail.com</t>
  </si>
  <si>
    <t>Saho  Industry</t>
  </si>
  <si>
    <t>pankajletsbegin@gmail.com</t>
  </si>
  <si>
    <t>Material Handling</t>
  </si>
  <si>
    <t>shibin8689@gmail.com</t>
  </si>
  <si>
    <t>Shibin A</t>
  </si>
  <si>
    <t>orbit metform pvt ltd</t>
  </si>
  <si>
    <t>naitik.gosar@rediffmail.com</t>
  </si>
  <si>
    <t>Ashok Gosar</t>
  </si>
  <si>
    <t>polymatech</t>
  </si>
  <si>
    <t>Kancheepuram, Tamil Nadu, India</t>
  </si>
  <si>
    <t>prakashmmn25@gmail.com</t>
  </si>
  <si>
    <t>Prakash</t>
  </si>
  <si>
    <t>Shree Balaji Impex</t>
  </si>
  <si>
    <t>Ground Floor, Gala No 4 To 7, Bldg No A, Akhil Industrial Estate, Waliv Road, Vasai Virar, Vasai, Maharashtra, India</t>
  </si>
  <si>
    <t>Tejas Shantilal Shah</t>
  </si>
  <si>
    <t>Shimoga, Karnataka, India</t>
  </si>
  <si>
    <t>hidu78600@gmail.com</t>
  </si>
  <si>
    <t>Hidayath</t>
  </si>
  <si>
    <t>PILLAR GLOBAL</t>
  </si>
  <si>
    <t xml:space="preserve">LCS System of 1MT Capacity </t>
  </si>
  <si>
    <t>pranav.bafna@piller.de'</t>
  </si>
  <si>
    <t>FEB-LCS10SV</t>
  </si>
  <si>
    <t>Salem, Tamil Nadu, India</t>
  </si>
  <si>
    <t>J.J.Alluminium Pvt. Ltd.</t>
  </si>
  <si>
    <t>Plot No. 117, Road No. 6, Kathwada G. I. D. C., Kathwada, Odhav, Ahmedabad, Gujarat, India</t>
  </si>
  <si>
    <t>Automation</t>
  </si>
  <si>
    <t>sutarmahesh71@gmail.com</t>
  </si>
  <si>
    <t>Jatin Kansara</t>
  </si>
  <si>
    <t>Mandi, Himachal Pradesh, India</t>
  </si>
  <si>
    <t>gkunal192@gmail.com</t>
  </si>
  <si>
    <t>Best Welding Solutions</t>
  </si>
  <si>
    <t>S.F.No.137/1a2, D.No.50/2, Barathi Street, Chennavedapatti, Coimbatore, Tamil Nadu, India</t>
  </si>
  <si>
    <t>info@bestweldingsolutions.in</t>
  </si>
  <si>
    <t>MAHESH A</t>
  </si>
  <si>
    <t>Rational Engineers Ltd</t>
  </si>
  <si>
    <t>Single Girder Kbk Rail System, 0.5 Ton</t>
  </si>
  <si>
    <t>ritesh.gajankar@rationalengineers.com</t>
  </si>
  <si>
    <t>Ritesh Gajankar</t>
  </si>
  <si>
    <t>Ashish Tripathi</t>
  </si>
  <si>
    <t>Vapi, Gujarat, India</t>
  </si>
  <si>
    <t>15 Ton eot</t>
  </si>
  <si>
    <t>at8854028@gmail.com</t>
  </si>
  <si>
    <t>Cranemen Services</t>
  </si>
  <si>
    <t>1st Floor, 5d/8d, Railway Road, Nit Faridabad, Faridabad, Haryana, India</t>
  </si>
  <si>
    <t>Atul Sharma</t>
  </si>
  <si>
    <t>Bhavani Shoppe</t>
  </si>
  <si>
    <t>Ground Floor, 10-120, Bhavanishoppe, Gandhi Road Ext, Chittoor, Andhra Pradesh, India</t>
  </si>
  <si>
    <t>Light Crane</t>
  </si>
  <si>
    <t>babubmc@icloud.com</t>
  </si>
  <si>
    <t>Unitech Power Transmission Ltd.</t>
  </si>
  <si>
    <t>Plot No. 14 A, Sector 3, Pithampur, Indore, Madhya Pradesh, India</t>
  </si>
  <si>
    <t>Wall Mounted Overload Protection Device</t>
  </si>
  <si>
    <t>kartikey1269@gmail.com</t>
  </si>
  <si>
    <t>Kartikey Shrivastava</t>
  </si>
  <si>
    <t>PIMPLE GURAV</t>
  </si>
  <si>
    <t>Pillar Mounted Jib Crane of 500kg Capacity</t>
  </si>
  <si>
    <t>rakesh varne</t>
  </si>
  <si>
    <t>FEB-JC07SV</t>
  </si>
  <si>
    <t xml:space="preserve">LEO Engineering </t>
  </si>
  <si>
    <t>ydrabad</t>
  </si>
  <si>
    <t xml:space="preserve">DG EOT Crane of 15MT Capacity </t>
  </si>
  <si>
    <t>projects@leoengineer.com'</t>
  </si>
  <si>
    <t xml:space="preserve">Sanket patil </t>
  </si>
  <si>
    <t xml:space="preserve">FEB-05DGEOT </t>
  </si>
  <si>
    <t>Accurate Engineering</t>
  </si>
  <si>
    <t>Pillar Mounted Jib Crane of 1500KG Capacity</t>
  </si>
  <si>
    <t>application@accurate.co.in'</t>
  </si>
  <si>
    <t>FEB-HT14SV</t>
  </si>
  <si>
    <t>kabirkhan122114@gmail.com</t>
  </si>
  <si>
    <t>kabir khan</t>
  </si>
  <si>
    <t>gnspct@gmail.com</t>
  </si>
  <si>
    <t>nazim khan</t>
  </si>
  <si>
    <t>delhi</t>
  </si>
  <si>
    <t>govind</t>
  </si>
  <si>
    <t>smshadwares@gmail.com</t>
  </si>
  <si>
    <t>Syed Ali</t>
  </si>
  <si>
    <t>Duncan Engg LTD</t>
  </si>
  <si>
    <t>RanjanGoan</t>
  </si>
  <si>
    <t>SG Goliath Crane of 10MT Capacity</t>
  </si>
  <si>
    <t xml:space="preserve">Rushikesh </t>
  </si>
  <si>
    <t>FEB-SG01SV</t>
  </si>
  <si>
    <t>Electric Chain Hoist 3.2MT Capacity</t>
  </si>
  <si>
    <t>FEB-HT2SV</t>
  </si>
  <si>
    <t>Bharat Forge LTD</t>
  </si>
  <si>
    <t xml:space="preserve">Baramati </t>
  </si>
  <si>
    <t>Semi Goliath crane of 3MT Capacity</t>
  </si>
  <si>
    <t xml:space="preserve">   77740 37342 </t>
  </si>
  <si>
    <t xml:space="preserve"> &lt;babasaheb.patil@bharatforge.com&gt;</t>
  </si>
  <si>
    <t>Babasaheb Patil</t>
  </si>
  <si>
    <t>FEB-03GC</t>
  </si>
  <si>
    <t>MODULEX MODULER BUILDING PVT LTD,</t>
  </si>
  <si>
    <t xml:space="preserve">Portable Gantry crane of 3MT Capacity </t>
  </si>
  <si>
    <t>chetan.chavan@modulex.in'</t>
  </si>
  <si>
    <t>Chetan Chavan</t>
  </si>
  <si>
    <t xml:space="preserve">FEB-04PC </t>
  </si>
  <si>
    <t xml:space="preserve">Endo Kogyo Pvt Ltd </t>
  </si>
  <si>
    <t>Support Structure for 1T &amp; 500kg  LCS</t>
  </si>
  <si>
    <t>&lt;eki1@endo-india.co.in&gt;</t>
  </si>
  <si>
    <t>Akshay Salunkhe'</t>
  </si>
  <si>
    <t xml:space="preserve">11,59,136.00 </t>
  </si>
  <si>
    <t>Bagalkot</t>
  </si>
  <si>
    <t> Jib Crane</t>
  </si>
  <si>
    <t>mekkrontechnocrafts@gmail.com</t>
  </si>
  <si>
    <t>pradeep</t>
  </si>
  <si>
    <t>R D Enterprises</t>
  </si>
  <si>
    <t>GAT NO 1573,J K WAREHOUSE,TALAWADE ROAD,HAVELI GAT NO 1573 TALAWADE ROAD J K WAREHOUSE HAVELI,413114,Baramati, Pune, Maharashtra, India</t>
  </si>
  <si>
    <t>sachinpune2006@gmail.com</t>
  </si>
  <si>
    <t xml:space="preserve">JCB INDIA LTD </t>
  </si>
  <si>
    <t xml:space="preserve">Extension of Gantry </t>
  </si>
  <si>
    <t>pratik.patil@jcb.com'</t>
  </si>
  <si>
    <t xml:space="preserve">Pratik Patil </t>
  </si>
  <si>
    <t>FEB-05 23/2/26</t>
  </si>
  <si>
    <t xml:space="preserve">Mahindra &amp; Mahindra </t>
  </si>
  <si>
    <t>TOPSE ENGINEERING</t>
  </si>
  <si>
    <t>SG EOT Crane of 10MT Capacity</t>
  </si>
  <si>
    <t>amol.pawar@topse.in'</t>
  </si>
  <si>
    <t>Amol Pawar</t>
  </si>
  <si>
    <t xml:space="preserve">16- TOPSE-SG10T </t>
  </si>
  <si>
    <t>RATIONAL ENGINEERING</t>
  </si>
  <si>
    <t>billing_tippl@rmkinfrastructure.com</t>
  </si>
  <si>
    <t>nagesh</t>
  </si>
  <si>
    <t>power jib crane</t>
  </si>
  <si>
    <t>mukesh nisad</t>
  </si>
  <si>
    <t>Shivam Enterprises</t>
  </si>
  <si>
    <t>Tyrambak Thakare,1,0, A/p Wakhari Deola, Nashik, Maharashtra, India</t>
  </si>
  <si>
    <t>nimbathakare1975@gmail.com</t>
  </si>
  <si>
    <t>Nimba Tryambak Thakare</t>
  </si>
  <si>
    <t>Adf Fabrication</t>
  </si>
  <si>
    <t>Lifting Crane</t>
  </si>
  <si>
    <t>Sohail Sheikh</t>
  </si>
  <si>
    <t>Dar Solutions</t>
  </si>
  <si>
    <t>80,Narsinhdham Society,B/H  Mother School Gotri Road,Vadodara,Vadodara, Vadodara, Gujarat, India</t>
  </si>
  <si>
    <t>dar solutions</t>
  </si>
  <si>
    <t>Om Sai  Engineering</t>
  </si>
  <si>
    <t>sgkondalkar@gmail.com</t>
  </si>
  <si>
    <t>Sita Ram</t>
  </si>
  <si>
    <t>15, Telco Bhosari Road, Pimpri Chinchwad, Maharashtra, India</t>
  </si>
  <si>
    <t>sukhdevprajapati777@gmail.com</t>
  </si>
  <si>
    <t>Sukhdev Prajapati</t>
  </si>
  <si>
    <t>ROOSTER AUTOMATION</t>
  </si>
  <si>
    <t>dinesh.roosterautomation@gmail.com</t>
  </si>
  <si>
    <t>Power jib crane</t>
  </si>
  <si>
    <t>BABA SHIRI Treval s</t>
  </si>
  <si>
    <t>Spro Industries</t>
  </si>
  <si>
    <t>Flat No 05, Laxmi Park, Plot No 14, CTS No 4768, Mohan Nagar, Pimpri Chinchwad, Maharashtra, India</t>
  </si>
  <si>
    <t>sproindustries22@gmail.com</t>
  </si>
  <si>
    <t>PURUSOTTAM</t>
  </si>
  <si>
    <t>Pitti Engineering</t>
  </si>
  <si>
    <t>tumkur</t>
  </si>
  <si>
    <t>5MT wire rope hoist</t>
  </si>
  <si>
    <t>sai</t>
  </si>
  <si>
    <t>2mt Chain hoist power trolley</t>
  </si>
  <si>
    <t>&lt;JIDDEWAR.SHASHANK@mahindra.com&gt;</t>
  </si>
  <si>
    <t>JIDDEWAR SHASHANK'</t>
  </si>
  <si>
    <t>14-M&amp;M-HT-27/2/26</t>
  </si>
  <si>
    <t>endo kogyo ltd</t>
  </si>
  <si>
    <t>dual arm jib crane</t>
  </si>
  <si>
    <t>19-ENDO-JC-27/02/26</t>
  </si>
  <si>
    <t>BSL ALUMINIUM LTD</t>
  </si>
  <si>
    <t xml:space="preserve">of SG EOT Crane of 5MT &amp; DG EOT Crane of 10MT Capacity </t>
  </si>
  <si>
    <t>jugal@bslaluminiumltd.com</t>
  </si>
  <si>
    <t xml:space="preserve">JUGAL JOSHI </t>
  </si>
  <si>
    <t>10-BSLAL-EOT-27/2/26</t>
  </si>
  <si>
    <t xml:space="preserve">Crab Trolley of 6MT Capacity </t>
  </si>
  <si>
    <r>
      <rPr>
        <sz val="11"/>
        <color rgb="FF000000"/>
        <rFont val="Calibri"/>
        <family val="2"/>
        <scheme val="minor"/>
      </rPr>
      <t>99</t>
    </r>
    <r>
      <rPr>
        <sz val="12"/>
        <color rgb="FF222222"/>
        <rFont val="Tahoma"/>
        <family val="2"/>
      </rPr>
      <t> </t>
    </r>
    <r>
      <rPr>
        <sz val="11"/>
        <color rgb="FF222222"/>
        <rFont val="Calibri"/>
        <family val="2"/>
        <scheme val="minor"/>
      </rPr>
      <t>2242 5498</t>
    </r>
  </si>
  <si>
    <t>&lt;niranjan.shimpale@kirloskar.com&gt;</t>
  </si>
  <si>
    <t xml:space="preserve">Niranjan Shimpale </t>
  </si>
  <si>
    <t>15-KPCL-HT-27/02/26</t>
  </si>
  <si>
    <t>Electric Chain Hoist 1MT &amp; 2MT Capacity</t>
  </si>
  <si>
    <t>&lt;vishnu.rathod@meccalte.in&gt;</t>
  </si>
  <si>
    <t>Vishnu Rathod'</t>
  </si>
  <si>
    <t>20-MECCALTE-1T&amp;2T CH</t>
  </si>
  <si>
    <t>eepos India</t>
  </si>
  <si>
    <t>Velu pune</t>
  </si>
  <si>
    <t xml:space="preserve">Electric chain Hoist of 250, 500, 1T Capacity </t>
  </si>
  <si>
    <t xml:space="preserve"> &lt;akash@eeposcranes.co.in&gt;</t>
  </si>
  <si>
    <t>Akash Subhedar'</t>
  </si>
  <si>
    <t>Mailed</t>
  </si>
  <si>
    <t>eki1@endo-india.co.in'</t>
  </si>
  <si>
    <t>Akshay sir</t>
  </si>
  <si>
    <t>23,03,830.00</t>
  </si>
  <si>
    <t>GK industries</t>
  </si>
  <si>
    <t>1 Ton Crane System</t>
  </si>
  <si>
    <t>gkicbe5@gmail.com</t>
  </si>
  <si>
    <t>GANESH KUMAR A</t>
  </si>
  <si>
    <t>Sm Engineering Construction</t>
  </si>
  <si>
    <t xml:space="preserve"> </t>
  </si>
  <si>
    <t>soundar2301@gmail.com</t>
  </si>
  <si>
    <t>Soundararajan</t>
  </si>
  <si>
    <t>Raygm Engineered Systems Private Limited</t>
  </si>
  <si>
    <t>PL 01, FL 14, Sect 06, Vimal Villa Appt, Pcntda, Moshi SR NO 164/1 INFRONT OF YASHOBHUMI SOCIETY WADMUKHWADI, Pune, Maharashtra, India</t>
  </si>
  <si>
    <t>raygm.project@gmail.com</t>
  </si>
  <si>
    <t>Umesh Borkar</t>
  </si>
  <si>
    <t xml:space="preserve">Windal precision </t>
  </si>
  <si>
    <t xml:space="preserve"> &lt;deepak.rawat@windalsprecision.com&gt;</t>
  </si>
  <si>
    <t>Deepak Rawat'</t>
  </si>
  <si>
    <t>21-Windal-29/02/26</t>
  </si>
  <si>
    <t>44,87,222.00</t>
  </si>
  <si>
    <t>ARYAN ENGINEERING</t>
  </si>
  <si>
    <t xml:space="preserve">SG EOT Crane of 5MT &amp; 7.5MT Capacity </t>
  </si>
  <si>
    <t>aryan.engineering2712@gmail.com'</t>
  </si>
  <si>
    <t>09-ARYANE-29/02/26</t>
  </si>
  <si>
    <t xml:space="preserve">Pillar Mounted Jib Crane of 1MT Capacity </t>
  </si>
  <si>
    <t>agumaste@ultracorpotech.com'</t>
  </si>
  <si>
    <t>Chetan</t>
  </si>
  <si>
    <t>01 -UCPL-01 JC -01 -03 -26</t>
  </si>
  <si>
    <t xml:space="preserve">SG Goliath Crane of 10MT Capacity </t>
  </si>
  <si>
    <t>srikanth@smhrail.com.my'</t>
  </si>
  <si>
    <t xml:space="preserve">Srikanth </t>
  </si>
  <si>
    <t>Atlas Copco Pvt Ltd</t>
  </si>
  <si>
    <t>SG EOT Crane of 2MT</t>
  </si>
  <si>
    <t xml:space="preserve"> &lt;alok.deshmukh@atlascopco.com&gt;</t>
  </si>
  <si>
    <t>alok Deshmukh'</t>
  </si>
  <si>
    <t xml:space="preserve">Datta Enterprises </t>
  </si>
  <si>
    <t xml:space="preserve">LCS System of 1T Capacity </t>
  </si>
  <si>
    <t>&lt;shravan@dattaenterprises.com&gt;</t>
  </si>
  <si>
    <t>Shravan Malve</t>
  </si>
  <si>
    <t>Mansi Ganga Builders And Engineers Pvt. Ltd.</t>
  </si>
  <si>
    <t>387, Shahdara, Delhi Division, New Delhi, Delhi, India</t>
  </si>
  <si>
    <t>nad9876khan@gmail.com</t>
  </si>
  <si>
    <t>Nadeem Ullah Khan</t>
  </si>
  <si>
    <t>Angul, Odisha, India</t>
  </si>
  <si>
    <t>ranjitpradhan787@gmail.com</t>
  </si>
  <si>
    <t>ranjit</t>
  </si>
  <si>
    <t>A. B. Engineering &amp; Fabrication Works</t>
  </si>
  <si>
    <t>S. No. 10, Tukaram Nagar Sinthya Complex, Pune, Maharashtra, India</t>
  </si>
  <si>
    <t>abb702@rediffmail.com</t>
  </si>
  <si>
    <t>Anil Bansode</t>
  </si>
  <si>
    <t>sar corporation</t>
  </si>
  <si>
    <t>ashsayyad229@gmail.com</t>
  </si>
  <si>
    <t>Ashpak Sayyad</t>
  </si>
  <si>
    <t>portable ganty crane</t>
  </si>
  <si>
    <t>Kishor Shelke</t>
  </si>
  <si>
    <t>Ayesha Automobiles</t>
  </si>
  <si>
    <t>Plot No. 7,Opp. State Bank Colony, Takli Sims, Hingna Road,Nagpur, Nagpur, Maharashtra, India</t>
  </si>
  <si>
    <t>wasim</t>
  </si>
  <si>
    <t>Emrald Cure Industries</t>
  </si>
  <si>
    <t>3110, Sanjay Colony Sector 23, Gali No 13, Sector 22, Faridabad, Haryana, India</t>
  </si>
  <si>
    <t>info@emraldcure.com</t>
  </si>
  <si>
    <t>Mukesh Goyal</t>
  </si>
  <si>
    <t>Bharat Machine &amp; Steel Products</t>
  </si>
  <si>
    <t>B-6/2, Jhilmil Industrial Area, Shahdara, New Delhi, Delhi, India</t>
  </si>
  <si>
    <t>bhamachine@yahoo.co.in</t>
  </si>
  <si>
    <t>Yogesh Panchal</t>
  </si>
  <si>
    <t>Yellow Manually Operated JIB Crane,</t>
  </si>
  <si>
    <t>Shivam Lohar</t>
  </si>
  <si>
    <t>pinnacle mobility solutions</t>
  </si>
  <si>
    <t xml:space="preserve">Windshield Manipulator with XY System </t>
  </si>
  <si>
    <t>08-EKA-MANIPULATOR-04/03/26</t>
  </si>
  <si>
    <t>Ansari Construction</t>
  </si>
  <si>
    <t>1, 01, Bholanath Sahu, Bamra, Govindapur Unit, Sambalpur, Odisha, India</t>
  </si>
  <si>
    <t>Md Irfan Ansari</t>
  </si>
  <si>
    <t>Goutham Bhudda</t>
  </si>
  <si>
    <t>8-2-682/32/118, N B Nagar, Road No. 12, Banjara Hill, Hyderabad, Telangana, India</t>
  </si>
  <si>
    <t>balr24539@gmail.com</t>
  </si>
  <si>
    <t>Kunchapu Balraj</t>
  </si>
  <si>
    <t>Post Box No 1202 Plot No. 67 Hadapsar Hadapsar Industrial Estate Hadapsar Hadapsar Industrial Estate, Pune, Maharashtra, India</t>
  </si>
  <si>
    <t>vikram@accurategauging.com</t>
  </si>
  <si>
    <t>Vijay Salunke</t>
  </si>
  <si>
    <t>khan34689@gmail.com</t>
  </si>
  <si>
    <t>IRFAN M ABBASI</t>
  </si>
  <si>
    <t>DMH Cranes</t>
  </si>
  <si>
    <t>Gat No 29/1, Mhalunge Ingle Road, Warale, Tal - Khed, Pune, Maharashtra, India</t>
  </si>
  <si>
    <t>ananddesai12@gmail.com</t>
  </si>
  <si>
    <t>Anand Raosaheb Desai</t>
  </si>
  <si>
    <t>CONCENTRIC PUMPS PUNE PVT. LTD</t>
  </si>
  <si>
    <t>LONIKAND, PUNE</t>
  </si>
  <si>
    <t xml:space="preserve">LCS System with Support structure of 250kg Capacity </t>
  </si>
  <si>
    <t>pankaj.giri@concentricab.com'</t>
  </si>
  <si>
    <t>Pankaj giri</t>
  </si>
  <si>
    <t>07-CPPL-LCS 250kg-06/03/26</t>
  </si>
  <si>
    <t>Senvion Wind Technology Pvt. Ltd</t>
  </si>
  <si>
    <t>MIDC Baramati</t>
  </si>
  <si>
    <t xml:space="preserve">parts required for 4XM Winch </t>
  </si>
  <si>
    <t xml:space="preserve"> &lt;Prashant.RAJE@senvion.in&gt;</t>
  </si>
  <si>
    <t>Prashant RAJE'</t>
  </si>
  <si>
    <t>05-SWTPL06/03/2026/</t>
  </si>
  <si>
    <t>Velu</t>
  </si>
  <si>
    <t>&lt;gauravarya@jendamark.in&gt;</t>
  </si>
  <si>
    <t>GAURAV ARYA</t>
  </si>
  <si>
    <t>07-jendamark-festoon-06/03/26</t>
  </si>
  <si>
    <t>Shivam Electricals</t>
  </si>
  <si>
    <t>Vipin Kumar</t>
  </si>
  <si>
    <t>Rockwin Flowmeter India Pvt. Ltd.</t>
  </si>
  <si>
    <t>Cantilever Jib Crane, 5 Ton</t>
  </si>
  <si>
    <t>deepakkumarsharma59@gmail.com</t>
  </si>
  <si>
    <t>deepak</t>
  </si>
  <si>
    <t>Encorc Powertrans Pvt Ltd Boisar</t>
  </si>
  <si>
    <t xml:space="preserve">BOISAR </t>
  </si>
  <si>
    <t>stores.ept@encorp.in</t>
  </si>
  <si>
    <t>arish</t>
  </si>
  <si>
    <t>20-HT-5T-10/03/26</t>
  </si>
  <si>
    <t>Ujjain, Madhya Pradesh, India</t>
  </si>
  <si>
    <t>Material Handling Machine</t>
  </si>
  <si>
    <t>charan</t>
  </si>
  <si>
    <t>India Tech</t>
  </si>
  <si>
    <t>31/B2 4th Floor Nishan E Manjil Bldg, Near SAI Service Station, Kondhwa Budruk, Pune, Maharashtra, India</t>
  </si>
  <si>
    <t>Electric Wire Rope Hoist 500kg</t>
  </si>
  <si>
    <t>blackberryserver@gmail.com</t>
  </si>
  <si>
    <t>Prabhudas Kadam</t>
  </si>
  <si>
    <t>Kishangarh, Rajasthan, India</t>
  </si>
  <si>
    <t>sumitra</t>
  </si>
  <si>
    <t>Anand Electrical Workshop</t>
  </si>
  <si>
    <t>Amravati, Maharashtra, India</t>
  </si>
  <si>
    <t>jaisingh2801@gmail.com</t>
  </si>
  <si>
    <t>jay singh</t>
  </si>
  <si>
    <t>Mk Enterprises</t>
  </si>
  <si>
    <t>1021, Main Road, Shirwal, Maharashtra, India</t>
  </si>
  <si>
    <t>mudassarkazi554@gmail.com</t>
  </si>
  <si>
    <t>Mudassar Mukashi</t>
  </si>
  <si>
    <t>raj</t>
  </si>
  <si>
    <t>ib crane</t>
  </si>
  <si>
    <t>anand electricals worka</t>
  </si>
  <si>
    <t>Pillar Jib Crane</t>
  </si>
  <si>
    <t>shree jaganath fabtech</t>
  </si>
  <si>
    <t>Velu, Pune</t>
  </si>
  <si>
    <t>mail</t>
  </si>
  <si>
    <t>2,16,800</t>
  </si>
  <si>
    <t>SIGMA PACKAGING</t>
  </si>
  <si>
    <t>sandip@sigmapacks.com'</t>
  </si>
  <si>
    <t>07-SIGMAPACKS-250kg LCS SYSTEM</t>
  </si>
  <si>
    <t>Electric Chain Hoist 2MT &amp; 3MT Capacity</t>
  </si>
  <si>
    <t>13-HoffenPlastic-2&amp;3T hoist</t>
  </si>
  <si>
    <t>Bharat forge ltd</t>
  </si>
  <si>
    <t>Air Reciever of 30CUM &amp; 10CUM Capacity</t>
  </si>
  <si>
    <t>13-BFL-Air receiver-08/03/26</t>
  </si>
  <si>
    <t>Kalyani Forge Ltd</t>
  </si>
  <si>
    <t xml:space="preserve">LCS SYSTEM Of 250kg Capacity </t>
  </si>
  <si>
    <t>saranggade@bharatforge.com'</t>
  </si>
  <si>
    <t>Sarang gade</t>
  </si>
  <si>
    <t>14-BFL-LCS SYSTEM-250KG-08/03/26</t>
  </si>
  <si>
    <t>HAdapsar</t>
  </si>
  <si>
    <t>Electric Chain Hoist 2MT Capacity with other accessories</t>
  </si>
  <si>
    <t>pankaj.joshi@kirloskar.com'</t>
  </si>
  <si>
    <t>pankaj Joshi</t>
  </si>
  <si>
    <t>14-KOEL KAGAL-2MT -WR HOIST</t>
  </si>
  <si>
    <t>Carl Stahl Electric Hoists</t>
  </si>
  <si>
    <t>VASU SUBRAMANI</t>
  </si>
  <si>
    <t>Creative Enterprises</t>
  </si>
  <si>
    <t>Plot No 66A, Kattabomman Street, Sri Kamatchiamman Nagar Srinivasapuram, Baraniputhur, Chennai, Tamil Nadu, India</t>
  </si>
  <si>
    <t>creative2020.enterprises@gmail.com</t>
  </si>
  <si>
    <t>vasu sharma</t>
  </si>
  <si>
    <t>uttranchal Ispat  bazpur</t>
  </si>
  <si>
    <t>Udham Singh Nagar, Uttarakhand, India</t>
  </si>
  <si>
    <t>rititarun@gmail.com</t>
  </si>
  <si>
    <t>Tarun.Jain</t>
  </si>
  <si>
    <t>panion corporation</t>
  </si>
  <si>
    <t>Wire Rope for Crane</t>
  </si>
  <si>
    <t>pioneercorp.ind@gmail.com</t>
  </si>
  <si>
    <t>Jib Crane of 250kg Capacity</t>
  </si>
  <si>
    <t>rash.wi13@gmail.com</t>
  </si>
  <si>
    <t>anjili</t>
  </si>
  <si>
    <t>Fabweld Engineering</t>
  </si>
  <si>
    <t>1, Riddhi Siddhi Row House, Mankar Nagar, Makhmalabad, Nashik, Maharashtra, India</t>
  </si>
  <si>
    <t>2 Ton Electric Hoist without Trolly</t>
  </si>
  <si>
    <t>sales@fabweld.in</t>
  </si>
  <si>
    <t>FABWELD ENGINEERING</t>
  </si>
  <si>
    <t>CLEANTECH SYSTEM PVT LTD</t>
  </si>
  <si>
    <t>Kasurdi</t>
  </si>
  <si>
    <t>farhan.khan@cleantechsystems.in'</t>
  </si>
  <si>
    <t>Farhan.</t>
  </si>
  <si>
    <t xml:space="preserve">16-Cleantech-250kgjib crane </t>
  </si>
  <si>
    <t>Axis Fire Services</t>
  </si>
  <si>
    <t>H C Tiwari Flat No. 156, D Pocket F Mayur Vihar-Ii, New Delhi, Delhi, India</t>
  </si>
  <si>
    <t>Monorail Hoists</t>
  </si>
  <si>
    <t>axisfireservices@gmail.com</t>
  </si>
  <si>
    <t>Sangam Tiwari</t>
  </si>
  <si>
    <t>price</t>
  </si>
  <si>
    <t>sthagare99@gmail.com</t>
  </si>
  <si>
    <t>Double Girder Modular Trolley of 5MT</t>
  </si>
  <si>
    <t>Yogesh Patil (KPCL)' &lt;yogesh.patil@kirloskar.com&gt;</t>
  </si>
  <si>
    <t>6-KPCL-5T CRABTROLEY</t>
  </si>
  <si>
    <t>KALYANI TECHNOFORGE LTD</t>
  </si>
  <si>
    <t>RANJANGOAN</t>
  </si>
  <si>
    <t>Electric Chain Hoist Of 500kg Capacity</t>
  </si>
  <si>
    <t>Dipak.Saste@kalyanitechnoforge.com</t>
  </si>
  <si>
    <t>Dipak saste</t>
  </si>
  <si>
    <t>17-KFL-HOISTC-500KG</t>
  </si>
  <si>
    <t>Carl Stahl E53 Chain Hoist</t>
  </si>
  <si>
    <t>monalicrane@gmail.com</t>
  </si>
  <si>
    <t>girish</t>
  </si>
  <si>
    <t>Nikky Engicon Power Private Limited</t>
  </si>
  <si>
    <t>Plot Number 22, C/O- Nitesh Ranjan, Pakauli Main Road, Phulwari, Beside Pakauli Main Road, Pakauli, Patna, Bihar, India</t>
  </si>
  <si>
    <t>nikkyenterprises21@gmail.com</t>
  </si>
  <si>
    <t>nitesh</t>
  </si>
  <si>
    <t>Sri Ragavendra Factory</t>
  </si>
  <si>
    <t>manisiva443@gmail.com</t>
  </si>
  <si>
    <t>mani</t>
  </si>
  <si>
    <t>BRE Engineer.</t>
  </si>
  <si>
    <t>meenakshi temple, Madurai, Tamil Nadu, India</t>
  </si>
  <si>
    <t>dr.eractors@gmail.com</t>
  </si>
  <si>
    <t>vishnu</t>
  </si>
  <si>
    <t xml:space="preserve"> P And S Trading Company</t>
  </si>
  <si>
    <t>Gno. 894, Office No. 1, Borate Wasti Road, Moshi, Near Ganesh Temple, Pimpri Chinchwad, Maharashtra, India</t>
  </si>
  <si>
    <t>pstradingco01@gmail.com</t>
  </si>
  <si>
    <t>pawan</t>
  </si>
  <si>
    <t>Single Girder Gantry Crane</t>
  </si>
  <si>
    <t>ssvprecisionenginnering@gmail.com</t>
  </si>
  <si>
    <t>No Precision</t>
  </si>
  <si>
    <t>Kottayam, Kerala, India</t>
  </si>
  <si>
    <t>SATHIYANANTHAN</t>
  </si>
  <si>
    <t>1 Ton Monorail Hoist</t>
  </si>
  <si>
    <t>umakant250483@rediffmail.com</t>
  </si>
  <si>
    <t>maka</t>
  </si>
  <si>
    <t>Suraj Industries</t>
  </si>
  <si>
    <t>Plot No A 67, Rohit Enterprises, Tembhurni Midc, Tembhurni Solapur, Solapur, Maharashtra, India</t>
  </si>
  <si>
    <t>surajmaske9090@gmail.com</t>
  </si>
  <si>
    <t>suraj</t>
  </si>
  <si>
    <t>Ayyappan</t>
  </si>
  <si>
    <t>Ariyalur</t>
  </si>
  <si>
    <t>goliath crane</t>
  </si>
  <si>
    <t>ayyappanmmv@gmail.com</t>
  </si>
  <si>
    <t>Micro Print Pack</t>
  </si>
  <si>
    <t>Salem</t>
  </si>
  <si>
    <t>microravishankar@gmail.com</t>
  </si>
  <si>
    <t>rai shankar</t>
  </si>
  <si>
    <t>Electrofab Engineering Services</t>
  </si>
  <si>
    <t xml:space="preserve">UNO Minda Limited   </t>
  </si>
  <si>
    <t>, Chakan Industrial Area</t>
  </si>
  <si>
    <t>2 Ton fully Automatic JIB crane</t>
  </si>
  <si>
    <t>dmahajan1@unominda.com'</t>
  </si>
  <si>
    <t>Dinesh mahajan</t>
  </si>
  <si>
    <t xml:space="preserve">18-UNOMINDA--JC-2MT </t>
  </si>
  <si>
    <t xml:space="preserve">Pneumatic Manipulator of 50kg Capacity </t>
  </si>
  <si>
    <t>&lt;pankaj.giri@concentricab.com&gt;</t>
  </si>
  <si>
    <t>Giri, Pankaj'</t>
  </si>
  <si>
    <t>20-CPPLMN 30kg -11/03/26</t>
  </si>
  <si>
    <t>M TECHNICAL</t>
  </si>
  <si>
    <t>VILLAGE KELWADE</t>
  </si>
  <si>
    <t>toolroom_hinj@m-techindia.com'</t>
  </si>
  <si>
    <t xml:space="preserve">Kishor </t>
  </si>
  <si>
    <t>23 -MTECH-PG 3MT -11/03/26</t>
  </si>
  <si>
    <t>Green Gold Enterprises</t>
  </si>
  <si>
    <t>2nd Floor, No 21, 4th Cross M Block Chamraj Pet, Bengaluru, Karnataka, India</t>
  </si>
  <si>
    <t>20 Ton Electric Wire Rope Hoist</t>
  </si>
  <si>
    <t>mohammedarmaankhan648@gmail.com</t>
  </si>
  <si>
    <t>MOHAMMAD ADNAN KHAN</t>
  </si>
  <si>
    <t>ums technologies</t>
  </si>
  <si>
    <t>Portable Electric Hoist Single Phase</t>
  </si>
  <si>
    <t>mpraba958@gmail.com</t>
  </si>
  <si>
    <t>rabhu</t>
  </si>
  <si>
    <t>TN Crane Works</t>
  </si>
  <si>
    <t>48/26.V C Gordon 2 and Street, Chennai, Tamil Nadu, India</t>
  </si>
  <si>
    <t>tncraneworks@gmail.com</t>
  </si>
  <si>
    <t>Tarun Narayan</t>
  </si>
  <si>
    <t>Tumkur, Karnataka, India</t>
  </si>
  <si>
    <t>thimmarajuvv@gmail.com</t>
  </si>
  <si>
    <t>Thimmaraju</t>
  </si>
  <si>
    <t>Ghanshyam Industries</t>
  </si>
  <si>
    <t>12/6/1/1,,PANCHRATNA INDUSTRIAL ESTATE,,B/H RAMOL VATVA EXPRESSWAY OVER BRIDGE,,NR.BARODA EXPRESSWA A/2, Gidc, 438, Awake Offset Compound,388121,Anand, Ahmedabad, Gujarat, India</t>
  </si>
  <si>
    <t>mechghanshyam@yahoo.com</t>
  </si>
  <si>
    <t>Manubhai Patel</t>
  </si>
  <si>
    <t>KS oils</t>
  </si>
  <si>
    <t>bhopal</t>
  </si>
  <si>
    <t>Machine Shop Maintenance - Head</t>
  </si>
  <si>
    <t>Pune, Pune, Maharashtra, India</t>
  </si>
  <si>
    <t>slondhe@rathigroup.com</t>
  </si>
  <si>
    <t>Satish Londh</t>
  </si>
  <si>
    <t>BORUDE</t>
  </si>
  <si>
    <t>Deolai, Aurangabad Division, India</t>
  </si>
  <si>
    <t>borudemv2015@gmail.com</t>
  </si>
  <si>
    <t>Dehu, Maharashtra, India</t>
  </si>
  <si>
    <t>25 Ton Double Girder EOT Crane</t>
  </si>
  <si>
    <t>pd6217906@gmail.com</t>
  </si>
  <si>
    <t>Pranay Dange</t>
  </si>
  <si>
    <t>AB forging LLP</t>
  </si>
  <si>
    <t>senmohit55@gmail.com</t>
  </si>
  <si>
    <t>DEEPKAUR</t>
  </si>
  <si>
    <t>Apurba Medhi</t>
  </si>
  <si>
    <t>Industrial Heavy Duty EOT Cranes</t>
  </si>
  <si>
    <t>Giriraj Entripeses</t>
  </si>
  <si>
    <t>jalna</t>
  </si>
  <si>
    <t>gorakhjadhav87@gmail.com</t>
  </si>
  <si>
    <t>G K Baviskar</t>
  </si>
  <si>
    <t>ARAI chakan</t>
  </si>
  <si>
    <t>khed</t>
  </si>
  <si>
    <t>Electrical Chain Hoist</t>
  </si>
  <si>
    <t>Navdivya</t>
  </si>
  <si>
    <t>kolkata</t>
  </si>
  <si>
    <t>naveenkumarsethia@gmail.com</t>
  </si>
  <si>
    <t>Naveen Sethia</t>
  </si>
  <si>
    <t>Nirakar engg</t>
  </si>
  <si>
    <t>panaji</t>
  </si>
  <si>
    <t>siddeshrnaik79@gmail.com</t>
  </si>
  <si>
    <t>sidesh</t>
  </si>
  <si>
    <t>Xpress Complete Solutions</t>
  </si>
  <si>
    <t>xpresscsolutions@gmail.com</t>
  </si>
  <si>
    <t>yakub</t>
  </si>
  <si>
    <t>NPCIL</t>
  </si>
  <si>
    <t>Chengalpattu</t>
  </si>
  <si>
    <t>Rohit Chaturvedi</t>
  </si>
  <si>
    <t>arunlal.babu@rrispat.com</t>
  </si>
  <si>
    <t>Arunlal</t>
  </si>
  <si>
    <t>Aira glass trading</t>
  </si>
  <si>
    <t>Secunderabad</t>
  </si>
  <si>
    <t>Naveen Patel Vasalamarri</t>
  </si>
  <si>
    <t>Davanagere, Karnataka, India</t>
  </si>
  <si>
    <t>Heavy Duty EOT Crane</t>
  </si>
  <si>
    <t>DEVIDAKUMAR</t>
  </si>
  <si>
    <t>Rigal Crane Work</t>
  </si>
  <si>
    <t>Dadra, Dadra and Nagar Haveli and Daman and Diu, India</t>
  </si>
  <si>
    <t>regalcranew@gmail.com</t>
  </si>
  <si>
    <t>manzer</t>
  </si>
  <si>
    <t>Gala Precision</t>
  </si>
  <si>
    <t>coolatul1994@gmail.com</t>
  </si>
  <si>
    <t>Jammu, Jammu &amp; Kashmir, India</t>
  </si>
  <si>
    <t>Electrical Chain</t>
  </si>
  <si>
    <t>Dheeraj Singh So Ranjit Singh</t>
  </si>
  <si>
    <t>Fatehpur, Uttar Pradesh, India</t>
  </si>
  <si>
    <t>arunetawah01@gmail.com</t>
  </si>
  <si>
    <t>Arun Kumar Singh</t>
  </si>
  <si>
    <t>Ramdev Pipe Depot</t>
  </si>
  <si>
    <t>Rs No 57/2,Near Basaveshwar Sabha Bhavan,Ghataprabha Road,Gokak,Belagavi, Gokak, Karnataka, India</t>
  </si>
  <si>
    <t>Makana Ram</t>
  </si>
  <si>
    <t>soorajsingh@gmail.com</t>
  </si>
  <si>
    <t>s</t>
  </si>
  <si>
    <t>Larsen Toubro</t>
  </si>
  <si>
    <t>Rahul Mhaske</t>
  </si>
  <si>
    <t>Kheda, Gujarat, India</t>
  </si>
  <si>
    <t>Solanki Nagin Bhai</t>
  </si>
  <si>
    <t>Itech industrial solutions</t>
  </si>
  <si>
    <t>Sipcot Ph 2, Krishnagiri, Tamil Nadu, India</t>
  </si>
  <si>
    <t>Carl Stahl Spares Supplier</t>
  </si>
  <si>
    <t>krgrajiv@gmail.com</t>
  </si>
  <si>
    <t>Itsme</t>
  </si>
  <si>
    <t>vijaygabel</t>
  </si>
  <si>
    <t>Raipur, Chhattisgarh, India</t>
  </si>
  <si>
    <t>vijaygabel30@gmail.com</t>
  </si>
  <si>
    <t>sshambhussingh08893@gmail.com</t>
  </si>
  <si>
    <t>rameshwar1510@gmail.com</t>
  </si>
  <si>
    <t>nitin</t>
  </si>
  <si>
    <t>Sundram Sastener Chemical</t>
  </si>
  <si>
    <t>Madurai, Tamil Nadu, India</t>
  </si>
  <si>
    <t>anbarasan010777@gmail.com</t>
  </si>
  <si>
    <t>Anbarasan</t>
  </si>
  <si>
    <t>Better Power Services Pvt. Ltd.</t>
  </si>
  <si>
    <t>N/A, A.K Azad Road, Beside SBI ATM, Rehabari, Metropolitan, Guwahati, Assam, India</t>
  </si>
  <si>
    <t>ashmita.paul@betterpower.co.in</t>
  </si>
  <si>
    <t>Ashmita Paul</t>
  </si>
  <si>
    <t>Burima Stores</t>
  </si>
  <si>
    <t>41/A,N A,N A,Gangadhar Kabiraj Lane,Khagra,Murshidabad, Berhampore, West Bengal, India</t>
  </si>
  <si>
    <t>dipeshdas8888@gmail.com</t>
  </si>
  <si>
    <t>Dipesh Das</t>
  </si>
  <si>
    <t>Yogesh Rolling Shutter</t>
  </si>
  <si>
    <t>boraderohit533@gmail.com</t>
  </si>
  <si>
    <t>Apoorva Enterprises</t>
  </si>
  <si>
    <t>arunjha1967@rediffmail.com</t>
  </si>
  <si>
    <t>arun jha</t>
  </si>
  <si>
    <t>Dhansiri Associates</t>
  </si>
  <si>
    <t>sdhansiri1@gmail.com</t>
  </si>
  <si>
    <t>Dhansiri</t>
  </si>
  <si>
    <t>Venve Light Metals Ltd</t>
  </si>
  <si>
    <t>vlmetals@yahoo.com</t>
  </si>
  <si>
    <t>G. N B Chowdary</t>
  </si>
  <si>
    <t>mehta tools corporation</t>
  </si>
  <si>
    <t>mehta.tools@hotmil.com</t>
  </si>
  <si>
    <t>Bakul Mehta</t>
  </si>
  <si>
    <t>nashik</t>
  </si>
  <si>
    <t>OMEGA SCIENTIFIC INSTRUMENTS PVT. LTD</t>
  </si>
  <si>
    <t>lokesh@omegascientific.in</t>
  </si>
  <si>
    <t>lokesh</t>
  </si>
  <si>
    <t>BRIJESH TEXTILES</t>
  </si>
  <si>
    <t>Ichalkaranji</t>
  </si>
  <si>
    <t>lionbrijesh@yahoo.co.in</t>
  </si>
  <si>
    <t>Mr. BRIJESH</t>
  </si>
  <si>
    <t xml:space="preserve">Xy System Modi, Dismantling </t>
  </si>
  <si>
    <t>Ajay gunnal</t>
  </si>
  <si>
    <t>26-EKA-DS&amp;I-14/3/2026</t>
  </si>
  <si>
    <t>GUDEL INDIA PVT LTD</t>
  </si>
  <si>
    <t>sagar.satdive@in.gudel.com'</t>
  </si>
  <si>
    <t>Sagar Satideve</t>
  </si>
  <si>
    <t>26-GODEL-EOT5MT-14/3/2026</t>
  </si>
  <si>
    <t>JYOTI SOLUTIONS</t>
  </si>
  <si>
    <t>commoditypurchase@jyotisolutionsworks.com'</t>
  </si>
  <si>
    <t>27-JYOTI-HT250KG</t>
  </si>
  <si>
    <t>Phoenix Engineering Industries</t>
  </si>
  <si>
    <t>First Floor, 130/187, 6th Main 2nd Cross B-Narayanapura, Dooravaninagar Post, Bengaluru, Karnataka, India</t>
  </si>
  <si>
    <t>Rail Light Crane System, Kbk System</t>
  </si>
  <si>
    <t>kaushik.jagadeshan@gmail.com</t>
  </si>
  <si>
    <t xml:space="preserve">Kaushik J
</t>
  </si>
  <si>
    <t>Trupack India</t>
  </si>
  <si>
    <t>Industrial Plot No. 58, Udyog Kendra-I, Ecotech-Iii, Greater Noida, Uttar Pradesh, India</t>
  </si>
  <si>
    <t>vbr90.srivastava@gmail.com</t>
  </si>
  <si>
    <t>Vibhor Srivastava</t>
  </si>
  <si>
    <t>Sitamarhi, Bihar, India</t>
  </si>
  <si>
    <t>5 Ton MS Portable Gantry Cranes</t>
  </si>
  <si>
    <t>alok kumar</t>
  </si>
  <si>
    <t>Chitradurga, Karnataka, India</t>
  </si>
  <si>
    <t>vasukthumati@gmail.com</t>
  </si>
  <si>
    <t>Vasu K T</t>
  </si>
  <si>
    <t>shree infracon</t>
  </si>
  <si>
    <t>Sunshine pre school, Pune Division, Pune, Maharashtra, India</t>
  </si>
  <si>
    <t>shreeinfrcon@gmail.com</t>
  </si>
  <si>
    <t>Prestigeous Scors Pvt. Ltd.</t>
  </si>
  <si>
    <t>17, Gayatri Vihar, Thatipur, Gwalior, Madhya Pradesh, India</t>
  </si>
  <si>
    <t>Sanjay Singh Jadon</t>
  </si>
  <si>
    <t>Turbo Tech</t>
  </si>
  <si>
    <t>Plot No 11a 4 Part Ida Ida Phase 1 Patancheru, Medak, Telangana, India</t>
  </si>
  <si>
    <t>3 Phase Electric Chain Hoist</t>
  </si>
  <si>
    <t>sri4sriram@yahoo.com</t>
  </si>
  <si>
    <t>SRIRAM</t>
  </si>
  <si>
    <t>Institute Of Minerals And Materials Technology Bhubaneswar</t>
  </si>
  <si>
    <t>rajeshmandal100@gmail.com</t>
  </si>
  <si>
    <t>R K Mandal</t>
  </si>
  <si>
    <t>Double Speed Electric Chain Hoist</t>
  </si>
  <si>
    <t>gangkarthik3760@gmail.com</t>
  </si>
  <si>
    <t>Karthikeyan</t>
  </si>
  <si>
    <t>Potdar Metal Works</t>
  </si>
  <si>
    <t>First Lane Station Road, Jaysingpur, Jaysingpur, Maharashtra, India</t>
  </si>
  <si>
    <t>Heavy Duty Gantry Crane</t>
  </si>
  <si>
    <t>manju</t>
  </si>
  <si>
    <t>NOV India Pvt. Ltd</t>
  </si>
  <si>
    <t>navi mumbai</t>
  </si>
  <si>
    <t>suraj.bhagat@nov.com</t>
  </si>
  <si>
    <t>suraj bhagat</t>
  </si>
  <si>
    <t>Honesty Overseas</t>
  </si>
  <si>
    <t>Innotech Metalfab</t>
  </si>
  <si>
    <t>Er Amol Bhausaheb</t>
  </si>
  <si>
    <t>Agriculture  Product</t>
  </si>
  <si>
    <t>leaforganics19@gmail.com</t>
  </si>
  <si>
    <t>ketan</t>
  </si>
  <si>
    <t>sobhan</t>
  </si>
  <si>
    <t>vibhav</t>
  </si>
  <si>
    <t>vaibhavbhat29@gmail.com</t>
  </si>
  <si>
    <t>VAIBHAV</t>
  </si>
  <si>
    <t xml:space="preserve">ATLAS COPCO INDIA PVT LTD </t>
  </si>
  <si>
    <t xml:space="preserve">LCS SYSTEM OF 500KG </t>
  </si>
  <si>
    <t>96079 25829</t>
  </si>
  <si>
    <t>yogesh.salunkhe@atlascopco.com'</t>
  </si>
  <si>
    <t xml:space="preserve">Yogesh Salunkhe </t>
  </si>
  <si>
    <t>30/ATLAS COPCO-LCS250kg</t>
  </si>
  <si>
    <t>Kapurhol</t>
  </si>
  <si>
    <t xml:space="preserve">Modification of Transfer trolley </t>
  </si>
  <si>
    <t>Navnath Gaikwad' &lt;ngaikwad@delvalflow.com&gt;</t>
  </si>
  <si>
    <t>Navnath gaikwad</t>
  </si>
  <si>
    <t>KAMAL ENVIROTECH PVT. LTD</t>
  </si>
  <si>
    <t>ALWAR, RAJASTHAN</t>
  </si>
  <si>
    <t xml:space="preserve">Supply of Wagon </t>
  </si>
  <si>
    <t>anand.kulkarni@kamalenvirotech.com'</t>
  </si>
  <si>
    <t>Anaand kulkarni</t>
  </si>
  <si>
    <t>31/KamalEnvirotech-Wagon-17/03/26</t>
  </si>
  <si>
    <t>PROBOTICS CONTROL</t>
  </si>
  <si>
    <t xml:space="preserve">Jib Crane of 250kg Capacity &amp; Hoist of 500kg Capacity </t>
  </si>
  <si>
    <t>purchase@pcscontrols.in'</t>
  </si>
  <si>
    <t>29 -PROBOTIXLTD-JC -17 -03 -26</t>
  </si>
  <si>
    <t>DINEX EMISSION SOLUTIONS INDIA PVT. LTD</t>
  </si>
  <si>
    <t xml:space="preserve">Tackle of 5MT Capacity </t>
  </si>
  <si>
    <t>mvp@dinex.in'</t>
  </si>
  <si>
    <t>manoj</t>
  </si>
  <si>
    <t>32/DINEX/OQ /17/17 -03 -26</t>
  </si>
  <si>
    <t>WIKA INSTRUMENTS INDIA PVT. LTD</t>
  </si>
  <si>
    <t xml:space="preserve">Support Column for 2MT EOT Crane </t>
  </si>
  <si>
    <t>Misal, Sanjay' &lt;Sanjay.Misal@wika.com&gt;</t>
  </si>
  <si>
    <t>sanjay misal</t>
  </si>
  <si>
    <t>33-WIKA SUPPORTSTRUCTURE-OQ-17/03/26</t>
  </si>
  <si>
    <t xml:space="preserve">Watson &amp; Challin </t>
  </si>
  <si>
    <t xml:space="preserve">Chimbali </t>
  </si>
  <si>
    <t>LCS SYSTEM Of 1MT Capacity</t>
  </si>
  <si>
    <t xml:space="preserve"> &lt;dlashkare@hendrickson-intl.com&gt;</t>
  </si>
  <si>
    <t>Lashkare, Deepak</t>
  </si>
  <si>
    <t>34-W&amp;C-LCS 1T-17-03-26</t>
  </si>
  <si>
    <t xml:space="preserve">pinncle Mobility solutions </t>
  </si>
  <si>
    <t>shubhadeep.dutta@ekamobility.com'</t>
  </si>
  <si>
    <t xml:space="preserve">Rajiv </t>
  </si>
  <si>
    <t>1,27,28,250.00</t>
  </si>
  <si>
    <t>SGP Eletropneumatics</t>
  </si>
  <si>
    <t xml:space="preserve">Support Structure of 2MT Capacity </t>
  </si>
  <si>
    <t>' &lt;newton@gpe.net.in&gt;</t>
  </si>
  <si>
    <t>Newton G P</t>
  </si>
  <si>
    <t>36-SGP-LCS SS 2T-18/03/26</t>
  </si>
  <si>
    <t>BHARAT FORGE LTD</t>
  </si>
  <si>
    <t>DG EOT Crane of 5MT capacity</t>
  </si>
  <si>
    <t xml:space="preserve">91 77740 37342 </t>
  </si>
  <si>
    <t>Babasaheb Patil' &lt;babasaheb.patil@bharatforge.com&gt;</t>
  </si>
  <si>
    <t>Babasaheb patil</t>
  </si>
  <si>
    <t>BFL-DGEOT5T -18 -03 -26</t>
  </si>
  <si>
    <t>TOX PRESSTOTECHNIK INDIA PVT LTD</t>
  </si>
  <si>
    <t>Paud</t>
  </si>
  <si>
    <t>Track for trolleys</t>
  </si>
  <si>
    <t>BTapkir@tox-in.com'</t>
  </si>
  <si>
    <t>AkashWarule</t>
  </si>
  <si>
    <t>37-TOX-TROLLEY -18/03/26</t>
  </si>
  <si>
    <t>SMK Industries</t>
  </si>
  <si>
    <t>Office No. 31, Survey No. 51/2A/2B/3/3, Primavista, Khandoba Chowk, Dhayri, Pune, Maharashtra, India</t>
  </si>
  <si>
    <t>smkinquiry.jd@gmail.com</t>
  </si>
  <si>
    <t>SMK</t>
  </si>
  <si>
    <t>Krivel Technologies</t>
  </si>
  <si>
    <t>31a/22, Krivel Technologies, 4th Cross Main Road, Chennai, Tamil Nadu, India</t>
  </si>
  <si>
    <t>nvk@krivel.in</t>
  </si>
  <si>
    <t>KRIVEL TECHNOLOGIES</t>
  </si>
  <si>
    <t>sakthivelchinnasamy@gmail.com</t>
  </si>
  <si>
    <t>shakti</t>
  </si>
  <si>
    <t>ENGINEERING ENTERPRISES</t>
  </si>
  <si>
    <t>unislyag@kksomanigrp.com</t>
  </si>
  <si>
    <t>Ankur Somani</t>
  </si>
  <si>
    <t>Sg eot crane</t>
  </si>
  <si>
    <t>nrajendra1570@gmail.com</t>
  </si>
  <si>
    <t>Bapu Nerkar</t>
  </si>
  <si>
    <t>CROWN COATS</t>
  </si>
  <si>
    <t>goverdhanchavan84@gmail.com</t>
  </si>
  <si>
    <t>Goverdhan Chavan</t>
  </si>
  <si>
    <t>19-03-2026</t>
  </si>
  <si>
    <t>Rajlaxmi Steel And Iron</t>
  </si>
  <si>
    <t>arshwanath Steel Centre</t>
  </si>
  <si>
    <t>heavy duty lifting clamp</t>
  </si>
  <si>
    <t>pritam@parshwanathsteel.com</t>
  </si>
  <si>
    <t>Pritam C. Oswal</t>
  </si>
  <si>
    <t>AJ Contracts</t>
  </si>
  <si>
    <t>balapnorpadari@gmail.com</t>
  </si>
  <si>
    <t>padari</t>
  </si>
  <si>
    <t>gantry crane</t>
  </si>
  <si>
    <t>adity</t>
  </si>
  <si>
    <t>awmplrpco@gmail.com</t>
  </si>
  <si>
    <t>sunil</t>
  </si>
  <si>
    <t>rakesh</t>
  </si>
  <si>
    <t>Hadpasar</t>
  </si>
  <si>
    <t xml:space="preserve">LCS System &amp; Monorail System of 500kg Capacity </t>
  </si>
  <si>
    <t xml:space="preserve">99 2244 1767                 </t>
  </si>
  <si>
    <t>govardhan.varpe@kirloskar.com</t>
  </si>
  <si>
    <t>Govardhan Varpe</t>
  </si>
  <si>
    <t>38-RE KPCL-LCS &amp; MN 500KG-20-03-26</t>
  </si>
  <si>
    <t>20-03-2026</t>
  </si>
  <si>
    <t>SGP Electropneumatics</t>
  </si>
  <si>
    <t>36-GP E-LCS SS- 2T-18-03-26</t>
  </si>
  <si>
    <t>Ponmen Enterprises</t>
  </si>
  <si>
    <t>No. 1/1, S.F. No. 280/3, Melur, Nayathanpatti, Madurai, Tamil Nadu, India</t>
  </si>
  <si>
    <t>ppoonthamilanppoonthamilan@gmail.com</t>
  </si>
  <si>
    <t>Poonthamilan</t>
  </si>
  <si>
    <t>chromasantosh.n@gmail.com</t>
  </si>
  <si>
    <t>sandeep</t>
  </si>
  <si>
    <t>Hanuman Stone</t>
  </si>
  <si>
    <t>Bharatpur Division, Dholpur, Rajasthan, India</t>
  </si>
  <si>
    <t>kanhaiyagurjar6377@gmail.com</t>
  </si>
  <si>
    <t>Balram</t>
  </si>
  <si>
    <t>shailesh date</t>
  </si>
  <si>
    <t>ganeshsmitaa@gmail.com</t>
  </si>
  <si>
    <t>Vaishali Bharud</t>
  </si>
  <si>
    <t>S No 29/1/2, Gheuntaak, Abhinav College Road, Near Tuljabhavani Mandir, Narhe, Pune, Maharashtra, India</t>
  </si>
  <si>
    <t>nikita.gheuntaak@gmail.com</t>
  </si>
  <si>
    <t>SRI MAHA LAKSHMI INDUSTRIES</t>
  </si>
  <si>
    <t>ala.narayanan@gmail.com</t>
  </si>
  <si>
    <t>NARAYANAN A L</t>
  </si>
  <si>
    <t>Ganpati Steel</t>
  </si>
  <si>
    <t>Champua</t>
  </si>
  <si>
    <t>prabingupta44@gmail.com</t>
  </si>
  <si>
    <t>Prabin Gupta</t>
  </si>
  <si>
    <t>Portable gantry cranes</t>
  </si>
  <si>
    <t>Kajal Bavish</t>
  </si>
  <si>
    <t>Ecolife Polymers</t>
  </si>
  <si>
    <t>3/694,,Vallalar Street, Kuppuswamy Nagar,Sennerkuppum, Chennai, Tamil Nadu, India</t>
  </si>
  <si>
    <t>1 Ton Pillar Mounted Jib Crane</t>
  </si>
  <si>
    <t>vishal@ecolifepolymers.com</t>
  </si>
  <si>
    <t>21-03-2026</t>
  </si>
  <si>
    <t>Maruti Profille</t>
  </si>
  <si>
    <t>Polt Number 10B, Maha Gujrat Industrial Estate Moriya Bavla Road, Ahmedabad, Gujarat, India</t>
  </si>
  <si>
    <t>jsrmindia@yahoo.com</t>
  </si>
  <si>
    <t>ajay goel</t>
  </si>
  <si>
    <t>forging manipulator</t>
  </si>
  <si>
    <t>Dinex Emission Tools</t>
  </si>
  <si>
    <t>Monorail System of 10MT &amp; 15MT Capacity</t>
  </si>
  <si>
    <t>Prashant Bapu Shendge' &lt;PBS@dinex.in&gt;</t>
  </si>
  <si>
    <t>ACME TOOLINGS</t>
  </si>
  <si>
    <t xml:space="preserve">Electric Chain Hoist 2MT Capacity </t>
  </si>
  <si>
    <t>mgr.purchase@arcepolymers.com'</t>
  </si>
  <si>
    <t xml:space="preserve">K Srinivasa Rao </t>
  </si>
  <si>
    <t>40-ACME-C HOIST-2T</t>
  </si>
  <si>
    <t>Kagal</t>
  </si>
  <si>
    <t xml:space="preserve">Electric Chain Hoist 1MT &amp; 2MT Capacity </t>
  </si>
  <si>
    <t>Pandurang Kakade (KOEL)' &lt;pandurang.kakade@kirloskar.com&gt;</t>
  </si>
  <si>
    <t>Pandurang Kakde</t>
  </si>
  <si>
    <t xml:space="preserve">LCS SYSTEM OF 500kg &amp; 1T </t>
  </si>
  <si>
    <t>Sachin Pokharkar &lt;Sachin.Pokharkar@bharatforge.com&gt;</t>
  </si>
  <si>
    <t>Sachin Pokharkar</t>
  </si>
  <si>
    <t>44-BFL-LCS 250KG&amp;1T-22-03-26</t>
  </si>
  <si>
    <t>Pitti Engineering LTd</t>
  </si>
  <si>
    <t xml:space="preserve">Dismantling Modi &amp; Installation of EOT Jib Crane </t>
  </si>
  <si>
    <t>Ramesh G' &lt;ramesh.g@pitti.in&gt;</t>
  </si>
  <si>
    <t>42-PEL-D,M&amp;I -22.03.26</t>
  </si>
  <si>
    <t>45-CGTIPL-DM&amp;I-23-03-26</t>
  </si>
  <si>
    <t>Eka mobility Soulutions</t>
  </si>
  <si>
    <t xml:space="preserve">SG EOT Crane of 2MT Capacity </t>
  </si>
  <si>
    <t>22-03-2026</t>
  </si>
  <si>
    <t>SHOBAN RENOLD J</t>
  </si>
  <si>
    <t>Computer Service Centre</t>
  </si>
  <si>
    <t>Tirunelveli, Tamil Nadu, India</t>
  </si>
  <si>
    <t>rpurushoth2003@gmail.com</t>
  </si>
  <si>
    <t>Mason ( A Unit Of Lnbera &amp; Co)</t>
  </si>
  <si>
    <t>Uttar Narikelda, Dakshin Narikelda, Uttar Narikelda, Purba Medinipur, Tamluk, West Bengal, India</t>
  </si>
  <si>
    <t>portable crane</t>
  </si>
  <si>
    <t>sales@lnbera.com</t>
  </si>
  <si>
    <t>ABHISHEK BERA</t>
  </si>
  <si>
    <t>ganeshservies5868@gmail.com</t>
  </si>
  <si>
    <t>Ganesh Services</t>
  </si>
  <si>
    <t>Shri Ganesh Crane Services</t>
  </si>
  <si>
    <t>Kumbhar Wada M.no.56/3/67 Bhosari Gavhane Ali, Pune, Maharashtra, India</t>
  </si>
  <si>
    <t>Hydraulic Gantry</t>
  </si>
  <si>
    <t>shreeganeshcraneservices@gmail.com</t>
  </si>
  <si>
    <t>GANESH Shinde</t>
  </si>
  <si>
    <t>Sudarshan Enterprises</t>
  </si>
  <si>
    <t>J Block, J-431, Bhosari MIDC, Pune, Maharashtra, India</t>
  </si>
  <si>
    <t>sales@sudarshanenterprisespune.in</t>
  </si>
  <si>
    <t>Sudarshan Mane</t>
  </si>
  <si>
    <t>Medak, Telangana, India</t>
  </si>
  <si>
    <t>PERUGU</t>
  </si>
  <si>
    <t xml:space="preserve">Balaji Services </t>
  </si>
  <si>
    <t>g</t>
  </si>
  <si>
    <t>23-03-2026</t>
  </si>
  <si>
    <t>Impact Safety Glass Works Private Limited</t>
  </si>
  <si>
    <t>vikram.d79@gmail.com</t>
  </si>
  <si>
    <t>Vikram Kumar</t>
  </si>
  <si>
    <t>ALSTOM TRANSPORT LNDIA LIMITED</t>
  </si>
  <si>
    <t xml:space="preserve">LCS SYSTEM of 500KG Capacity </t>
  </si>
  <si>
    <t>dharmesh-prajapati@alstomgroup.com'</t>
  </si>
  <si>
    <t xml:space="preserve">Dharmesh </t>
  </si>
  <si>
    <t>47-Alstom-LCS500kg</t>
  </si>
  <si>
    <t>Vinayak Enterprises</t>
  </si>
  <si>
    <t>Plot No. 170,2nd, Floor MP, Nagar Zone-Ii Bhopal 462011, Bhopal, Madhya Pradesh, India</t>
  </si>
  <si>
    <t>10 Ton Double Girder Magnet EOT Construction Cranes</t>
  </si>
  <si>
    <t>mkmishra77@rediffmail.com</t>
  </si>
  <si>
    <t>Manoj Mishra</t>
  </si>
  <si>
    <t xml:space="preserve">Borade Enterprises </t>
  </si>
  <si>
    <t>sambhajinagar</t>
  </si>
  <si>
    <t>boraderohit533@gmail.com'</t>
  </si>
  <si>
    <t>38-BORADE-SGEOT05T-24/03/26</t>
  </si>
  <si>
    <t>Hardoi</t>
  </si>
  <si>
    <t>anikumar</t>
  </si>
  <si>
    <t>Jai prakash solution</t>
  </si>
  <si>
    <t>Sonipat, Haryana, India</t>
  </si>
  <si>
    <t>jai</t>
  </si>
  <si>
    <t>pmpatil844@gmail.com</t>
  </si>
  <si>
    <t>Prashant Patel</t>
  </si>
  <si>
    <t>Varanasi, Uttar Pradesh, India</t>
  </si>
  <si>
    <t>2 Ton Electric Jib Crane</t>
  </si>
  <si>
    <t>Vedprakash</t>
  </si>
  <si>
    <t>any branded</t>
  </si>
  <si>
    <t>87/2, Kalaburagi Division, Koppal, Karnataka, India</t>
  </si>
  <si>
    <t>shilpanushilpanu@gmail.com</t>
  </si>
  <si>
    <t>Shilpa Kumar</t>
  </si>
  <si>
    <t>Comfort Crane And Fabrication</t>
  </si>
  <si>
    <t>1 st Floor, Shop Number 6, Ravi Kiran Complex, Marg no 1 Kotada Sangani,Shapur, Rajkot, Gujarat, India</t>
  </si>
  <si>
    <t>comfort.craneservice07@gmail.com</t>
  </si>
  <si>
    <t>S.K.Industries</t>
  </si>
  <si>
    <t>IGC, Phase III, SIDCO, Samba, Jammu &amp; Kashmir, India</t>
  </si>
  <si>
    <t>amar_83277@rediffmail.com</t>
  </si>
  <si>
    <t>Electric Floor Cranes,</t>
  </si>
  <si>
    <t>M V Enterprises</t>
  </si>
  <si>
    <t>G 215, ALPHA 2, GREATER NOIDA Gautam Buddha Nagar, Greater Noida, Uttar Pradesh, India</t>
  </si>
  <si>
    <t>mvemukesh57@gmail.com</t>
  </si>
  <si>
    <t>Mukesh Srivastava</t>
  </si>
  <si>
    <t>Dausa, Rajasthan, India</t>
  </si>
  <si>
    <t>rambabuprajapat6@gmail.com</t>
  </si>
  <si>
    <t>Rambabu Prajapat</t>
  </si>
  <si>
    <t>Kd India</t>
  </si>
  <si>
    <t>Flat No O6, Vyas Appt, Gajanan Nagar, Behind Newshreya Nagar, Osmanpura, Aurangabad, Maharashtra, India</t>
  </si>
  <si>
    <t>shaunak.kulkarni100@gmail.com</t>
  </si>
  <si>
    <t>Shaunak FOUND Kulkarni</t>
  </si>
  <si>
    <t xml:space="preserve">Nagar </t>
  </si>
  <si>
    <t xml:space="preserve">existing 3 ton SGEOT Refurbishment of Crane </t>
  </si>
  <si>
    <t>pravin.belhekar@cummins.com</t>
  </si>
  <si>
    <t xml:space="preserve">Pravin Belhekar </t>
  </si>
  <si>
    <t>51-Cummins-REFURBISHMENT-26/03/26</t>
  </si>
  <si>
    <t>KSB LTD</t>
  </si>
  <si>
    <t xml:space="preserve">Electric Wire Rope Hoist 3MT Capacity </t>
  </si>
  <si>
    <t xml:space="preserve">  &lt;AKASH.WARULE-EXT@ksb.com&gt;</t>
  </si>
  <si>
    <t>WARULE, AKASH</t>
  </si>
  <si>
    <t>38-KSBLTD-W R HOIST -27/03/26</t>
  </si>
  <si>
    <t>Kirloskar Chillars  LTD</t>
  </si>
  <si>
    <t xml:space="preserve">DG EOT 15MT </t>
  </si>
  <si>
    <t xml:space="preserve"> &lt;dhananjay.deshpande@kirloskar.com&gt;</t>
  </si>
  <si>
    <t>Dhanajay Deshpande</t>
  </si>
  <si>
    <t>PRAGATI ELECTRICALS PVT. LTD.</t>
  </si>
  <si>
    <t>amol.gunjal@pragatielectricals.com</t>
  </si>
  <si>
    <t>Amol Gunjal</t>
  </si>
  <si>
    <t>pushti</t>
  </si>
  <si>
    <t>Bharat Diamond Bourse</t>
  </si>
  <si>
    <t>Chain Electric Hoists</t>
  </si>
  <si>
    <t>bharat.karande@bdbindia.org</t>
  </si>
  <si>
    <t xml:space="preserve"> bharat karande</t>
  </si>
  <si>
    <t>BMSS STEEL INDUATRIES LTD,</t>
  </si>
  <si>
    <t>Chikhli</t>
  </si>
  <si>
    <t>ashishgoradia@goradia.in'</t>
  </si>
  <si>
    <t>Ashish Gordia</t>
  </si>
  <si>
    <t>49-BMSS-DGEOT-15MT -26-03-26</t>
  </si>
  <si>
    <t>Industrial Manipulator </t>
  </si>
  <si>
    <t>soham.dalvi@parker.com</t>
  </si>
  <si>
    <t>Press Metal Industries</t>
  </si>
  <si>
    <t>Kbk X Y Rail System</t>
  </si>
  <si>
    <t>mayur@pressmetal.co.in</t>
  </si>
  <si>
    <t>Mayur Mundra</t>
  </si>
  <si>
    <t>KRANO CRANES LLP</t>
  </si>
  <si>
    <t>Modasa</t>
  </si>
  <si>
    <t>yash.shah@kranocranes.com</t>
  </si>
  <si>
    <t>yash</t>
  </si>
  <si>
    <t>Bid, Maharashtra, India</t>
  </si>
  <si>
    <t>ashoksalgude1818@gmail.com</t>
  </si>
  <si>
    <t>Salgue Mude</t>
  </si>
  <si>
    <t>AVER</t>
  </si>
  <si>
    <t>B- 26, Opposite Citi Mall, Office New Link Road, Andheri (W), Mumbai, Maharashtra, India</t>
  </si>
  <si>
    <t>Monorail Crane System</t>
  </si>
  <si>
    <t>ramaya.patel@gmail.com</t>
  </si>
  <si>
    <t>Ramesh Patel</t>
  </si>
  <si>
    <t>ELECTRONICA PLASTIC MACHINES LTD</t>
  </si>
  <si>
    <t>PIRANGUT</t>
  </si>
  <si>
    <t>DG EOT 80T &amp; Semi Goliath Crane of 5MT Capacity</t>
  </si>
  <si>
    <t>project08.cta@gmail.com'</t>
  </si>
  <si>
    <t xml:space="preserve">ANil </t>
  </si>
  <si>
    <t>50&amp;54 ELECTRONICA-DGEOT -28-03-26</t>
  </si>
  <si>
    <t>Anthony Security System</t>
  </si>
  <si>
    <t>Industrial Jib Crane</t>
  </si>
  <si>
    <t>sandip_51@ymail.com</t>
  </si>
  <si>
    <t>sandip</t>
  </si>
  <si>
    <t>Sk Enterprises</t>
  </si>
  <si>
    <t>shobhasuthar7021@gmail.com</t>
  </si>
  <si>
    <t>Sandhya Engineering And Fabrication Work</t>
  </si>
  <si>
    <t>N-9, A-116, L-9/1, Jalgaon Road, Shivajinagar, Cidco, Aurangabad, Maharashtra, India</t>
  </si>
  <si>
    <t>ashokjorwar99@gmail.com</t>
  </si>
  <si>
    <t>Ashok Nagorao Jorwar</t>
  </si>
  <si>
    <t>Movetech conveyor Ltd</t>
  </si>
  <si>
    <t>Festooning System</t>
  </si>
  <si>
    <t xml:space="preserve">Kuldeep </t>
  </si>
  <si>
    <t xml:space="preserve">PSR- ELECMECH SERVICES </t>
  </si>
  <si>
    <t>KHANAPUL</t>
  </si>
  <si>
    <t>SG EOT 5T &amp; 10T</t>
  </si>
  <si>
    <t>psr.em.engineeringservices@gmail.com'</t>
  </si>
  <si>
    <t>46-PSR-KV-SG EOT-28-03-26</t>
  </si>
  <si>
    <t xml:space="preserve">Ring Mill Scale Cart </t>
  </si>
  <si>
    <t>babasaheb.patil@bharatforge.com</t>
  </si>
  <si>
    <t>Craftsman Automation LTD</t>
  </si>
  <si>
    <t>LCS SYSTEM Of 500kg, 250kg</t>
  </si>
  <si>
    <t>esd_craneu3@craftsmanautomation.com</t>
  </si>
  <si>
    <t>Fix design technologies</t>
  </si>
  <si>
    <t>portable Gantry Crane of 5MT</t>
  </si>
  <si>
    <t>Empire Lifting Industries</t>
  </si>
  <si>
    <t>ifting tools and tackles</t>
  </si>
  <si>
    <t>empirelifting2023@gmail.com</t>
  </si>
  <si>
    <t>Amit Ramdas Gaikwad</t>
  </si>
  <si>
    <t xml:space="preserve">Leo Engineering </t>
  </si>
  <si>
    <t>DG EOT Crane of 15T &amp; 20T</t>
  </si>
  <si>
    <t>factory@leoengineer.com'</t>
  </si>
  <si>
    <t>Details pending</t>
  </si>
  <si>
    <t>V.S.P.N.Packing Industries</t>
  </si>
  <si>
    <t>67, Shiv Ganga Ind.Estate Lakeshwari, Bhagwanpur, Uttarakhand, India</t>
  </si>
  <si>
    <t>vspnpack2007@yahoo.co.in</t>
  </si>
  <si>
    <t>Naveen Garg</t>
  </si>
  <si>
    <t>Navbharat Buildcon Private Limited</t>
  </si>
  <si>
    <t>Aastha Sadan, Jambur Khana, Mama Ka Bazar, Lashkar, Gwalior, Madhya Pradesh, India</t>
  </si>
  <si>
    <t>shrenik@navbharatbuildcon.com</t>
  </si>
  <si>
    <t>Nav Bharat Buildcon Pvt Ltd</t>
  </si>
  <si>
    <t>Sheikh Marine</t>
  </si>
  <si>
    <t>Bhavnagar, Gujarat, India</t>
  </si>
  <si>
    <t>arhansheikh533@gmail.com</t>
  </si>
  <si>
    <t>Arhan Sheikh</t>
  </si>
  <si>
    <t>ronak</t>
  </si>
  <si>
    <t>SHREE AUTOMATIONS AND SYSTEMS</t>
  </si>
  <si>
    <t>Cross rail with required accessories</t>
  </si>
  <si>
    <t>shree.automationandsystem@gmail.com'</t>
  </si>
  <si>
    <t>Ajit Surve</t>
  </si>
  <si>
    <t>58-Shreeauto-Rail Trolley</t>
  </si>
  <si>
    <t>Poineer Engineering</t>
  </si>
  <si>
    <t>vinaymalik@pioneerengineeringsolutions.com'</t>
  </si>
  <si>
    <t>Vinay mali</t>
  </si>
  <si>
    <t>59-PoineerEng-2T JC</t>
  </si>
  <si>
    <t>SHANDONG HEAVY INDUSTRY INDIA PVT.LTD,</t>
  </si>
  <si>
    <t>Hinjewadi</t>
  </si>
  <si>
    <t>KBK Rail Systems Accessories 1000kg</t>
  </si>
  <si>
    <t>prakashdunge@weichai.com'</t>
  </si>
  <si>
    <t>Prakash Dunge</t>
  </si>
  <si>
    <t>02/WEICHAI-LCS A-01/04/26</t>
  </si>
  <si>
    <t>Mecc alte India Ltd</t>
  </si>
  <si>
    <t>sandeep.awari@meccalte.in'</t>
  </si>
  <si>
    <t>Sandip awari</t>
  </si>
  <si>
    <t xml:space="preserve">Kirloskar chillars </t>
  </si>
  <si>
    <t>DG EOT Crane of 15MT Capacity</t>
  </si>
  <si>
    <t>dhananjay.deshpande@kirloskar.com'</t>
  </si>
  <si>
    <t>S No 219, Mahadeonagar, Ghule Vasti, Manjri Road, Hadapsar, Pune, Maharashtra, India</t>
  </si>
  <si>
    <t>shreemauli8080@gmail.com</t>
  </si>
  <si>
    <t>ramchandra sagar</t>
  </si>
  <si>
    <t>own use</t>
  </si>
  <si>
    <t>Rajgurunagar Khed, Maharashtra, India</t>
  </si>
  <si>
    <t xml:space="preserve">Jib Crane 300-700 Kg. </t>
  </si>
  <si>
    <t>Haidar Ali Darveshi</t>
  </si>
  <si>
    <t>aman</t>
  </si>
  <si>
    <t>Sankari</t>
  </si>
  <si>
    <t>electric chain hoist</t>
  </si>
  <si>
    <t>rjpackaging99@gmail.com</t>
  </si>
  <si>
    <t>Darsh Engineering And Fabrication</t>
  </si>
  <si>
    <t>601/7, Chandan Tekdi, Saswad Pune Road, Saswad Tal Purandar, Saswad, Maharashtra, India</t>
  </si>
  <si>
    <t>darshfabrication2019@gmail.com</t>
  </si>
  <si>
    <t>AMIT KUNDLIK MANE</t>
  </si>
  <si>
    <t>Electric Monorail Hoist</t>
  </si>
  <si>
    <t>vanita</t>
  </si>
  <si>
    <t>double girder eot crane</t>
  </si>
  <si>
    <t>shrinivasan</t>
  </si>
  <si>
    <t>hhg industries pvt ltd</t>
  </si>
  <si>
    <t> Manipulators</t>
  </si>
  <si>
    <t>tushar</t>
  </si>
  <si>
    <t>Pedika Agro (OPC) Private Limited</t>
  </si>
  <si>
    <t>381 Main Road  Pachora  Jalgaon, Pachora, Maharashtra, India</t>
  </si>
  <si>
    <t>pravin borse</t>
  </si>
  <si>
    <t>mayurwaghole123@gmail.com</t>
  </si>
  <si>
    <t>Mayur Sanjay Waghole</t>
  </si>
  <si>
    <t>Ansar Baba Engineering Works</t>
  </si>
  <si>
    <t>267- Mujaur Gali, Peeranwadi, Belgaum, Belgaum, Karnataka, India</t>
  </si>
  <si>
    <t>ansarbelgaum@gmail.com</t>
  </si>
  <si>
    <t>Ansar Ahmed Hubliwale</t>
  </si>
  <si>
    <t>Danver Hydromatics Private Limited</t>
  </si>
  <si>
    <t>10/23, SNC Road, Behala, Kolkata, West Bengal, India</t>
  </si>
  <si>
    <t> Manipulator</t>
  </si>
  <si>
    <t>admednagar</t>
  </si>
  <si>
    <t>&lt;Jaywant.Sutar@ksb.com&gt;</t>
  </si>
  <si>
    <t>Sutar, Jaywant'</t>
  </si>
  <si>
    <t>dangat9666@gmail.com</t>
  </si>
  <si>
    <t>plot no. 49B,Sai industrial associates,NR Maharashtra ware house ,nashik road,chowiswadi,charoli, Pimpri Chinchwad, Maharashtra, India</t>
  </si>
  <si>
    <t>atharvpasalkar146@gmail.com</t>
  </si>
  <si>
    <t>Sany India ltd</t>
  </si>
  <si>
    <t>Atlas copco</t>
  </si>
  <si>
    <t xml:space="preserve">5MT Crab Trollry </t>
  </si>
  <si>
    <t xml:space="preserve">EOT Crane of 2MT Capacity </t>
  </si>
  <si>
    <t xml:space="preserve">Single Girder EOT Crane of 5MT Capacity </t>
  </si>
  <si>
    <t>&lt;Raviprasad.Savkar@Emerson.com&gt;</t>
  </si>
  <si>
    <t>Savakar, Raviprasad</t>
  </si>
  <si>
    <t>9212084932 </t>
  </si>
  <si>
    <t>Waluj Midc, P No 6, Cidco, Gut No 105, Aurangabad, Maharashtra, India</t>
  </si>
  <si>
    <t>chetanyelikar@yahoo.in</t>
  </si>
  <si>
    <t>a/p pimpale,, Indapur, Maharashtra, India</t>
  </si>
  <si>
    <t>yuvraj_kate84@rediffmail.com</t>
  </si>
  <si>
    <t>Chakan, Maharashtra, India</t>
  </si>
  <si>
    <t>Plot No. 36, 1st Floor, Rajendra Nagar, Sector- 5, Sahibabad, Uttar Pradesh, India</t>
  </si>
  <si>
    <t>pmtdel@pmtcoltd.com</t>
  </si>
  <si>
    <t>nsnkarthik12@gmail.com</t>
  </si>
  <si>
    <t>01, Jani Kalan, Baghpat Road, Jani Buzurg, Near Aiter Tower, Meerut, Uttar Pradesh, India</t>
  </si>
  <si>
    <t>gufrankhanjanimeerut@gmail.com</t>
  </si>
  <si>
    <t>Jodhpur, Rajasthan, India</t>
  </si>
  <si>
    <t>mohmmad.aslam04@gmail.com</t>
  </si>
  <si>
    <t>basirboghara26@gmail.com</t>
  </si>
  <si>
    <t>5-35/227,Shakthi puram,Prashanthi nagar,kukatpally, Hyderabad, Telangana, India</t>
  </si>
  <si>
    <t>srimahalakshmi216@gmail.com</t>
  </si>
  <si>
    <t>andriyashipping@gmail.com</t>
  </si>
  <si>
    <t>umsscales@gmail.com</t>
  </si>
  <si>
    <t>arjunkurhade66967@gmail.com</t>
  </si>
  <si>
    <t>H No 593,Dandavate Galli,Dandavate Galli,Vhanali,Kolhapur, Kolhapur, Maharashtra, India</t>
  </si>
  <si>
    <t>arvinddandwate2@gmail.com</t>
  </si>
  <si>
    <t>360, Shivaling Colony, Brahma Nagar, Belagavi, Karnataka, India</t>
  </si>
  <si>
    <t>shubhamwadekar35968@gmail.com</t>
  </si>
  <si>
    <t>AVINASHJAIN59@GMAIL.COM</t>
  </si>
  <si>
    <t>Sector No. D-9/10, Industrial Estate, Baramati, Maharashtra, India</t>
  </si>
  <si>
    <t>waseem.shikalkar@gmail.com</t>
  </si>
  <si>
    <t>Office No 167, 1st Floor,, Pune, Maharashtra, India</t>
  </si>
  <si>
    <t>Sangamner, Maharashtra, India</t>
  </si>
  <si>
    <t>support@buildcheminfra.com</t>
  </si>
  <si>
    <t>Ground Floor, N-116, Sector-12, Noida, Uttar Pradesh, India</t>
  </si>
  <si>
    <t>marketingplus.gg@gmail.com</t>
  </si>
  <si>
    <t xml:space="preserve">Chain Hoist </t>
  </si>
  <si>
    <t xml:space="preserve">Articulated Jib Crane of 500kg Capacity </t>
  </si>
  <si>
    <t>haidarali.darveshi@hyosung.com'</t>
  </si>
  <si>
    <t xml:space="preserve">haidrali </t>
  </si>
  <si>
    <t>Endo kogyo India LTD</t>
  </si>
  <si>
    <t>Ludhiana, Punjab, India</t>
  </si>
  <si>
    <t>baljeetsainibaljeetkaur5008@gmail.com</t>
  </si>
  <si>
    <t>Talwade, Pune Division, Pune, Maharashtra, India</t>
  </si>
  <si>
    <t>purchase@xpertmhe.com</t>
  </si>
  <si>
    <t>gayatri  Agritech</t>
  </si>
  <si>
    <t>shinde.abhay333@gmail.com</t>
  </si>
  <si>
    <t xml:space="preserve">electric chain Hoist </t>
  </si>
  <si>
    <t xml:space="preserve">GKN DRIVING </t>
  </si>
  <si>
    <t>Gat No 2181, Ground Floor, Pune, Maharashtra, India</t>
  </si>
  <si>
    <t>shindeabhishek004@gmail.com</t>
  </si>
  <si>
    <t>Nashik Division Maliwada, Pune, Maharashtra, India</t>
  </si>
  <si>
    <t>pareshb56@yahoo.co.in</t>
  </si>
  <si>
    <t>Ground, Gf-79, Devika Chamber, Devika Chamber, Rajnagar District, RDC, Ghaziabad, Uttar Pradesh, India</t>
  </si>
  <si>
    <t xml:space="preserve">LCS System with Support Structure </t>
  </si>
  <si>
    <t>House No 3/1284, Sr.No.46, Sagar Park, Old Mundhwa Road, Wadgaon Sheri, Pune, Maharashtra, India</t>
  </si>
  <si>
    <t>JK Tyres</t>
  </si>
  <si>
    <t>Metagalii krs road mysore, Mysore, Karnataka, India</t>
  </si>
  <si>
    <t>dbcoe.chiefeng@gmail.com</t>
  </si>
  <si>
    <t>SALES DEPARTMENT</t>
  </si>
  <si>
    <t>TOTAL NO LEADS</t>
  </si>
  <si>
    <t>TODAY</t>
  </si>
  <si>
    <t>YESTURDAY</t>
  </si>
  <si>
    <t>DAY BRFORE</t>
  </si>
  <si>
    <t>TOTAL VALUE:</t>
  </si>
  <si>
    <t>PO RECEIVED</t>
  </si>
  <si>
    <t>YEAR</t>
  </si>
  <si>
    <t>MONTH</t>
  </si>
  <si>
    <t>NEW LEADS</t>
  </si>
  <si>
    <t>APRIL</t>
  </si>
  <si>
    <t>CURRENT ORDER</t>
  </si>
  <si>
    <t>#ERROR!</t>
  </si>
  <si>
    <t>Target</t>
  </si>
  <si>
    <t>Monthly Target</t>
  </si>
  <si>
    <t>DATA SHEET</t>
  </si>
  <si>
    <t>ORDER TRACKER</t>
  </si>
  <si>
    <t xml:space="preserve">PREVIOUS MONTHS </t>
  </si>
  <si>
    <t>MAY</t>
  </si>
  <si>
    <t>MONTHS</t>
  </si>
  <si>
    <t>VALUE</t>
  </si>
  <si>
    <t xml:space="preserve">PLANNED </t>
  </si>
  <si>
    <t>DISPATCHED</t>
  </si>
  <si>
    <t>PENDING</t>
  </si>
  <si>
    <t xml:space="preserve">MONTHLY ORDER VALUE </t>
  </si>
  <si>
    <t>MESSAGES</t>
  </si>
  <si>
    <t xml:space="preserve">CONDITION </t>
  </si>
  <si>
    <t>ORDERS NO</t>
  </si>
  <si>
    <t>AMOUNT</t>
  </si>
  <si>
    <t>PO PENDING</t>
  </si>
  <si>
    <t>HOLD</t>
  </si>
  <si>
    <t>BILLED</t>
  </si>
  <si>
    <t>JULY</t>
  </si>
  <si>
    <t>IN DESIGN</t>
  </si>
  <si>
    <t>AUGUST</t>
  </si>
  <si>
    <t>SEPTEMBER</t>
  </si>
  <si>
    <t>IN PRODUCTION</t>
  </si>
  <si>
    <t>OCTOBER</t>
  </si>
  <si>
    <t>BILL PENDING</t>
  </si>
  <si>
    <t>NOVEMBER</t>
  </si>
  <si>
    <t>UNDER APPROVAL</t>
  </si>
  <si>
    <t>DECEMBER</t>
  </si>
  <si>
    <t>JANUARY</t>
  </si>
  <si>
    <t>UPDATE IT</t>
  </si>
  <si>
    <t>FEBRUARY</t>
  </si>
  <si>
    <t>ORDERED</t>
  </si>
  <si>
    <t>MARCH</t>
  </si>
  <si>
    <t>TOTAL VALUE</t>
  </si>
  <si>
    <t>ORDERS VALUE</t>
  </si>
  <si>
    <t xml:space="preserve">TOTAL PROJECTS </t>
  </si>
  <si>
    <t>STATES</t>
  </si>
  <si>
    <t>No</t>
  </si>
  <si>
    <t>SALES OVERVIEW</t>
  </si>
  <si>
    <t>LEAD OWNER</t>
  </si>
  <si>
    <t>NO</t>
  </si>
  <si>
    <t>📊 Weekly Dashboard (Mon–Sun)</t>
  </si>
  <si>
    <t>📊 Yearly Dashboard (Jan–Dec 2026)</t>
  </si>
  <si>
    <t>Day</t>
  </si>
  <si>
    <t>NOS</t>
  </si>
  <si>
    <t>Amount Formula</t>
  </si>
  <si>
    <t>Month</t>
  </si>
  <si>
    <t>Monday</t>
  </si>
  <si>
    <t>HARSH</t>
  </si>
  <si>
    <t>Tuesday</t>
  </si>
  <si>
    <t>Wednesday</t>
  </si>
  <si>
    <t>Thursday</t>
  </si>
  <si>
    <t>Friday</t>
  </si>
  <si>
    <t>DASH</t>
  </si>
  <si>
    <t>Saturday</t>
  </si>
  <si>
    <t>INQUIRY</t>
  </si>
  <si>
    <t>LEADS DATA</t>
  </si>
  <si>
    <t>Sunday</t>
  </si>
  <si>
    <t>Manipur</t>
  </si>
  <si>
    <t>DAY BEFORE YESTURDAY</t>
  </si>
  <si>
    <t>Meghalaya</t>
  </si>
  <si>
    <t>CRANE TYPES</t>
  </si>
  <si>
    <t>Week 1 NOS</t>
  </si>
  <si>
    <t>Week 1 Amount</t>
  </si>
  <si>
    <t>Week 2 NOS</t>
  </si>
  <si>
    <t>Week 2 Amount</t>
  </si>
  <si>
    <t>Week 3 NOS</t>
  </si>
  <si>
    <t>Week 3 Amount</t>
  </si>
  <si>
    <t>Week 4 NOS</t>
  </si>
  <si>
    <t>Week 4 Amount</t>
  </si>
  <si>
    <t>Mizoram</t>
  </si>
  <si>
    <t>TYPES OF CRANES</t>
  </si>
  <si>
    <t>₹ 0.00</t>
  </si>
  <si>
    <t>Nagaland</t>
  </si>
  <si>
    <t>Sikkim</t>
  </si>
  <si>
    <t>QUOTATIONS</t>
  </si>
  <si>
    <t>Tripura</t>
  </si>
  <si>
    <t>Scissor Lifter</t>
  </si>
  <si>
    <t>TOTAL LEADS</t>
  </si>
  <si>
    <t>TOTAL</t>
  </si>
  <si>
    <t>LEAD SOURCES</t>
  </si>
  <si>
    <t xml:space="preserve">DATA </t>
  </si>
  <si>
    <t>72 NO.</t>
  </si>
  <si>
    <t>LEADS</t>
  </si>
  <si>
    <t>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</si>
</sst>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&quot;₹&quot;\ #,##0.00;[Red]&quot;₹&quot;\ \-#,##0.00"/>
    <numFmt numFmtId="165" formatCode="_ &quot;₹&quot;\ * #,##0.00_ ;_ &quot;₹&quot;\ * \-#,##0.00_ ;_ &quot;₹&quot;\ * &quot;-&quot;??_ ;_ @_ "/>
    <numFmt numFmtId="166" formatCode="_ * #,##0.00_ ;_ * \-#,##0.00_ ;_ * &quot;-&quot;??_ ;_ @_ "/>
    <numFmt numFmtId="167" formatCode="d&quot;-&quot;mmm&quot;-&quot;yyyy"/>
    <numFmt numFmtId="168" formatCode="&quot;$&quot;#,##0.00"/>
    <numFmt numFmtId="169" formatCode="d\-mmmm\-yy"/>
    <numFmt numFmtId="170" formatCode="dd\-mmmm\-yy"/>
    <numFmt numFmtId="171" formatCode="&quot;₹&quot;\ #,##0.00"/>
    <numFmt numFmtId="172" formatCode="[$-409]d\-mmm\-yy"/>
    <numFmt numFmtId="173" formatCode="[$₹-4009]\ #,##0.00"/>
    <numFmt numFmtId="174" formatCode="_ [$₹-4009]\ * #,##0.00_ ;_ [$₹-4009]\ * \-#,##0.00_ ;_ [$₹-4009]\ * &quot;-&quot;??_ ;_ @_ "/>
  </numFmts>
  <fonts count="12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4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Arial"/>
      <family val="2"/>
    </font>
    <font>
      <sz val="11"/>
      <color rgb="FF2D3840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333333"/>
      <name val="Calibri"/>
      <family val="2"/>
    </font>
    <font>
      <sz val="11"/>
      <color rgb="FF002060"/>
      <name val="Arial"/>
      <family val="2"/>
    </font>
    <font>
      <sz val="11"/>
      <color rgb="FF0000FF"/>
      <name val="&quot;Times New Roman&quot;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333333"/>
      <name val="Arial"/>
      <family val="2"/>
    </font>
    <font>
      <b/>
      <sz val="11"/>
      <color rgb="FF000000"/>
      <name val="Arial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u/>
      <sz val="10"/>
      <color rgb="FF0000FF"/>
      <name val="Calibri"/>
      <family val="2"/>
    </font>
    <font>
      <sz val="10"/>
      <color rgb="FF006100"/>
      <name val="Calibri"/>
      <family val="2"/>
    </font>
    <font>
      <sz val="11"/>
      <color rgb="FF006100"/>
      <name val="Calibri"/>
      <family val="2"/>
    </font>
    <font>
      <sz val="10"/>
      <color rgb="FF9C0006"/>
      <name val="Calibri"/>
      <family val="2"/>
    </font>
    <font>
      <sz val="11"/>
      <color rgb="FF9C0006"/>
      <name val="Calibri"/>
      <family val="2"/>
    </font>
    <font>
      <b/>
      <sz val="10"/>
      <color rgb="FFFFFFFF"/>
      <name val="Calibri"/>
      <family val="2"/>
    </font>
    <font>
      <b/>
      <sz val="22"/>
      <color theme="1"/>
      <name val="Calibri"/>
      <family val="2"/>
    </font>
    <font>
      <sz val="11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11"/>
      <color rgb="FFC00000"/>
      <name val="Calibri"/>
      <family val="2"/>
    </font>
    <font>
      <b/>
      <sz val="11"/>
      <color rgb="FFFF0000"/>
      <name val="Calibri"/>
      <family val="2"/>
    </font>
    <font>
      <sz val="12"/>
      <color rgb="FFFF0000"/>
      <name val="Calibri"/>
      <family val="2"/>
    </font>
    <font>
      <b/>
      <sz val="12"/>
      <color rgb="FFFF0000"/>
      <name val="Calibri"/>
      <family val="2"/>
    </font>
    <font>
      <sz val="10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0"/>
      <color theme="1"/>
      <name val="Arimo"/>
    </font>
    <font>
      <sz val="14"/>
      <color rgb="FFFF0000"/>
      <name val="Calibri"/>
      <family val="2"/>
    </font>
    <font>
      <b/>
      <sz val="11"/>
      <color theme="0"/>
      <name val="Calibri"/>
      <family val="2"/>
    </font>
    <font>
      <sz val="10"/>
      <color rgb="FFFFFFFF"/>
      <name val="Arimo"/>
    </font>
    <font>
      <sz val="10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7030A0"/>
      <name val="Calibri"/>
      <family val="2"/>
    </font>
    <font>
      <b/>
      <sz val="16"/>
      <color theme="1"/>
      <name val="Calibri"/>
      <family val="2"/>
    </font>
    <font>
      <b/>
      <sz val="24"/>
      <color theme="1"/>
      <name val="Calibri"/>
      <family val="2"/>
    </font>
    <font>
      <b/>
      <sz val="18"/>
      <color theme="1"/>
      <name val="Calibri"/>
      <family val="2"/>
    </font>
    <font>
      <sz val="16"/>
      <color theme="1"/>
      <name val="Calibri"/>
      <family val="2"/>
    </font>
    <font>
      <b/>
      <sz val="22"/>
      <color theme="0"/>
      <name val="Calibri"/>
      <family val="2"/>
    </font>
    <font>
      <b/>
      <sz val="20"/>
      <color theme="1"/>
      <name val="Calibri"/>
      <family val="2"/>
    </font>
    <font>
      <b/>
      <sz val="16"/>
      <color theme="0"/>
      <name val="Calibri"/>
      <family val="2"/>
    </font>
    <font>
      <b/>
      <sz val="16"/>
      <color rgb="FFFFFFFF"/>
      <name val="Calibri"/>
      <family val="2"/>
    </font>
    <font>
      <sz val="16"/>
      <color rgb="FFFFFFFF"/>
      <name val="Calibri"/>
      <family val="2"/>
    </font>
    <font>
      <b/>
      <sz val="20"/>
      <color rgb="FFFF0000"/>
      <name val="Calibri"/>
      <family val="2"/>
    </font>
    <font>
      <b/>
      <sz val="16"/>
      <color rgb="FF0070C0"/>
      <name val="Calibri"/>
      <family val="2"/>
    </font>
    <font>
      <sz val="10"/>
      <color rgb="FFC00000"/>
      <name val="Calibri"/>
      <family val="2"/>
    </font>
    <font>
      <b/>
      <sz val="14"/>
      <color rgb="FFC00000"/>
      <name val="Calibri"/>
      <family val="2"/>
    </font>
    <font>
      <u/>
      <sz val="11"/>
      <color rgb="FF1155CC"/>
      <name val="Calibri, sans-serif"/>
    </font>
    <font>
      <sz val="11"/>
      <name val="Calibri, sans-serif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1"/>
      <color rgb="FFFF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"/>
      <family val="2"/>
      <charset val="1"/>
    </font>
    <font>
      <sz val="11"/>
      <color rgb="FF333333"/>
      <name val="Arial"/>
      <family val="2"/>
    </font>
    <font>
      <sz val="10"/>
      <color rgb="FF000000"/>
      <name val="Arial"/>
      <family val="2"/>
      <charset val="1"/>
    </font>
    <font>
      <sz val="11"/>
      <color rgb="FFFA7D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rgb="FF2D3840"/>
      <name val="Poppins"/>
      <family val="2"/>
      <charset val="1"/>
    </font>
    <font>
      <sz val="11"/>
      <color theme="1"/>
      <name val="Calibri"/>
      <family val="2"/>
      <charset val="1"/>
    </font>
    <font>
      <b/>
      <sz val="16"/>
      <name val="Calibri"/>
      <family val="2"/>
    </font>
    <font>
      <sz val="10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Andalus"/>
    </font>
    <font>
      <sz val="11"/>
      <color rgb="FF000000"/>
      <name val="Aptos"/>
      <family val="2"/>
    </font>
    <font>
      <sz val="11"/>
      <color rgb="FF002060"/>
      <name val="Aptos"/>
      <family val="2"/>
    </font>
    <font>
      <sz val="9"/>
      <color rgb="FF000000"/>
      <name val="Poppins"/>
    </font>
    <font>
      <sz val="10.5"/>
      <color rgb="FF000000"/>
      <name val="Aptos"/>
      <family val="2"/>
    </font>
    <font>
      <sz val="10"/>
      <color rgb="FF000000"/>
      <name val="Poppins"/>
      <family val="2"/>
      <charset val="1"/>
    </font>
    <font>
      <b/>
      <sz val="11"/>
      <color rgb="FF333333"/>
      <name val="Roboto"/>
    </font>
    <font>
      <sz val="11"/>
      <color theme="1"/>
      <name val="Aptos"/>
      <family val="2"/>
    </font>
    <font>
      <sz val="11"/>
      <color rgb="FF00B05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222222"/>
      <name val="Tahoma"/>
      <family val="2"/>
    </font>
    <font>
      <sz val="11"/>
      <color rgb="FF222222"/>
      <name val="Calibri"/>
      <family val="2"/>
      <scheme val="minor"/>
    </font>
    <font>
      <sz val="11"/>
      <color rgb="FF000000"/>
      <name val="Calibri"/>
      <family val="2"/>
      <charset val="1"/>
    </font>
    <font>
      <sz val="9"/>
      <color rgb="FF000000"/>
      <name val="Segoe UI"/>
      <family val="2"/>
      <charset val="1"/>
    </font>
    <font>
      <sz val="11"/>
      <color rgb="FF333333"/>
      <name val="Roboto"/>
      <family val="2"/>
      <charset val="1"/>
    </font>
    <font>
      <sz val="11"/>
      <color rgb="FF242424"/>
      <name val="Aptos Narrow"/>
      <family val="2"/>
    </font>
    <font>
      <sz val="9"/>
      <color rgb="FF2D3840"/>
      <name val="Poppins"/>
    </font>
    <font>
      <sz val="9"/>
      <color theme="1"/>
      <name val="Arial"/>
      <family val="2"/>
      <charset val="1"/>
    </font>
    <font>
      <sz val="11"/>
      <color rgb="FF000000"/>
      <name val="Roboto"/>
      <charset val="1"/>
    </font>
    <font>
      <b/>
      <sz val="11"/>
      <color rgb="FF333333"/>
      <name val="Roboto"/>
      <family val="2"/>
      <charset val="1"/>
    </font>
    <font>
      <sz val="10.5"/>
      <color rgb="FF000000"/>
      <name val="Tahoma"/>
      <family val="2"/>
      <charset val="1"/>
    </font>
    <font>
      <b/>
      <sz val="11"/>
      <color rgb="FF000000"/>
      <name val="Roboto"/>
      <family val="2"/>
      <charset val="1"/>
    </font>
    <font>
      <sz val="12"/>
      <color rgb="FF000000"/>
      <name val="Aptos"/>
      <family val="2"/>
    </font>
    <font>
      <sz val="9"/>
      <color rgb="FF000000"/>
      <name val="Helvetica"/>
      <family val="2"/>
      <charset val="1"/>
    </font>
    <font>
      <sz val="8"/>
      <color theme="1"/>
      <name val="Arial"/>
      <family val="2"/>
      <charset val="1"/>
    </font>
    <font>
      <sz val="9"/>
      <color rgb="FF000000"/>
      <name val="Helvetica"/>
      <charset val="1"/>
    </font>
    <font>
      <sz val="10.5"/>
      <color rgb="FF002060"/>
      <name val="Aptos"/>
      <family val="2"/>
    </font>
    <font>
      <u/>
      <sz val="10"/>
      <color rgb="FF1155CC"/>
      <name val="Calibri, sans-serif"/>
    </font>
    <font>
      <i/>
      <sz val="11"/>
      <color theme="1"/>
      <name val="Calibri"/>
      <family val="2"/>
      <scheme val="minor"/>
    </font>
    <font>
      <b/>
      <sz val="11"/>
      <color rgb="FF000000"/>
      <name val="Roboto"/>
    </font>
    <font>
      <sz val="10"/>
      <color rgb="FF111827"/>
      <name val="Roboto"/>
    </font>
    <font>
      <sz val="12"/>
      <color rgb="FF000000"/>
      <name val="Arial"/>
      <family val="2"/>
    </font>
    <font>
      <sz val="11"/>
      <color rgb="FF5A5A5B"/>
      <name val="Roboto"/>
    </font>
    <font>
      <sz val="11"/>
      <color rgb="FF000000"/>
      <name val="Roboto"/>
    </font>
    <font>
      <sz val="11"/>
      <color rgb="FF002060"/>
      <name val="Calibri"/>
      <family val="2"/>
      <scheme val="minor"/>
    </font>
    <font>
      <sz val="10.5"/>
      <color rgb="FF000000"/>
      <name val="Segoe UI"/>
      <family val="2"/>
    </font>
    <font>
      <sz val="9"/>
      <color theme="1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A6A6A6"/>
        <bgColor rgb="FFA6A6A6"/>
      </patternFill>
    </fill>
    <fill>
      <patternFill patternType="solid">
        <fgColor rgb="FFFF0000"/>
        <bgColor rgb="FFFF0000"/>
      </patternFill>
    </fill>
    <fill>
      <patternFill patternType="solid">
        <fgColor rgb="FFDA9694"/>
        <bgColor rgb="FFDA9694"/>
      </patternFill>
    </fill>
    <fill>
      <patternFill patternType="solid">
        <fgColor rgb="FF006100"/>
        <bgColor rgb="FF0061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B8CCE4"/>
        <bgColor rgb="FFB8CCE4"/>
      </patternFill>
    </fill>
    <fill>
      <patternFill patternType="solid">
        <fgColor rgb="FFC6EFCE"/>
        <bgColor rgb="FFC6EFCE"/>
      </patternFill>
    </fill>
    <fill>
      <patternFill patternType="solid">
        <fgColor rgb="FF4F81BD"/>
        <bgColor rgb="FF4F81BD"/>
      </patternFill>
    </fill>
    <fill>
      <patternFill patternType="solid">
        <fgColor theme="0"/>
        <bgColor theme="0"/>
      </patternFill>
    </fill>
    <fill>
      <patternFill patternType="solid">
        <fgColor rgb="FFF2DBDB"/>
        <bgColor rgb="FFF2DBDB"/>
      </patternFill>
    </fill>
    <fill>
      <patternFill patternType="solid">
        <fgColor rgb="FFDBE5F1"/>
        <bgColor rgb="FFDBE5F1"/>
      </patternFill>
    </fill>
    <fill>
      <patternFill patternType="solid">
        <fgColor rgb="FFFDE9D9"/>
        <bgColor rgb="FFFDE9D9"/>
      </patternFill>
    </fill>
    <fill>
      <patternFill patternType="solid">
        <fgColor theme="4"/>
        <bgColor theme="4"/>
      </patternFill>
    </fill>
    <fill>
      <patternFill patternType="solid">
        <fgColor rgb="FFDAEEF3"/>
        <bgColor rgb="FFDAEEF3"/>
      </patternFill>
    </fill>
    <fill>
      <patternFill patternType="solid">
        <fgColor rgb="FFCCC0D9"/>
        <bgColor rgb="FFCCC0D9"/>
      </patternFill>
    </fill>
    <fill>
      <patternFill patternType="solid">
        <fgColor rgb="FFE5DFEC"/>
        <bgColor rgb="FFE5DFEC"/>
      </patternFill>
    </fill>
    <fill>
      <patternFill patternType="solid">
        <fgColor rgb="FF953734"/>
        <bgColor rgb="FF953734"/>
      </patternFill>
    </fill>
    <fill>
      <patternFill patternType="solid">
        <fgColor rgb="FF002060"/>
        <bgColor rgb="FF002060"/>
      </patternFill>
    </fill>
    <fill>
      <patternFill patternType="solid">
        <fgColor rgb="FFD99594"/>
        <bgColor rgb="FFD99594"/>
      </patternFill>
    </fill>
    <fill>
      <patternFill patternType="solid">
        <fgColor rgb="FF6D9EEB"/>
        <bgColor rgb="FF6D9EEB"/>
      </patternFill>
    </fill>
    <fill>
      <patternFill patternType="solid">
        <fgColor rgb="FF92CDDC"/>
        <bgColor rgb="FF92CDDC"/>
      </patternFill>
    </fill>
    <fill>
      <patternFill patternType="solid">
        <fgColor rgb="FFFBD4B4"/>
        <bgColor rgb="FFFBD4B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rgb="FFFFC000"/>
      </patternFill>
    </fill>
    <fill>
      <patternFill patternType="solid">
        <fgColor rgb="FFF6F8F9"/>
        <bgColor rgb="FFF6F8F9"/>
      </patternFill>
    </fill>
    <fill>
      <patternFill patternType="solid">
        <fgColor theme="9" tint="0.59999389629810485"/>
        <bgColor rgb="FF00B0F0"/>
      </patternFill>
    </fill>
    <fill>
      <patternFill patternType="solid">
        <fgColor theme="9" tint="0.59999389629810485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DEF7"/>
        <bgColor indexed="64"/>
      </patternFill>
    </fill>
    <fill>
      <patternFill patternType="solid">
        <fgColor rgb="FFFFFF00"/>
        <bgColor rgb="FFF6F8F9"/>
      </patternFill>
    </fill>
  </fills>
  <borders count="8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2">
    <xf numFmtId="0" fontId="0" fillId="0" borderId="0"/>
    <xf numFmtId="0" fontId="64" fillId="29" borderId="0" applyNumberFormat="0" applyBorder="0" applyAlignment="0" applyProtection="0"/>
    <xf numFmtId="0" fontId="65" fillId="30" borderId="0" applyNumberFormat="0" applyBorder="0" applyAlignment="0" applyProtection="0"/>
    <xf numFmtId="0" fontId="66" fillId="31" borderId="0" applyNumberFormat="0" applyBorder="0" applyAlignment="0" applyProtection="0"/>
    <xf numFmtId="0" fontId="67" fillId="32" borderId="64" applyNumberFormat="0" applyAlignment="0" applyProtection="0"/>
    <xf numFmtId="0" fontId="68" fillId="33" borderId="64" applyNumberFormat="0" applyAlignment="0" applyProtection="0"/>
    <xf numFmtId="0" fontId="69" fillId="0" borderId="0" applyNumberFormat="0" applyFill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72" fillId="0" borderId="0" applyNumberFormat="0" applyFill="0" applyBorder="0" applyAlignment="0" applyProtection="0"/>
    <xf numFmtId="0" fontId="82" fillId="31" borderId="55" applyNumberFormat="0" applyBorder="0" applyAlignment="0" applyProtection="0"/>
    <xf numFmtId="166" fontId="3" fillId="0" borderId="55" applyFont="0" applyFill="0" applyBorder="0" applyAlignment="0" applyProtection="0"/>
  </cellStyleXfs>
  <cellXfs count="778">
    <xf numFmtId="0" fontId="0" fillId="0" borderId="0" xfId="0"/>
    <xf numFmtId="0" fontId="8" fillId="4" borderId="0" xfId="0" applyFont="1" applyFill="1"/>
    <xf numFmtId="0" fontId="7" fillId="10" borderId="3" xfId="0" applyFont="1" applyFill="1" applyBorder="1"/>
    <xf numFmtId="167" fontId="14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/>
    </xf>
    <xf numFmtId="168" fontId="14" fillId="0" borderId="0" xfId="0" applyNumberFormat="1" applyFont="1" applyAlignment="1">
      <alignment horizontal="center"/>
    </xf>
    <xf numFmtId="0" fontId="23" fillId="0" borderId="0" xfId="0" applyFont="1"/>
    <xf numFmtId="0" fontId="7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5" fillId="13" borderId="0" xfId="0" applyFont="1" applyFill="1"/>
    <xf numFmtId="0" fontId="26" fillId="13" borderId="0" xfId="0" applyFont="1" applyFill="1"/>
    <xf numFmtId="0" fontId="23" fillId="0" borderId="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12" borderId="4" xfId="0" applyFont="1" applyFill="1" applyBorder="1" applyAlignment="1">
      <alignment horizontal="left"/>
    </xf>
    <xf numFmtId="0" fontId="7" fillId="12" borderId="4" xfId="0" applyFont="1" applyFill="1" applyBorder="1" applyAlignment="1">
      <alignment horizontal="left"/>
    </xf>
    <xf numFmtId="0" fontId="23" fillId="12" borderId="0" xfId="0" applyFont="1" applyFill="1" applyAlignment="1">
      <alignment horizontal="left"/>
    </xf>
    <xf numFmtId="0" fontId="7" fillId="12" borderId="0" xfId="0" applyFont="1" applyFill="1" applyAlignment="1">
      <alignment horizontal="left"/>
    </xf>
    <xf numFmtId="0" fontId="23" fillId="12" borderId="5" xfId="0" applyFont="1" applyFill="1" applyBorder="1" applyAlignment="1">
      <alignment horizontal="center"/>
    </xf>
    <xf numFmtId="0" fontId="7" fillId="12" borderId="5" xfId="0" applyFont="1" applyFill="1" applyBorder="1" applyAlignment="1">
      <alignment horizontal="center"/>
    </xf>
    <xf numFmtId="0" fontId="7" fillId="12" borderId="0" xfId="0" applyFont="1" applyFill="1" applyAlignment="1">
      <alignment horizontal="center"/>
    </xf>
    <xf numFmtId="0" fontId="23" fillId="12" borderId="4" xfId="0" applyFont="1" applyFill="1" applyBorder="1"/>
    <xf numFmtId="0" fontId="7" fillId="12" borderId="4" xfId="0" applyFont="1" applyFill="1" applyBorder="1"/>
    <xf numFmtId="0" fontId="23" fillId="0" borderId="6" xfId="0" applyFont="1" applyBorder="1"/>
    <xf numFmtId="0" fontId="7" fillId="0" borderId="6" xfId="0" applyFont="1" applyBorder="1"/>
    <xf numFmtId="0" fontId="7" fillId="0" borderId="4" xfId="0" applyFont="1" applyBorder="1" applyAlignment="1">
      <alignment horizontal="left"/>
    </xf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0" fontId="29" fillId="14" borderId="5" xfId="0" applyFont="1" applyFill="1" applyBorder="1" applyAlignment="1">
      <alignment horizontal="center"/>
    </xf>
    <xf numFmtId="0" fontId="29" fillId="14" borderId="7" xfId="0" applyFont="1" applyFill="1" applyBorder="1" applyAlignment="1">
      <alignment horizontal="left"/>
    </xf>
    <xf numFmtId="0" fontId="29" fillId="14" borderId="7" xfId="0" applyFont="1" applyFill="1" applyBorder="1"/>
    <xf numFmtId="0" fontId="29" fillId="14" borderId="7" xfId="0" applyFont="1" applyFill="1" applyBorder="1" applyAlignment="1">
      <alignment horizontal="center"/>
    </xf>
    <xf numFmtId="0" fontId="29" fillId="14" borderId="4" xfId="0" applyFont="1" applyFill="1" applyBorder="1"/>
    <xf numFmtId="0" fontId="30" fillId="0" borderId="0" xfId="0" applyFont="1"/>
    <xf numFmtId="0" fontId="9" fillId="15" borderId="9" xfId="0" applyFont="1" applyFill="1" applyBorder="1" applyAlignment="1">
      <alignment horizontal="center"/>
    </xf>
    <xf numFmtId="15" fontId="33" fillId="0" borderId="10" xfId="0" applyNumberFormat="1" applyFont="1" applyBorder="1" applyAlignment="1">
      <alignment horizontal="left" vertical="center" wrapText="1"/>
    </xf>
    <xf numFmtId="14" fontId="33" fillId="0" borderId="10" xfId="0" applyNumberFormat="1" applyFont="1" applyBorder="1" applyAlignment="1">
      <alignment horizontal="left"/>
    </xf>
    <xf numFmtId="0" fontId="33" fillId="15" borderId="10" xfId="0" applyFont="1" applyFill="1" applyBorder="1" applyAlignment="1">
      <alignment horizontal="center"/>
    </xf>
    <xf numFmtId="0" fontId="9" fillId="15" borderId="10" xfId="0" applyFont="1" applyFill="1" applyBorder="1" applyAlignment="1">
      <alignment horizontal="center"/>
    </xf>
    <xf numFmtId="0" fontId="9" fillId="15" borderId="11" xfId="0" applyFont="1" applyFill="1" applyBorder="1" applyAlignment="1">
      <alignment horizontal="center"/>
    </xf>
    <xf numFmtId="0" fontId="33" fillId="15" borderId="10" xfId="0" applyFont="1" applyFill="1" applyBorder="1" applyAlignment="1">
      <alignment horizontal="left"/>
    </xf>
    <xf numFmtId="0" fontId="33" fillId="0" borderId="10" xfId="0" applyFont="1" applyBorder="1" applyAlignment="1">
      <alignment horizontal="left"/>
    </xf>
    <xf numFmtId="165" fontId="33" fillId="15" borderId="10" xfId="0" applyNumberFormat="1" applyFont="1" applyFill="1" applyBorder="1"/>
    <xf numFmtId="165" fontId="33" fillId="0" borderId="10" xfId="0" applyNumberFormat="1" applyFont="1" applyBorder="1"/>
    <xf numFmtId="0" fontId="14" fillId="15" borderId="12" xfId="0" applyFont="1" applyFill="1" applyBorder="1"/>
    <xf numFmtId="0" fontId="14" fillId="15" borderId="13" xfId="0" applyFont="1" applyFill="1" applyBorder="1"/>
    <xf numFmtId="0" fontId="34" fillId="0" borderId="0" xfId="0" applyFont="1"/>
    <xf numFmtId="0" fontId="35" fillId="4" borderId="14" xfId="0" applyFont="1" applyFill="1" applyBorder="1"/>
    <xf numFmtId="0" fontId="36" fillId="4" borderId="1" xfId="0" applyFont="1" applyFill="1" applyBorder="1" applyAlignment="1">
      <alignment horizontal="center"/>
    </xf>
    <xf numFmtId="0" fontId="37" fillId="4" borderId="1" xfId="0" applyFont="1" applyFill="1" applyBorder="1" applyAlignment="1">
      <alignment horizontal="center"/>
    </xf>
    <xf numFmtId="0" fontId="38" fillId="0" borderId="0" xfId="0" applyFont="1"/>
    <xf numFmtId="0" fontId="14" fillId="0" borderId="15" xfId="0" applyFont="1" applyBorder="1"/>
    <xf numFmtId="0" fontId="37" fillId="17" borderId="1" xfId="0" applyFont="1" applyFill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7" fillId="12" borderId="1" xfId="0" applyFont="1" applyFill="1" applyBorder="1" applyAlignment="1">
      <alignment horizontal="center"/>
    </xf>
    <xf numFmtId="0" fontId="40" fillId="0" borderId="16" xfId="0" applyFont="1" applyBorder="1" applyAlignment="1">
      <alignment vertical="center" wrapText="1"/>
    </xf>
    <xf numFmtId="0" fontId="41" fillId="0" borderId="1" xfId="0" applyFont="1" applyBorder="1" applyAlignment="1">
      <alignment vertical="center" wrapText="1"/>
    </xf>
    <xf numFmtId="171" fontId="38" fillId="0" borderId="15" xfId="0" applyNumberFormat="1" applyFont="1" applyBorder="1" applyAlignment="1">
      <alignment vertical="center" wrapText="1"/>
    </xf>
    <xf numFmtId="17" fontId="40" fillId="0" borderId="16" xfId="0" applyNumberFormat="1" applyFont="1" applyBorder="1" applyAlignment="1">
      <alignment vertical="center" wrapText="1"/>
    </xf>
    <xf numFmtId="0" fontId="38" fillId="0" borderId="1" xfId="0" applyFont="1" applyBorder="1" applyAlignment="1">
      <alignment vertical="center" wrapText="1"/>
    </xf>
    <xf numFmtId="0" fontId="14" fillId="0" borderId="17" xfId="0" applyFont="1" applyBorder="1"/>
    <xf numFmtId="0" fontId="33" fillId="0" borderId="0" xfId="0" applyFont="1"/>
    <xf numFmtId="0" fontId="35" fillId="10" borderId="18" xfId="0" applyFont="1" applyFill="1" applyBorder="1"/>
    <xf numFmtId="0" fontId="43" fillId="19" borderId="1" xfId="0" applyFont="1" applyFill="1" applyBorder="1"/>
    <xf numFmtId="0" fontId="40" fillId="0" borderId="19" xfId="0" applyFont="1" applyBorder="1" applyAlignment="1">
      <alignment vertical="center" wrapText="1"/>
    </xf>
    <xf numFmtId="0" fontId="14" fillId="18" borderId="16" xfId="0" applyFont="1" applyFill="1" applyBorder="1"/>
    <xf numFmtId="0" fontId="14" fillId="18" borderId="15" xfId="0" applyFont="1" applyFill="1" applyBorder="1"/>
    <xf numFmtId="0" fontId="14" fillId="12" borderId="1" xfId="0" applyFont="1" applyFill="1" applyBorder="1"/>
    <xf numFmtId="0" fontId="39" fillId="0" borderId="20" xfId="0" applyFont="1" applyBorder="1" applyAlignment="1">
      <alignment vertical="center" wrapText="1"/>
    </xf>
    <xf numFmtId="0" fontId="44" fillId="0" borderId="3" xfId="0" applyFont="1" applyBorder="1" applyAlignment="1">
      <alignment vertical="center" wrapText="1"/>
    </xf>
    <xf numFmtId="0" fontId="14" fillId="17" borderId="16" xfId="0" applyFont="1" applyFill="1" applyBorder="1" applyAlignment="1">
      <alignment wrapText="1"/>
    </xf>
    <xf numFmtId="0" fontId="14" fillId="17" borderId="15" xfId="0" applyFont="1" applyFill="1" applyBorder="1"/>
    <xf numFmtId="0" fontId="14" fillId="17" borderId="1" xfId="0" applyFont="1" applyFill="1" applyBorder="1"/>
    <xf numFmtId="0" fontId="14" fillId="18" borderId="16" xfId="0" applyFont="1" applyFill="1" applyBorder="1" applyAlignment="1">
      <alignment wrapText="1"/>
    </xf>
    <xf numFmtId="171" fontId="14" fillId="17" borderId="1" xfId="0" applyNumberFormat="1" applyFont="1" applyFill="1" applyBorder="1"/>
    <xf numFmtId="171" fontId="14" fillId="12" borderId="1" xfId="0" applyNumberFormat="1" applyFont="1" applyFill="1" applyBorder="1"/>
    <xf numFmtId="0" fontId="45" fillId="0" borderId="3" xfId="0" applyFont="1" applyBorder="1" applyAlignment="1">
      <alignment vertical="center" wrapText="1"/>
    </xf>
    <xf numFmtId="171" fontId="45" fillId="0" borderId="21" xfId="0" applyNumberFormat="1" applyFont="1" applyBorder="1" applyAlignment="1">
      <alignment vertical="center" wrapText="1"/>
    </xf>
    <xf numFmtId="0" fontId="46" fillId="0" borderId="0" xfId="0" applyFont="1" applyAlignment="1">
      <alignment horizontal="center"/>
    </xf>
    <xf numFmtId="0" fontId="14" fillId="0" borderId="16" xfId="0" applyFont="1" applyBorder="1"/>
    <xf numFmtId="0" fontId="47" fillId="0" borderId="0" xfId="0" applyFont="1"/>
    <xf numFmtId="0" fontId="14" fillId="17" borderId="1" xfId="0" applyFont="1" applyFill="1" applyBorder="1" applyAlignment="1">
      <alignment wrapText="1"/>
    </xf>
    <xf numFmtId="0" fontId="14" fillId="0" borderId="0" xfId="0" applyFont="1" applyAlignment="1">
      <alignment vertical="center" wrapText="1"/>
    </xf>
    <xf numFmtId="0" fontId="14" fillId="17" borderId="19" xfId="0" applyFont="1" applyFill="1" applyBorder="1" applyAlignment="1">
      <alignment wrapText="1"/>
    </xf>
    <xf numFmtId="0" fontId="40" fillId="0" borderId="0" xfId="0" applyFont="1" applyAlignment="1">
      <alignment horizontal="center" vertical="center" wrapText="1"/>
    </xf>
    <xf numFmtId="171" fontId="14" fillId="0" borderId="0" xfId="0" applyNumberFormat="1" applyFont="1"/>
    <xf numFmtId="0" fontId="14" fillId="0" borderId="19" xfId="0" applyFont="1" applyBorder="1"/>
    <xf numFmtId="172" fontId="14" fillId="2" borderId="22" xfId="0" applyNumberFormat="1" applyFont="1" applyFill="1" applyBorder="1"/>
    <xf numFmtId="172" fontId="14" fillId="2" borderId="23" xfId="0" applyNumberFormat="1" applyFont="1" applyFill="1" applyBorder="1"/>
    <xf numFmtId="0" fontId="35" fillId="4" borderId="24" xfId="0" applyFont="1" applyFill="1" applyBorder="1"/>
    <xf numFmtId="0" fontId="35" fillId="4" borderId="25" xfId="0" applyFont="1" applyFill="1" applyBorder="1"/>
    <xf numFmtId="0" fontId="35" fillId="10" borderId="16" xfId="0" applyFont="1" applyFill="1" applyBorder="1"/>
    <xf numFmtId="0" fontId="35" fillId="4" borderId="15" xfId="0" applyFont="1" applyFill="1" applyBorder="1"/>
    <xf numFmtId="0" fontId="14" fillId="0" borderId="26" xfId="0" applyFont="1" applyBorder="1"/>
    <xf numFmtId="0" fontId="14" fillId="18" borderId="27" xfId="0" applyFont="1" applyFill="1" applyBorder="1" applyAlignment="1">
      <alignment wrapText="1"/>
    </xf>
    <xf numFmtId="0" fontId="14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14" fillId="17" borderId="28" xfId="0" applyFont="1" applyFill="1" applyBorder="1" applyAlignment="1">
      <alignment wrapText="1"/>
    </xf>
    <xf numFmtId="0" fontId="14" fillId="0" borderId="29" xfId="0" applyFont="1" applyBorder="1"/>
    <xf numFmtId="0" fontId="49" fillId="21" borderId="18" xfId="0" applyFont="1" applyFill="1" applyBorder="1" applyAlignment="1">
      <alignment horizontal="left" vertical="center" wrapText="1"/>
    </xf>
    <xf numFmtId="0" fontId="51" fillId="2" borderId="18" xfId="0" applyFont="1" applyFill="1" applyBorder="1" applyAlignment="1">
      <alignment horizontal="left" vertical="center" wrapText="1"/>
    </xf>
    <xf numFmtId="173" fontId="52" fillId="0" borderId="30" xfId="0" applyNumberFormat="1" applyFont="1" applyBorder="1"/>
    <xf numFmtId="0" fontId="14" fillId="0" borderId="14" xfId="0" applyFont="1" applyBorder="1"/>
    <xf numFmtId="173" fontId="49" fillId="22" borderId="14" xfId="0" applyNumberFormat="1" applyFont="1" applyFill="1" applyBorder="1"/>
    <xf numFmtId="0" fontId="55" fillId="24" borderId="33" xfId="0" applyFont="1" applyFill="1" applyBorder="1" applyAlignment="1">
      <alignment horizontal="left" vertical="center" wrapText="1"/>
    </xf>
    <xf numFmtId="0" fontId="55" fillId="24" borderId="34" xfId="0" applyFont="1" applyFill="1" applyBorder="1" applyAlignment="1">
      <alignment horizontal="left" vertical="center" wrapText="1"/>
    </xf>
    <xf numFmtId="0" fontId="56" fillId="6" borderId="35" xfId="0" applyFont="1" applyFill="1" applyBorder="1" applyAlignment="1">
      <alignment vertical="center" wrapText="1"/>
    </xf>
    <xf numFmtId="0" fontId="56" fillId="6" borderId="36" xfId="0" applyFont="1" applyFill="1" applyBorder="1" applyAlignment="1">
      <alignment horizontal="center" vertical="center" wrapText="1"/>
    </xf>
    <xf numFmtId="171" fontId="57" fillId="6" borderId="37" xfId="0" applyNumberFormat="1" applyFont="1" applyFill="1" applyBorder="1" applyAlignment="1">
      <alignment horizontal="center" vertical="center"/>
    </xf>
    <xf numFmtId="0" fontId="49" fillId="16" borderId="16" xfId="0" applyFont="1" applyFill="1" applyBorder="1"/>
    <xf numFmtId="0" fontId="49" fillId="16" borderId="15" xfId="0" applyFont="1" applyFill="1" applyBorder="1" applyAlignment="1">
      <alignment horizontal="center" vertical="center"/>
    </xf>
    <xf numFmtId="171" fontId="49" fillId="25" borderId="38" xfId="0" applyNumberFormat="1" applyFont="1" applyFill="1" applyBorder="1" applyAlignment="1">
      <alignment horizontal="center"/>
    </xf>
    <xf numFmtId="17" fontId="49" fillId="0" borderId="16" xfId="0" applyNumberFormat="1" applyFont="1" applyBorder="1" applyAlignment="1">
      <alignment horizontal="left" vertical="center" wrapText="1"/>
    </xf>
    <xf numFmtId="173" fontId="32" fillId="0" borderId="21" xfId="0" applyNumberFormat="1" applyFont="1" applyBorder="1"/>
    <xf numFmtId="173" fontId="32" fillId="0" borderId="39" xfId="0" applyNumberFormat="1" applyFont="1" applyBorder="1"/>
    <xf numFmtId="173" fontId="32" fillId="0" borderId="15" xfId="0" applyNumberFormat="1" applyFont="1" applyBorder="1"/>
    <xf numFmtId="0" fontId="49" fillId="0" borderId="40" xfId="0" applyFont="1" applyBorder="1" applyAlignment="1">
      <alignment vertical="center" wrapText="1"/>
    </xf>
    <xf numFmtId="0" fontId="49" fillId="0" borderId="1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left" vertical="center"/>
    </xf>
    <xf numFmtId="0" fontId="49" fillId="0" borderId="15" xfId="0" applyFont="1" applyBorder="1" applyAlignment="1">
      <alignment horizontal="center" vertical="center" wrapText="1"/>
    </xf>
    <xf numFmtId="171" fontId="54" fillId="25" borderId="34" xfId="0" applyNumberFormat="1" applyFont="1" applyFill="1" applyBorder="1" applyAlignment="1">
      <alignment horizontal="center"/>
    </xf>
    <xf numFmtId="171" fontId="49" fillId="4" borderId="41" xfId="0" applyNumberFormat="1" applyFont="1" applyFill="1" applyBorder="1" applyAlignment="1">
      <alignment horizontal="center" vertical="center"/>
    </xf>
    <xf numFmtId="171" fontId="54" fillId="25" borderId="38" xfId="0" applyNumberFormat="1" applyFont="1" applyFill="1" applyBorder="1" applyAlignment="1">
      <alignment horizontal="center"/>
    </xf>
    <xf numFmtId="171" fontId="49" fillId="4" borderId="38" xfId="0" applyNumberFormat="1" applyFont="1" applyFill="1" applyBorder="1" applyAlignment="1">
      <alignment horizontal="center" vertical="center"/>
    </xf>
    <xf numFmtId="0" fontId="49" fillId="0" borderId="42" xfId="0" applyFont="1" applyBorder="1" applyAlignment="1">
      <alignment vertical="center" wrapText="1"/>
    </xf>
    <xf numFmtId="0" fontId="49" fillId="0" borderId="3" xfId="0" applyFont="1" applyBorder="1" applyAlignment="1">
      <alignment horizontal="center" vertical="center" wrapText="1"/>
    </xf>
    <xf numFmtId="171" fontId="52" fillId="0" borderId="21" xfId="0" applyNumberFormat="1" applyFont="1" applyBorder="1" applyAlignment="1">
      <alignment horizontal="center" vertical="center"/>
    </xf>
    <xf numFmtId="0" fontId="49" fillId="0" borderId="31" xfId="0" applyFont="1" applyBorder="1" applyAlignment="1">
      <alignment vertical="center" wrapText="1"/>
    </xf>
    <xf numFmtId="0" fontId="49" fillId="0" borderId="43" xfId="0" applyFont="1" applyBorder="1" applyAlignment="1">
      <alignment horizontal="center" vertical="center" wrapText="1"/>
    </xf>
    <xf numFmtId="171" fontId="52" fillId="0" borderId="14" xfId="0" applyNumberFormat="1" applyFont="1" applyBorder="1" applyAlignment="1">
      <alignment horizontal="center" vertical="center"/>
    </xf>
    <xf numFmtId="0" fontId="49" fillId="17" borderId="44" xfId="0" applyFont="1" applyFill="1" applyBorder="1" applyAlignment="1">
      <alignment vertical="center" wrapText="1"/>
    </xf>
    <xf numFmtId="171" fontId="52" fillId="0" borderId="15" xfId="0" applyNumberFormat="1" applyFont="1" applyBorder="1" applyAlignment="1">
      <alignment horizontal="center" vertical="center"/>
    </xf>
    <xf numFmtId="0" fontId="49" fillId="0" borderId="45" xfId="0" applyFont="1" applyBorder="1" applyAlignment="1">
      <alignment horizontal="center" vertical="center" wrapText="1"/>
    </xf>
    <xf numFmtId="171" fontId="52" fillId="0" borderId="17" xfId="0" applyNumberFormat="1" applyFont="1" applyBorder="1" applyAlignment="1">
      <alignment horizontal="center" vertical="center"/>
    </xf>
    <xf numFmtId="0" fontId="49" fillId="21" borderId="46" xfId="0" applyFont="1" applyFill="1" applyBorder="1" applyAlignment="1">
      <alignment horizontal="left" vertical="center" wrapText="1"/>
    </xf>
    <xf numFmtId="173" fontId="32" fillId="0" borderId="47" xfId="0" applyNumberFormat="1" applyFont="1" applyBorder="1"/>
    <xf numFmtId="173" fontId="32" fillId="0" borderId="25" xfId="0" applyNumberFormat="1" applyFont="1" applyBorder="1"/>
    <xf numFmtId="0" fontId="49" fillId="0" borderId="19" xfId="0" applyFont="1" applyBorder="1"/>
    <xf numFmtId="0" fontId="59" fillId="0" borderId="17" xfId="0" applyFont="1" applyBorder="1" applyAlignment="1">
      <alignment horizontal="center" vertical="center"/>
    </xf>
    <xf numFmtId="171" fontId="54" fillId="25" borderId="9" xfId="0" applyNumberFormat="1" applyFont="1" applyFill="1" applyBorder="1" applyAlignment="1">
      <alignment horizontal="center"/>
    </xf>
    <xf numFmtId="171" fontId="49" fillId="4" borderId="48" xfId="0" applyNumberFormat="1" applyFont="1" applyFill="1" applyBorder="1" applyAlignment="1">
      <alignment horizontal="center" vertical="center"/>
    </xf>
    <xf numFmtId="0" fontId="14" fillId="18" borderId="1" xfId="0" applyFont="1" applyFill="1" applyBorder="1"/>
    <xf numFmtId="0" fontId="14" fillId="18" borderId="1" xfId="0" applyFont="1" applyFill="1" applyBorder="1" applyAlignment="1">
      <alignment wrapText="1"/>
    </xf>
    <xf numFmtId="16" fontId="14" fillId="0" borderId="0" xfId="0" applyNumberFormat="1" applyFont="1"/>
    <xf numFmtId="0" fontId="60" fillId="26" borderId="43" xfId="0" applyFont="1" applyFill="1" applyBorder="1"/>
    <xf numFmtId="0" fontId="60" fillId="26" borderId="43" xfId="0" applyFont="1" applyFill="1" applyBorder="1" applyAlignment="1">
      <alignment wrapText="1"/>
    </xf>
    <xf numFmtId="0" fontId="60" fillId="26" borderId="14" xfId="0" applyFont="1" applyFill="1" applyBorder="1" applyAlignment="1">
      <alignment wrapText="1"/>
    </xf>
    <xf numFmtId="0" fontId="35" fillId="0" borderId="16" xfId="0" applyFont="1" applyBorder="1"/>
    <xf numFmtId="0" fontId="35" fillId="18" borderId="50" xfId="0" applyFont="1" applyFill="1" applyBorder="1" applyAlignment="1">
      <alignment horizontal="center"/>
    </xf>
    <xf numFmtId="0" fontId="40" fillId="0" borderId="2" xfId="0" applyFont="1" applyBorder="1" applyAlignment="1">
      <alignment horizontal="center"/>
    </xf>
    <xf numFmtId="0" fontId="40" fillId="0" borderId="51" xfId="0" applyFont="1" applyBorder="1" applyAlignment="1">
      <alignment horizontal="center"/>
    </xf>
    <xf numFmtId="0" fontId="14" fillId="12" borderId="16" xfId="0" applyFont="1" applyFill="1" applyBorder="1"/>
    <xf numFmtId="0" fontId="40" fillId="0" borderId="2" xfId="0" applyFont="1" applyBorder="1" applyAlignment="1">
      <alignment horizontal="center" wrapText="1"/>
    </xf>
    <xf numFmtId="0" fontId="40" fillId="0" borderId="51" xfId="0" applyFont="1" applyBorder="1" applyAlignment="1">
      <alignment horizontal="center" wrapText="1"/>
    </xf>
    <xf numFmtId="0" fontId="14" fillId="17" borderId="16" xfId="0" applyFont="1" applyFill="1" applyBorder="1"/>
    <xf numFmtId="0" fontId="14" fillId="17" borderId="52" xfId="0" applyFont="1" applyFill="1" applyBorder="1"/>
    <xf numFmtId="0" fontId="14" fillId="0" borderId="21" xfId="0" applyFont="1" applyBorder="1" applyAlignment="1">
      <alignment horizontal="center"/>
    </xf>
    <xf numFmtId="0" fontId="40" fillId="0" borderId="20" xfId="0" applyFont="1" applyBorder="1" applyAlignment="1">
      <alignment horizontal="center" wrapText="1"/>
    </xf>
    <xf numFmtId="0" fontId="40" fillId="0" borderId="53" xfId="0" applyFont="1" applyBorder="1" applyAlignment="1">
      <alignment horizontal="center" wrapText="1"/>
    </xf>
    <xf numFmtId="0" fontId="38" fillId="4" borderId="43" xfId="0" applyFont="1" applyFill="1" applyBorder="1"/>
    <xf numFmtId="0" fontId="38" fillId="4" borderId="43" xfId="0" applyFont="1" applyFill="1" applyBorder="1" applyAlignment="1">
      <alignment wrapText="1"/>
    </xf>
    <xf numFmtId="0" fontId="38" fillId="4" borderId="14" xfId="0" applyFont="1" applyFill="1" applyBorder="1" applyAlignment="1">
      <alignment wrapText="1"/>
    </xf>
    <xf numFmtId="17" fontId="14" fillId="0" borderId="0" xfId="0" applyNumberFormat="1" applyFont="1"/>
    <xf numFmtId="0" fontId="35" fillId="18" borderId="15" xfId="0" applyFont="1" applyFill="1" applyBorder="1" applyAlignment="1">
      <alignment horizontal="center" wrapText="1"/>
    </xf>
    <xf numFmtId="0" fontId="14" fillId="0" borderId="15" xfId="0" applyFont="1" applyBorder="1" applyAlignment="1">
      <alignment horizontal="center" wrapText="1"/>
    </xf>
    <xf numFmtId="0" fontId="14" fillId="17" borderId="19" xfId="0" applyFont="1" applyFill="1" applyBorder="1"/>
    <xf numFmtId="0" fontId="14" fillId="0" borderId="17" xfId="0" applyFont="1" applyBorder="1" applyAlignment="1">
      <alignment horizontal="center" wrapText="1"/>
    </xf>
    <xf numFmtId="0" fontId="40" fillId="0" borderId="56" xfId="0" applyFont="1" applyBorder="1" applyAlignment="1">
      <alignment horizontal="center" wrapText="1"/>
    </xf>
    <xf numFmtId="0" fontId="40" fillId="0" borderId="57" xfId="0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40" fillId="0" borderId="0" xfId="0" applyFont="1" applyAlignment="1">
      <alignment horizontal="center" wrapText="1"/>
    </xf>
    <xf numFmtId="0" fontId="40" fillId="0" borderId="58" xfId="0" applyFont="1" applyBorder="1" applyAlignment="1">
      <alignment horizontal="center" wrapText="1"/>
    </xf>
    <xf numFmtId="0" fontId="38" fillId="4" borderId="59" xfId="0" applyFont="1" applyFill="1" applyBorder="1"/>
    <xf numFmtId="0" fontId="38" fillId="4" borderId="59" xfId="0" applyFont="1" applyFill="1" applyBorder="1" applyAlignment="1">
      <alignment wrapText="1"/>
    </xf>
    <xf numFmtId="0" fontId="38" fillId="4" borderId="25" xfId="0" applyFont="1" applyFill="1" applyBorder="1" applyAlignment="1">
      <alignment wrapText="1"/>
    </xf>
    <xf numFmtId="0" fontId="14" fillId="12" borderId="33" xfId="0" applyFont="1" applyFill="1" applyBorder="1"/>
    <xf numFmtId="0" fontId="40" fillId="0" borderId="60" xfId="0" applyFont="1" applyBorder="1" applyAlignment="1">
      <alignment horizontal="center" wrapText="1"/>
    </xf>
    <xf numFmtId="0" fontId="40" fillId="0" borderId="61" xfId="0" applyFont="1" applyBorder="1" applyAlignment="1">
      <alignment horizontal="center" wrapText="1"/>
    </xf>
    <xf numFmtId="0" fontId="14" fillId="12" borderId="19" xfId="0" applyFont="1" applyFill="1" applyBorder="1"/>
    <xf numFmtId="0" fontId="38" fillId="4" borderId="46" xfId="0" applyFont="1" applyFill="1" applyBorder="1"/>
    <xf numFmtId="0" fontId="40" fillId="0" borderId="63" xfId="0" applyFont="1" applyBorder="1" applyAlignment="1">
      <alignment horizontal="center" wrapText="1"/>
    </xf>
    <xf numFmtId="0" fontId="40" fillId="0" borderId="29" xfId="0" applyFont="1" applyBorder="1" applyAlignment="1">
      <alignment horizontal="center" wrapText="1"/>
    </xf>
    <xf numFmtId="0" fontId="14" fillId="0" borderId="57" xfId="0" applyFont="1" applyBorder="1" applyAlignment="1">
      <alignment horizontal="center" wrapText="1"/>
    </xf>
    <xf numFmtId="174" fontId="14" fillId="18" borderId="15" xfId="0" applyNumberFormat="1" applyFont="1" applyFill="1" applyBorder="1" applyAlignment="1">
      <alignment horizontal="center" wrapText="1"/>
    </xf>
    <xf numFmtId="171" fontId="40" fillId="0" borderId="2" xfId="0" applyNumberFormat="1" applyFont="1" applyBorder="1" applyAlignment="1">
      <alignment horizontal="center" wrapText="1"/>
    </xf>
    <xf numFmtId="0" fontId="70" fillId="30" borderId="2" xfId="2" applyFont="1" applyBorder="1"/>
    <xf numFmtId="0" fontId="9" fillId="2" borderId="55" xfId="0" applyFont="1" applyFill="1" applyBorder="1"/>
    <xf numFmtId="0" fontId="14" fillId="4" borderId="55" xfId="0" applyFont="1" applyFill="1" applyBorder="1"/>
    <xf numFmtId="0" fontId="14" fillId="15" borderId="55" xfId="0" applyFont="1" applyFill="1" applyBorder="1"/>
    <xf numFmtId="0" fontId="33" fillId="0" borderId="11" xfId="0" applyFont="1" applyBorder="1"/>
    <xf numFmtId="0" fontId="14" fillId="15" borderId="58" xfId="0" applyFont="1" applyFill="1" applyBorder="1"/>
    <xf numFmtId="0" fontId="14" fillId="15" borderId="54" xfId="0" applyFont="1" applyFill="1" applyBorder="1"/>
    <xf numFmtId="0" fontId="14" fillId="15" borderId="29" xfId="0" applyFont="1" applyFill="1" applyBorder="1"/>
    <xf numFmtId="0" fontId="34" fillId="4" borderId="55" xfId="0" applyFont="1" applyFill="1" applyBorder="1"/>
    <xf numFmtId="0" fontId="35" fillId="10" borderId="31" xfId="0" applyFont="1" applyFill="1" applyBorder="1"/>
    <xf numFmtId="0" fontId="14" fillId="0" borderId="44" xfId="0" applyFont="1" applyBorder="1"/>
    <xf numFmtId="0" fontId="29" fillId="0" borderId="33" xfId="0" applyFont="1" applyBorder="1" applyAlignment="1">
      <alignment horizontal="center" vertical="center" wrapText="1"/>
    </xf>
    <xf numFmtId="0" fontId="29" fillId="0" borderId="36" xfId="0" applyFont="1" applyBorder="1" applyAlignment="1">
      <alignment horizontal="center" vertical="center" wrapText="1"/>
    </xf>
    <xf numFmtId="0" fontId="29" fillId="0" borderId="27" xfId="0" applyFont="1" applyBorder="1" applyAlignment="1">
      <alignment horizontal="center" vertical="center" wrapText="1"/>
    </xf>
    <xf numFmtId="0" fontId="39" fillId="0" borderId="33" xfId="0" applyFont="1" applyBorder="1" applyAlignment="1">
      <alignment horizontal="center" vertical="center" wrapText="1"/>
    </xf>
    <xf numFmtId="0" fontId="39" fillId="0" borderId="36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center" vertical="center" wrapText="1"/>
    </xf>
    <xf numFmtId="171" fontId="38" fillId="0" borderId="50" xfId="0" applyNumberFormat="1" applyFont="1" applyBorder="1" applyAlignment="1">
      <alignment vertical="center" wrapText="1"/>
    </xf>
    <xf numFmtId="0" fontId="14" fillId="0" borderId="28" xfId="0" applyFont="1" applyBorder="1"/>
    <xf numFmtId="0" fontId="35" fillId="10" borderId="33" xfId="0" applyFont="1" applyFill="1" applyBorder="1"/>
    <xf numFmtId="0" fontId="35" fillId="10" borderId="27" xfId="0" applyFont="1" applyFill="1" applyBorder="1"/>
    <xf numFmtId="0" fontId="14" fillId="0" borderId="62" xfId="0" applyFont="1" applyBorder="1"/>
    <xf numFmtId="173" fontId="50" fillId="22" borderId="47" xfId="0" applyNumberFormat="1" applyFont="1" applyFill="1" applyBorder="1"/>
    <xf numFmtId="0" fontId="58" fillId="0" borderId="38" xfId="0" applyFont="1" applyBorder="1" applyAlignment="1">
      <alignment horizontal="center"/>
    </xf>
    <xf numFmtId="173" fontId="32" fillId="0" borderId="50" xfId="0" applyNumberFormat="1" applyFont="1" applyBorder="1"/>
    <xf numFmtId="171" fontId="52" fillId="0" borderId="50" xfId="0" applyNumberFormat="1" applyFont="1" applyBorder="1" applyAlignment="1">
      <alignment horizontal="center" vertical="center"/>
    </xf>
    <xf numFmtId="0" fontId="14" fillId="0" borderId="54" xfId="0" applyFont="1" applyBorder="1"/>
    <xf numFmtId="0" fontId="49" fillId="0" borderId="28" xfId="0" applyFont="1" applyBorder="1" applyAlignment="1">
      <alignment vertical="center" wrapText="1"/>
    </xf>
    <xf numFmtId="0" fontId="14" fillId="0" borderId="50" xfId="0" applyFont="1" applyBorder="1" applyAlignment="1">
      <alignment horizontal="center"/>
    </xf>
    <xf numFmtId="0" fontId="14" fillId="0" borderId="24" xfId="0" applyFont="1" applyBorder="1"/>
    <xf numFmtId="0" fontId="14" fillId="0" borderId="8" xfId="0" applyFont="1" applyBorder="1" applyAlignment="1">
      <alignment horizontal="center"/>
    </xf>
    <xf numFmtId="0" fontId="40" fillId="0" borderId="8" xfId="0" applyFont="1" applyBorder="1" applyAlignment="1">
      <alignment horizontal="center" wrapText="1"/>
    </xf>
    <xf numFmtId="0" fontId="40" fillId="0" borderId="11" xfId="0" applyFont="1" applyBorder="1" applyAlignment="1">
      <alignment horizontal="center" wrapText="1"/>
    </xf>
    <xf numFmtId="0" fontId="14" fillId="0" borderId="27" xfId="0" applyFont="1" applyBorder="1" applyAlignment="1">
      <alignment horizontal="center" wrapText="1"/>
    </xf>
    <xf numFmtId="0" fontId="14" fillId="0" borderId="11" xfId="0" applyFont="1" applyBorder="1" applyAlignment="1">
      <alignment horizontal="center" wrapText="1"/>
    </xf>
    <xf numFmtId="0" fontId="4" fillId="0" borderId="0" xfId="0" applyFont="1"/>
    <xf numFmtId="0" fontId="7" fillId="10" borderId="21" xfId="0" applyFont="1" applyFill="1" applyBorder="1" applyAlignment="1">
      <alignment horizontal="left" vertical="center"/>
    </xf>
    <xf numFmtId="0" fontId="7" fillId="10" borderId="21" xfId="0" applyFont="1" applyFill="1" applyBorder="1"/>
    <xf numFmtId="0" fontId="7" fillId="37" borderId="21" xfId="0" applyFont="1" applyFill="1" applyBorder="1" applyAlignment="1">
      <alignment horizontal="left"/>
    </xf>
    <xf numFmtId="0" fontId="7" fillId="37" borderId="21" xfId="0" applyFont="1" applyFill="1" applyBorder="1" applyAlignment="1">
      <alignment horizontal="left" wrapText="1"/>
    </xf>
    <xf numFmtId="0" fontId="7" fillId="37" borderId="21" xfId="0" applyFont="1" applyFill="1" applyBorder="1"/>
    <xf numFmtId="0" fontId="7" fillId="37" borderId="21" xfId="0" applyFont="1" applyFill="1" applyBorder="1" applyAlignment="1">
      <alignment horizontal="right"/>
    </xf>
    <xf numFmtId="0" fontId="7" fillId="37" borderId="3" xfId="0" applyFont="1" applyFill="1" applyBorder="1"/>
    <xf numFmtId="0" fontId="7" fillId="10" borderId="65" xfId="0" applyFont="1" applyFill="1" applyBorder="1"/>
    <xf numFmtId="0" fontId="7" fillId="10" borderId="65" xfId="0" applyFont="1" applyFill="1" applyBorder="1" applyAlignment="1">
      <alignment horizontal="right"/>
    </xf>
    <xf numFmtId="0" fontId="7" fillId="10" borderId="65" xfId="0" applyFont="1" applyFill="1" applyBorder="1" applyAlignment="1">
      <alignment horizontal="left"/>
    </xf>
    <xf numFmtId="167" fontId="7" fillId="10" borderId="65" xfId="0" applyNumberFormat="1" applyFont="1" applyFill="1" applyBorder="1" applyAlignment="1">
      <alignment horizontal="left"/>
    </xf>
    <xf numFmtId="0" fontId="7" fillId="37" borderId="65" xfId="0" applyFont="1" applyFill="1" applyBorder="1"/>
    <xf numFmtId="0" fontId="7" fillId="37" borderId="65" xfId="0" applyFont="1" applyFill="1" applyBorder="1" applyAlignment="1">
      <alignment horizontal="right"/>
    </xf>
    <xf numFmtId="0" fontId="7" fillId="37" borderId="65" xfId="0" applyFont="1" applyFill="1" applyBorder="1" applyAlignment="1">
      <alignment horizontal="left"/>
    </xf>
    <xf numFmtId="167" fontId="7" fillId="37" borderId="65" xfId="0" applyNumberFormat="1" applyFont="1" applyFill="1" applyBorder="1" applyAlignment="1">
      <alignment horizontal="left"/>
    </xf>
    <xf numFmtId="0" fontId="7" fillId="37" borderId="65" xfId="0" applyFont="1" applyFill="1" applyBorder="1" applyAlignment="1">
      <alignment horizontal="left" wrapText="1"/>
    </xf>
    <xf numFmtId="0" fontId="14" fillId="37" borderId="65" xfId="0" applyFont="1" applyFill="1" applyBorder="1"/>
    <xf numFmtId="0" fontId="7" fillId="10" borderId="65" xfId="0" applyFont="1" applyFill="1" applyBorder="1" applyAlignment="1">
      <alignment horizontal="left" wrapText="1"/>
    </xf>
    <xf numFmtId="0" fontId="14" fillId="10" borderId="65" xfId="0" applyFont="1" applyFill="1" applyBorder="1"/>
    <xf numFmtId="0" fontId="70" fillId="30" borderId="66" xfId="2" applyFont="1" applyBorder="1" applyAlignment="1">
      <alignment horizontal="left"/>
    </xf>
    <xf numFmtId="0" fontId="70" fillId="30" borderId="66" xfId="2" applyFont="1" applyBorder="1" applyAlignment="1">
      <alignment horizontal="left" wrapText="1"/>
    </xf>
    <xf numFmtId="2" fontId="70" fillId="30" borderId="66" xfId="2" applyNumberFormat="1" applyFont="1" applyBorder="1" applyAlignment="1">
      <alignment horizontal="left"/>
    </xf>
    <xf numFmtId="49" fontId="70" fillId="30" borderId="66" xfId="2" applyNumberFormat="1" applyFont="1" applyBorder="1" applyAlignment="1">
      <alignment horizontal="left"/>
    </xf>
    <xf numFmtId="0" fontId="70" fillId="30" borderId="67" xfId="2" applyFont="1" applyBorder="1" applyAlignment="1">
      <alignment horizontal="left"/>
    </xf>
    <xf numFmtId="15" fontId="7" fillId="37" borderId="21" xfId="0" applyNumberFormat="1" applyFont="1" applyFill="1" applyBorder="1"/>
    <xf numFmtId="0" fontId="70" fillId="30" borderId="66" xfId="2" applyFont="1" applyBorder="1" applyAlignment="1">
      <alignment horizontal="center"/>
    </xf>
    <xf numFmtId="15" fontId="7" fillId="37" borderId="2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4" borderId="68" xfId="0" applyFont="1" applyFill="1" applyBorder="1" applyAlignment="1">
      <alignment horizontal="center"/>
    </xf>
    <xf numFmtId="0" fontId="7" fillId="0" borderId="65" xfId="0" applyFont="1" applyBorder="1"/>
    <xf numFmtId="0" fontId="10" fillId="37" borderId="65" xfId="0" applyFont="1" applyFill="1" applyBorder="1"/>
    <xf numFmtId="0" fontId="7" fillId="0" borderId="65" xfId="0" applyFont="1" applyBorder="1" applyAlignment="1">
      <alignment wrapText="1"/>
    </xf>
    <xf numFmtId="0" fontId="7" fillId="4" borderId="65" xfId="0" applyFont="1" applyFill="1" applyBorder="1" applyAlignment="1">
      <alignment horizontal="center"/>
    </xf>
    <xf numFmtId="0" fontId="7" fillId="3" borderId="65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29" fillId="14" borderId="7" xfId="0" applyNumberFormat="1" applyFont="1" applyFill="1" applyBorder="1" applyAlignment="1">
      <alignment horizontal="right"/>
    </xf>
    <xf numFmtId="0" fontId="7" fillId="38" borderId="65" xfId="0" applyFont="1" applyFill="1" applyBorder="1" applyAlignment="1">
      <alignment horizontal="center"/>
    </xf>
    <xf numFmtId="14" fontId="0" fillId="0" borderId="0" xfId="0" applyNumberFormat="1"/>
    <xf numFmtId="0" fontId="8" fillId="0" borderId="0" xfId="0" applyFont="1"/>
    <xf numFmtId="0" fontId="10" fillId="10" borderId="65" xfId="0" applyFont="1" applyFill="1" applyBorder="1"/>
    <xf numFmtId="0" fontId="11" fillId="10" borderId="65" xfId="0" applyFont="1" applyFill="1" applyBorder="1"/>
    <xf numFmtId="0" fontId="10" fillId="10" borderId="65" xfId="0" applyFont="1" applyFill="1" applyBorder="1" applyAlignment="1">
      <alignment horizontal="left"/>
    </xf>
    <xf numFmtId="0" fontId="68" fillId="33" borderId="65" xfId="5" applyBorder="1" applyAlignment="1">
      <alignment horizontal="center"/>
    </xf>
    <xf numFmtId="0" fontId="7" fillId="39" borderId="65" xfId="0" applyFont="1" applyFill="1" applyBorder="1" applyAlignment="1">
      <alignment horizontal="center"/>
    </xf>
    <xf numFmtId="0" fontId="18" fillId="10" borderId="65" xfId="0" applyFont="1" applyFill="1" applyBorder="1"/>
    <xf numFmtId="0" fontId="7" fillId="4" borderId="65" xfId="0" applyFont="1" applyFill="1" applyBorder="1"/>
    <xf numFmtId="0" fontId="80" fillId="41" borderId="69" xfId="0" applyFont="1" applyFill="1" applyBorder="1" applyAlignment="1">
      <alignment wrapText="1"/>
    </xf>
    <xf numFmtId="0" fontId="80" fillId="41" borderId="69" xfId="0" applyFont="1" applyFill="1" applyBorder="1" applyAlignment="1">
      <alignment horizontal="left"/>
    </xf>
    <xf numFmtId="0" fontId="80" fillId="41" borderId="69" xfId="0" applyFont="1" applyFill="1" applyBorder="1"/>
    <xf numFmtId="0" fontId="80" fillId="41" borderId="69" xfId="0" applyFont="1" applyFill="1" applyBorder="1" applyAlignment="1">
      <alignment horizontal="center" wrapText="1"/>
    </xf>
    <xf numFmtId="2" fontId="80" fillId="41" borderId="69" xfId="0" applyNumberFormat="1" applyFont="1" applyFill="1" applyBorder="1"/>
    <xf numFmtId="173" fontId="80" fillId="41" borderId="69" xfId="0" applyNumberFormat="1" applyFont="1" applyFill="1" applyBorder="1"/>
    <xf numFmtId="0" fontId="80" fillId="41" borderId="70" xfId="0" applyFont="1" applyFill="1" applyBorder="1"/>
    <xf numFmtId="0" fontId="0" fillId="42" borderId="71" xfId="0" applyFill="1" applyBorder="1" applyAlignment="1">
      <alignment horizontal="center" vertical="center"/>
    </xf>
    <xf numFmtId="14" fontId="81" fillId="42" borderId="72" xfId="0" applyNumberFormat="1" applyFont="1" applyFill="1" applyBorder="1" applyAlignment="1">
      <alignment horizontal="left"/>
    </xf>
    <xf numFmtId="0" fontId="81" fillId="42" borderId="72" xfId="0" applyFont="1" applyFill="1" applyBorder="1"/>
    <xf numFmtId="0" fontId="0" fillId="42" borderId="72" xfId="0" applyFill="1" applyBorder="1"/>
    <xf numFmtId="0" fontId="81" fillId="42" borderId="72" xfId="0" applyFont="1" applyFill="1" applyBorder="1" applyAlignment="1">
      <alignment horizontal="left"/>
    </xf>
    <xf numFmtId="0" fontId="0" fillId="42" borderId="72" xfId="0" applyFill="1" applyBorder="1" applyAlignment="1">
      <alignment horizontal="center"/>
    </xf>
    <xf numFmtId="0" fontId="0" fillId="42" borderId="72" xfId="0" applyFill="1" applyBorder="1" applyAlignment="1">
      <alignment wrapText="1"/>
    </xf>
    <xf numFmtId="15" fontId="0" fillId="42" borderId="72" xfId="0" applyNumberFormat="1" applyFill="1" applyBorder="1" applyAlignment="1">
      <alignment horizontal="left"/>
    </xf>
    <xf numFmtId="171" fontId="0" fillId="42" borderId="72" xfId="0" applyNumberFormat="1" applyFill="1" applyBorder="1" applyAlignment="1">
      <alignment horizontal="center"/>
    </xf>
    <xf numFmtId="0" fontId="0" fillId="42" borderId="73" xfId="0" applyFill="1" applyBorder="1"/>
    <xf numFmtId="0" fontId="0" fillId="43" borderId="74" xfId="0" applyFill="1" applyBorder="1" applyAlignment="1">
      <alignment horizontal="center" vertical="center"/>
    </xf>
    <xf numFmtId="14" fontId="81" fillId="43" borderId="75" xfId="0" applyNumberFormat="1" applyFont="1" applyFill="1" applyBorder="1" applyAlignment="1">
      <alignment horizontal="left"/>
    </xf>
    <xf numFmtId="0" fontId="81" fillId="43" borderId="75" xfId="0" applyFont="1" applyFill="1" applyBorder="1" applyAlignment="1">
      <alignment wrapText="1"/>
    </xf>
    <xf numFmtId="0" fontId="81" fillId="43" borderId="75" xfId="0" applyFont="1" applyFill="1" applyBorder="1"/>
    <xf numFmtId="0" fontId="0" fillId="43" borderId="75" xfId="0" applyFill="1" applyBorder="1"/>
    <xf numFmtId="0" fontId="81" fillId="43" borderId="75" xfId="0" applyFont="1" applyFill="1" applyBorder="1" applyAlignment="1">
      <alignment horizontal="left"/>
    </xf>
    <xf numFmtId="0" fontId="0" fillId="43" borderId="75" xfId="0" applyFill="1" applyBorder="1" applyAlignment="1">
      <alignment horizontal="center"/>
    </xf>
    <xf numFmtId="0" fontId="0" fillId="43" borderId="75" xfId="0" applyFill="1" applyBorder="1" applyAlignment="1">
      <alignment wrapText="1"/>
    </xf>
    <xf numFmtId="15" fontId="0" fillId="43" borderId="75" xfId="0" applyNumberFormat="1" applyFill="1" applyBorder="1" applyAlignment="1">
      <alignment horizontal="left"/>
    </xf>
    <xf numFmtId="171" fontId="0" fillId="43" borderId="75" xfId="0" applyNumberFormat="1" applyFill="1" applyBorder="1" applyAlignment="1">
      <alignment horizontal="center"/>
    </xf>
    <xf numFmtId="0" fontId="0" fillId="43" borderId="76" xfId="0" applyFill="1" applyBorder="1"/>
    <xf numFmtId="0" fontId="0" fillId="42" borderId="74" xfId="0" applyFill="1" applyBorder="1" applyAlignment="1">
      <alignment horizontal="center" vertical="center"/>
    </xf>
    <xf numFmtId="14" fontId="81" fillId="42" borderId="75" xfId="0" applyNumberFormat="1" applyFont="1" applyFill="1" applyBorder="1" applyAlignment="1">
      <alignment horizontal="left"/>
    </xf>
    <xf numFmtId="0" fontId="81" fillId="42" borderId="75" xfId="0" applyFont="1" applyFill="1" applyBorder="1" applyAlignment="1">
      <alignment wrapText="1"/>
    </xf>
    <xf numFmtId="0" fontId="81" fillId="42" borderId="75" xfId="0" applyFont="1" applyFill="1" applyBorder="1"/>
    <xf numFmtId="0" fontId="0" fillId="42" borderId="75" xfId="0" applyFill="1" applyBorder="1"/>
    <xf numFmtId="0" fontId="81" fillId="42" borderId="75" xfId="0" applyFont="1" applyFill="1" applyBorder="1" applyAlignment="1">
      <alignment horizontal="left"/>
    </xf>
    <xf numFmtId="0" fontId="0" fillId="42" borderId="75" xfId="0" applyFill="1" applyBorder="1" applyAlignment="1">
      <alignment horizontal="center"/>
    </xf>
    <xf numFmtId="0" fontId="0" fillId="42" borderId="75" xfId="0" quotePrefix="1" applyFill="1" applyBorder="1" applyAlignment="1">
      <alignment horizontal="left" wrapText="1"/>
    </xf>
    <xf numFmtId="15" fontId="0" fillId="42" borderId="75" xfId="0" applyNumberFormat="1" applyFill="1" applyBorder="1" applyAlignment="1">
      <alignment horizontal="left"/>
    </xf>
    <xf numFmtId="171" fontId="0" fillId="42" borderId="75" xfId="0" applyNumberFormat="1" applyFill="1" applyBorder="1" applyAlignment="1">
      <alignment horizontal="center"/>
    </xf>
    <xf numFmtId="0" fontId="0" fillId="42" borderId="76" xfId="0" applyFill="1" applyBorder="1"/>
    <xf numFmtId="0" fontId="83" fillId="43" borderId="75" xfId="10" applyFont="1" applyFill="1" applyBorder="1" applyAlignment="1">
      <alignment vertical="center"/>
    </xf>
    <xf numFmtId="0" fontId="83" fillId="43" borderId="75" xfId="10" applyFont="1" applyFill="1" applyBorder="1" applyAlignment="1">
      <alignment horizontal="left"/>
    </xf>
    <xf numFmtId="171" fontId="0" fillId="43" borderId="75" xfId="0" applyNumberFormat="1" applyFill="1" applyBorder="1"/>
    <xf numFmtId="173" fontId="0" fillId="42" borderId="75" xfId="0" applyNumberFormat="1" applyFill="1" applyBorder="1"/>
    <xf numFmtId="0" fontId="0" fillId="42" borderId="75" xfId="0" applyFill="1" applyBorder="1" applyAlignment="1">
      <alignment wrapText="1"/>
    </xf>
    <xf numFmtId="0" fontId="0" fillId="43" borderId="75" xfId="0" applyFill="1" applyBorder="1" applyAlignment="1">
      <alignment horizontal="left"/>
    </xf>
    <xf numFmtId="0" fontId="0" fillId="42" borderId="75" xfId="0" applyFill="1" applyBorder="1" applyAlignment="1">
      <alignment horizontal="left"/>
    </xf>
    <xf numFmtId="171" fontId="0" fillId="42" borderId="75" xfId="0" applyNumberFormat="1" applyFill="1" applyBorder="1"/>
    <xf numFmtId="0" fontId="0" fillId="43" borderId="75" xfId="0" applyFill="1" applyBorder="1" applyAlignment="1">
      <alignment horizontal="center" wrapText="1"/>
    </xf>
    <xf numFmtId="173" fontId="0" fillId="43" borderId="75" xfId="0" applyNumberFormat="1" applyFill="1" applyBorder="1"/>
    <xf numFmtId="166" fontId="0" fillId="43" borderId="75" xfId="11" applyFont="1" applyFill="1" applyBorder="1"/>
    <xf numFmtId="0" fontId="72" fillId="43" borderId="75" xfId="9" applyFill="1" applyBorder="1"/>
    <xf numFmtId="14" fontId="0" fillId="43" borderId="75" xfId="0" applyNumberFormat="1" applyFill="1" applyBorder="1" applyAlignment="1">
      <alignment horizontal="left"/>
    </xf>
    <xf numFmtId="14" fontId="0" fillId="42" borderId="75" xfId="0" applyNumberFormat="1" applyFill="1" applyBorder="1" applyAlignment="1">
      <alignment horizontal="left"/>
    </xf>
    <xf numFmtId="173" fontId="0" fillId="42" borderId="75" xfId="0" applyNumberFormat="1" applyFill="1" applyBorder="1" applyAlignment="1">
      <alignment horizontal="right"/>
    </xf>
    <xf numFmtId="173" fontId="0" fillId="43" borderId="75" xfId="0" applyNumberFormat="1" applyFill="1" applyBorder="1" applyAlignment="1">
      <alignment horizontal="right"/>
    </xf>
    <xf numFmtId="0" fontId="84" fillId="42" borderId="75" xfId="0" applyFont="1" applyFill="1" applyBorder="1"/>
    <xf numFmtId="0" fontId="85" fillId="43" borderId="75" xfId="0" applyFont="1" applyFill="1" applyBorder="1"/>
    <xf numFmtId="0" fontId="78" fillId="42" borderId="75" xfId="0" applyFont="1" applyFill="1" applyBorder="1"/>
    <xf numFmtId="0" fontId="78" fillId="43" borderId="75" xfId="0" applyFont="1" applyFill="1" applyBorder="1"/>
    <xf numFmtId="0" fontId="78" fillId="42" borderId="75" xfId="0" applyFont="1" applyFill="1" applyBorder="1" applyAlignment="1">
      <alignment horizontal="center"/>
    </xf>
    <xf numFmtId="2" fontId="0" fillId="42" borderId="75" xfId="0" applyNumberFormat="1" applyFill="1" applyBorder="1" applyAlignment="1">
      <alignment horizontal="center"/>
    </xf>
    <xf numFmtId="15" fontId="0" fillId="42" borderId="75" xfId="0" applyNumberFormat="1" applyFill="1" applyBorder="1"/>
    <xf numFmtId="0" fontId="86" fillId="43" borderId="75" xfId="0" applyFont="1" applyFill="1" applyBorder="1" applyAlignment="1">
      <alignment horizontal="center"/>
    </xf>
    <xf numFmtId="0" fontId="72" fillId="43" borderId="75" xfId="9" applyFill="1" applyBorder="1" applyAlignment="1">
      <alignment wrapText="1"/>
    </xf>
    <xf numFmtId="0" fontId="86" fillId="43" borderId="75" xfId="0" applyFont="1" applyFill="1" applyBorder="1"/>
    <xf numFmtId="0" fontId="86" fillId="42" borderId="75" xfId="0" applyFont="1" applyFill="1" applyBorder="1" applyAlignment="1">
      <alignment horizontal="center"/>
    </xf>
    <xf numFmtId="0" fontId="72" fillId="42" borderId="75" xfId="9" applyFill="1" applyBorder="1" applyAlignment="1">
      <alignment wrapText="1"/>
    </xf>
    <xf numFmtId="0" fontId="0" fillId="42" borderId="75" xfId="0" applyFill="1" applyBorder="1" applyAlignment="1">
      <alignment horizontal="left" wrapText="1"/>
    </xf>
    <xf numFmtId="0" fontId="0" fillId="43" borderId="75" xfId="0" applyFill="1" applyBorder="1" applyAlignment="1">
      <alignment horizontal="left" wrapText="1"/>
    </xf>
    <xf numFmtId="0" fontId="87" fillId="43" borderId="75" xfId="0" applyFont="1" applyFill="1" applyBorder="1" applyAlignment="1">
      <alignment horizontal="center"/>
    </xf>
    <xf numFmtId="0" fontId="88" fillId="43" borderId="75" xfId="0" applyFont="1" applyFill="1" applyBorder="1"/>
    <xf numFmtId="0" fontId="89" fillId="42" borderId="75" xfId="0" applyFont="1" applyFill="1" applyBorder="1"/>
    <xf numFmtId="0" fontId="79" fillId="43" borderId="75" xfId="0" applyFont="1" applyFill="1" applyBorder="1" applyAlignment="1">
      <alignment horizontal="left" wrapText="1"/>
    </xf>
    <xf numFmtId="0" fontId="90" fillId="43" borderId="75" xfId="0" applyFont="1" applyFill="1" applyBorder="1"/>
    <xf numFmtId="0" fontId="91" fillId="43" borderId="75" xfId="0" applyFont="1" applyFill="1" applyBorder="1"/>
    <xf numFmtId="0" fontId="0" fillId="42" borderId="75" xfId="0" applyFill="1" applyBorder="1" applyAlignment="1">
      <alignment horizontal="center" wrapText="1"/>
    </xf>
    <xf numFmtId="0" fontId="92" fillId="43" borderId="75" xfId="0" applyFont="1" applyFill="1" applyBorder="1"/>
    <xf numFmtId="15" fontId="0" fillId="43" borderId="75" xfId="0" applyNumberFormat="1" applyFill="1" applyBorder="1"/>
    <xf numFmtId="0" fontId="93" fillId="43" borderId="75" xfId="0" applyFont="1" applyFill="1" applyBorder="1"/>
    <xf numFmtId="0" fontId="69" fillId="43" borderId="75" xfId="0" applyFont="1" applyFill="1" applyBorder="1"/>
    <xf numFmtId="168" fontId="0" fillId="43" borderId="75" xfId="0" applyNumberFormat="1" applyFill="1" applyBorder="1" applyAlignment="1">
      <alignment horizontal="right"/>
    </xf>
    <xf numFmtId="2" fontId="0" fillId="43" borderId="75" xfId="0" applyNumberFormat="1" applyFill="1" applyBorder="1" applyAlignment="1">
      <alignment horizontal="center"/>
    </xf>
    <xf numFmtId="0" fontId="72" fillId="42" borderId="75" xfId="9" quotePrefix="1" applyFill="1" applyBorder="1" applyAlignment="1">
      <alignment horizontal="left"/>
    </xf>
    <xf numFmtId="0" fontId="81" fillId="42" borderId="75" xfId="0" applyFont="1" applyFill="1" applyBorder="1" applyAlignment="1">
      <alignment horizontal="center"/>
    </xf>
    <xf numFmtId="0" fontId="81" fillId="43" borderId="75" xfId="0" applyFont="1" applyFill="1" applyBorder="1" applyAlignment="1">
      <alignment horizontal="center"/>
    </xf>
    <xf numFmtId="0" fontId="72" fillId="42" borderId="75" xfId="9" applyFill="1" applyBorder="1" applyAlignment="1"/>
    <xf numFmtId="173" fontId="0" fillId="42" borderId="75" xfId="0" applyNumberFormat="1" applyFill="1" applyBorder="1" applyAlignment="1">
      <alignment horizontal="right" wrapText="1"/>
    </xf>
    <xf numFmtId="171" fontId="0" fillId="43" borderId="75" xfId="0" applyNumberFormat="1" applyFill="1" applyBorder="1" applyAlignment="1">
      <alignment wrapText="1"/>
    </xf>
    <xf numFmtId="171" fontId="0" fillId="42" borderId="75" xfId="0" applyNumberFormat="1" applyFill="1" applyBorder="1" applyAlignment="1">
      <alignment wrapText="1"/>
    </xf>
    <xf numFmtId="14" fontId="0" fillId="42" borderId="75" xfId="0" applyNumberFormat="1" applyFill="1" applyBorder="1" applyAlignment="1">
      <alignment horizontal="left" wrapText="1"/>
    </xf>
    <xf numFmtId="0" fontId="0" fillId="42" borderId="75" xfId="0" quotePrefix="1" applyFill="1" applyBorder="1" applyAlignment="1">
      <alignment horizontal="left"/>
    </xf>
    <xf numFmtId="0" fontId="0" fillId="43" borderId="75" xfId="0" quotePrefix="1" applyFill="1" applyBorder="1" applyAlignment="1">
      <alignment horizontal="left"/>
    </xf>
    <xf numFmtId="0" fontId="0" fillId="43" borderId="76" xfId="0" applyFill="1" applyBorder="1" applyAlignment="1">
      <alignment horizontal="center"/>
    </xf>
    <xf numFmtId="14" fontId="0" fillId="42" borderId="75" xfId="0" applyNumberFormat="1" applyFill="1" applyBorder="1"/>
    <xf numFmtId="0" fontId="0" fillId="42" borderId="76" xfId="0" applyFill="1" applyBorder="1" applyAlignment="1">
      <alignment horizontal="center"/>
    </xf>
    <xf numFmtId="14" fontId="0" fillId="43" borderId="75" xfId="0" applyNumberFormat="1" applyFill="1" applyBorder="1"/>
    <xf numFmtId="0" fontId="72" fillId="42" borderId="75" xfId="9" quotePrefix="1" applyFill="1" applyBorder="1"/>
    <xf numFmtId="0" fontId="72" fillId="43" borderId="75" xfId="9" quotePrefix="1" applyFill="1" applyBorder="1"/>
    <xf numFmtId="173" fontId="0" fillId="43" borderId="75" xfId="0" applyNumberFormat="1" applyFill="1" applyBorder="1" applyAlignment="1">
      <alignment wrapText="1"/>
    </xf>
    <xf numFmtId="0" fontId="72" fillId="43" borderId="75" xfId="9" quotePrefix="1" applyFill="1" applyBorder="1" applyAlignment="1"/>
    <xf numFmtId="0" fontId="72" fillId="42" borderId="75" xfId="9" quotePrefix="1" applyFill="1" applyBorder="1" applyAlignment="1"/>
    <xf numFmtId="0" fontId="0" fillId="42" borderId="75" xfId="9" quotePrefix="1" applyFont="1" applyFill="1" applyBorder="1" applyAlignment="1"/>
    <xf numFmtId="0" fontId="0" fillId="43" borderId="75" xfId="9" quotePrefix="1" applyFont="1" applyFill="1" applyBorder="1" applyAlignment="1"/>
    <xf numFmtId="0" fontId="72" fillId="42" borderId="75" xfId="9" quotePrefix="1" applyFill="1" applyBorder="1" applyAlignment="1">
      <alignment wrapText="1"/>
    </xf>
    <xf numFmtId="168" fontId="0" fillId="42" borderId="75" xfId="0" applyNumberFormat="1" applyFill="1" applyBorder="1" applyAlignment="1">
      <alignment horizontal="center"/>
    </xf>
    <xf numFmtId="0" fontId="72" fillId="43" borderId="75" xfId="9" applyFill="1" applyBorder="1" applyAlignment="1">
      <alignment horizontal="left"/>
    </xf>
    <xf numFmtId="0" fontId="0" fillId="43" borderId="75" xfId="0" quotePrefix="1" applyFill="1" applyBorder="1" applyAlignment="1">
      <alignment horizontal="left" wrapText="1"/>
    </xf>
    <xf numFmtId="0" fontId="0" fillId="42" borderId="75" xfId="0" quotePrefix="1" applyFill="1" applyBorder="1"/>
    <xf numFmtId="0" fontId="0" fillId="43" borderId="75" xfId="0" quotePrefix="1" applyFill="1" applyBorder="1"/>
    <xf numFmtId="16" fontId="0" fillId="43" borderId="75" xfId="0" applyNumberFormat="1" applyFill="1" applyBorder="1"/>
    <xf numFmtId="14" fontId="0" fillId="43" borderId="75" xfId="0" applyNumberFormat="1" applyFill="1" applyBorder="1" applyAlignment="1">
      <alignment horizontal="left" wrapText="1"/>
    </xf>
    <xf numFmtId="15" fontId="0" fillId="43" borderId="75" xfId="0" applyNumberFormat="1" applyFill="1" applyBorder="1" applyAlignment="1">
      <alignment horizontal="left" wrapText="1"/>
    </xf>
    <xf numFmtId="0" fontId="0" fillId="43" borderId="76" xfId="0" applyFill="1" applyBorder="1" applyAlignment="1">
      <alignment wrapText="1"/>
    </xf>
    <xf numFmtId="171" fontId="0" fillId="43" borderId="75" xfId="0" applyNumberFormat="1" applyFill="1" applyBorder="1" applyAlignment="1">
      <alignment horizontal="center" wrapText="1"/>
    </xf>
    <xf numFmtId="14" fontId="0" fillId="42" borderId="75" xfId="0" applyNumberFormat="1" applyFill="1" applyBorder="1" applyAlignment="1">
      <alignment horizontal="center"/>
    </xf>
    <xf numFmtId="14" fontId="0" fillId="42" borderId="76" xfId="0" applyNumberFormat="1" applyFill="1" applyBorder="1" applyAlignment="1">
      <alignment horizontal="left"/>
    </xf>
    <xf numFmtId="171" fontId="0" fillId="43" borderId="75" xfId="0" applyNumberFormat="1" applyFill="1" applyBorder="1" applyAlignment="1">
      <alignment horizontal="left"/>
    </xf>
    <xf numFmtId="14" fontId="0" fillId="43" borderId="76" xfId="0" applyNumberFormat="1" applyFill="1" applyBorder="1" applyAlignment="1">
      <alignment horizontal="left"/>
    </xf>
    <xf numFmtId="171" fontId="0" fillId="42" borderId="75" xfId="0" applyNumberFormat="1" applyFill="1" applyBorder="1" applyAlignment="1">
      <alignment horizontal="left"/>
    </xf>
    <xf numFmtId="0" fontId="72" fillId="43" borderId="75" xfId="9" quotePrefix="1" applyFill="1" applyBorder="1" applyAlignment="1">
      <alignment horizontal="left" wrapText="1"/>
    </xf>
    <xf numFmtId="0" fontId="72" fillId="42" borderId="75" xfId="9" applyFill="1" applyBorder="1" applyAlignment="1">
      <alignment horizontal="left"/>
    </xf>
    <xf numFmtId="0" fontId="0" fillId="43" borderId="75" xfId="0" applyFill="1" applyBorder="1" applyAlignment="1">
      <alignment horizontal="center" vertical="center"/>
    </xf>
    <xf numFmtId="0" fontId="0" fillId="43" borderId="75" xfId="0" applyFill="1" applyBorder="1" applyAlignment="1">
      <alignment horizontal="center" vertical="center" wrapText="1"/>
    </xf>
    <xf numFmtId="0" fontId="0" fillId="43" borderId="75" xfId="0" applyFill="1" applyBorder="1" applyAlignment="1">
      <alignment horizontal="left" vertical="center"/>
    </xf>
    <xf numFmtId="0" fontId="7" fillId="42" borderId="75" xfId="0" quotePrefix="1" applyFont="1" applyFill="1" applyBorder="1"/>
    <xf numFmtId="0" fontId="72" fillId="43" borderId="75" xfId="9" quotePrefix="1" applyFill="1" applyBorder="1" applyAlignment="1">
      <alignment horizontal="left"/>
    </xf>
    <xf numFmtId="0" fontId="0" fillId="40" borderId="75" xfId="0" applyFill="1" applyBorder="1" applyAlignment="1">
      <alignment horizontal="left"/>
    </xf>
    <xf numFmtId="0" fontId="7" fillId="43" borderId="75" xfId="0" quotePrefix="1" applyFont="1" applyFill="1" applyBorder="1"/>
    <xf numFmtId="0" fontId="0" fillId="43" borderId="74" xfId="0" applyFill="1" applyBorder="1" applyAlignment="1">
      <alignment horizontal="center"/>
    </xf>
    <xf numFmtId="0" fontId="0" fillId="42" borderId="74" xfId="0" applyFill="1" applyBorder="1" applyAlignment="1">
      <alignment horizontal="center"/>
    </xf>
    <xf numFmtId="14" fontId="0" fillId="42" borderId="76" xfId="0" applyNumberFormat="1" applyFill="1" applyBorder="1"/>
    <xf numFmtId="14" fontId="0" fillId="43" borderId="75" xfId="0" applyNumberFormat="1" applyFill="1" applyBorder="1" applyAlignment="1">
      <alignment horizontal="center"/>
    </xf>
    <xf numFmtId="168" fontId="0" fillId="43" borderId="75" xfId="0" applyNumberFormat="1" applyFill="1" applyBorder="1" applyAlignment="1">
      <alignment horizontal="center"/>
    </xf>
    <xf numFmtId="14" fontId="0" fillId="43" borderId="75" xfId="0" applyNumberFormat="1" applyFill="1" applyBorder="1" applyAlignment="1">
      <alignment wrapText="1"/>
    </xf>
    <xf numFmtId="0" fontId="97" fillId="43" borderId="75" xfId="0" applyFont="1" applyFill="1" applyBorder="1"/>
    <xf numFmtId="0" fontId="72" fillId="40" borderId="75" xfId="9" quotePrefix="1" applyFill="1" applyBorder="1" applyAlignment="1">
      <alignment horizontal="left"/>
    </xf>
    <xf numFmtId="0" fontId="7" fillId="42" borderId="75" xfId="0" applyFont="1" applyFill="1" applyBorder="1" applyAlignment="1">
      <alignment horizontal="left"/>
    </xf>
    <xf numFmtId="0" fontId="0" fillId="42" borderId="75" xfId="0" quotePrefix="1" applyFill="1" applyBorder="1" applyAlignment="1">
      <alignment wrapText="1"/>
    </xf>
    <xf numFmtId="0" fontId="72" fillId="42" borderId="75" xfId="9" applyFill="1" applyBorder="1" applyAlignment="1">
      <alignment horizontal="center"/>
    </xf>
    <xf numFmtId="0" fontId="72" fillId="42" borderId="75" xfId="9" applyFill="1" applyBorder="1"/>
    <xf numFmtId="14" fontId="0" fillId="42" borderId="75" xfId="0" applyNumberFormat="1" applyFill="1" applyBorder="1" applyAlignment="1">
      <alignment wrapText="1"/>
    </xf>
    <xf numFmtId="173" fontId="0" fillId="42" borderId="75" xfId="0" applyNumberFormat="1" applyFill="1" applyBorder="1" applyAlignment="1">
      <alignment wrapText="1"/>
    </xf>
    <xf numFmtId="14" fontId="0" fillId="43" borderId="76" xfId="0" applyNumberFormat="1" applyFill="1" applyBorder="1"/>
    <xf numFmtId="0" fontId="98" fillId="42" borderId="75" xfId="0" applyFont="1" applyFill="1" applyBorder="1" applyAlignment="1">
      <alignment horizontal="left"/>
    </xf>
    <xf numFmtId="0" fontId="99" fillId="43" borderId="75" xfId="0" quotePrefix="1" applyFont="1" applyFill="1" applyBorder="1" applyAlignment="1">
      <alignment wrapText="1"/>
    </xf>
    <xf numFmtId="0" fontId="72" fillId="42" borderId="75" xfId="9" quotePrefix="1" applyFill="1" applyBorder="1" applyAlignment="1">
      <alignment horizontal="left" wrapText="1"/>
    </xf>
    <xf numFmtId="0" fontId="100" fillId="42" borderId="75" xfId="0" quotePrefix="1" applyFont="1" applyFill="1" applyBorder="1"/>
    <xf numFmtId="0" fontId="100" fillId="43" borderId="75" xfId="0" quotePrefix="1" applyFont="1" applyFill="1" applyBorder="1"/>
    <xf numFmtId="0" fontId="7" fillId="42" borderId="75" xfId="0" applyFont="1" applyFill="1" applyBorder="1"/>
    <xf numFmtId="0" fontId="7" fillId="43" borderId="75" xfId="0" applyFont="1" applyFill="1" applyBorder="1"/>
    <xf numFmtId="0" fontId="101" fillId="42" borderId="75" xfId="0" applyFont="1" applyFill="1" applyBorder="1" applyAlignment="1">
      <alignment wrapText="1"/>
    </xf>
    <xf numFmtId="0" fontId="101" fillId="43" borderId="75" xfId="0" applyFont="1" applyFill="1" applyBorder="1" applyAlignment="1">
      <alignment wrapText="1"/>
    </xf>
    <xf numFmtId="0" fontId="0" fillId="43" borderId="75" xfId="0" quotePrefix="1" applyFill="1" applyBorder="1" applyAlignment="1">
      <alignment wrapText="1"/>
    </xf>
    <xf numFmtId="0" fontId="72" fillId="43" borderId="75" xfId="9" applyFill="1" applyBorder="1" applyAlignment="1"/>
    <xf numFmtId="0" fontId="100" fillId="42" borderId="75" xfId="0" quotePrefix="1" applyFont="1" applyFill="1" applyBorder="1" applyAlignment="1">
      <alignment wrapText="1"/>
    </xf>
    <xf numFmtId="0" fontId="72" fillId="43" borderId="75" xfId="9" applyFill="1" applyBorder="1" applyAlignment="1">
      <alignment horizontal="center"/>
    </xf>
    <xf numFmtId="0" fontId="102" fillId="42" borderId="75" xfId="0" applyFont="1" applyFill="1" applyBorder="1" applyAlignment="1">
      <alignment horizontal="left"/>
    </xf>
    <xf numFmtId="0" fontId="92" fillId="42" borderId="75" xfId="0" applyFont="1" applyFill="1" applyBorder="1" applyAlignment="1">
      <alignment horizontal="left"/>
    </xf>
    <xf numFmtId="0" fontId="100" fillId="42" borderId="75" xfId="0" applyFont="1" applyFill="1" applyBorder="1"/>
    <xf numFmtId="0" fontId="0" fillId="40" borderId="75" xfId="0" applyFill="1" applyBorder="1"/>
    <xf numFmtId="0" fontId="72" fillId="43" borderId="75" xfId="9" quotePrefix="1" applyFill="1" applyBorder="1" applyAlignment="1">
      <alignment wrapText="1"/>
    </xf>
    <xf numFmtId="0" fontId="0" fillId="43" borderId="76" xfId="0" applyFill="1" applyBorder="1" applyAlignment="1">
      <alignment horizontal="center" wrapText="1"/>
    </xf>
    <xf numFmtId="0" fontId="103" fillId="42" borderId="75" xfId="0" applyFont="1" applyFill="1" applyBorder="1"/>
    <xf numFmtId="173" fontId="0" fillId="43" borderId="75" xfId="0" applyNumberFormat="1" applyFill="1" applyBorder="1" applyAlignment="1">
      <alignment horizontal="right" wrapText="1"/>
    </xf>
    <xf numFmtId="0" fontId="101" fillId="44" borderId="75" xfId="0" applyFont="1" applyFill="1" applyBorder="1" applyAlignment="1">
      <alignment wrapText="1"/>
    </xf>
    <xf numFmtId="0" fontId="92" fillId="43" borderId="75" xfId="0" applyFont="1" applyFill="1" applyBorder="1" applyAlignment="1">
      <alignment horizontal="left"/>
    </xf>
    <xf numFmtId="0" fontId="104" fillId="42" borderId="75" xfId="0" applyFont="1" applyFill="1" applyBorder="1"/>
    <xf numFmtId="0" fontId="104" fillId="43" borderId="75" xfId="0" applyFont="1" applyFill="1" applyBorder="1" applyAlignment="1">
      <alignment wrapText="1"/>
    </xf>
    <xf numFmtId="0" fontId="92" fillId="43" borderId="75" xfId="0" quotePrefix="1" applyFont="1" applyFill="1" applyBorder="1"/>
    <xf numFmtId="0" fontId="79" fillId="43" borderId="75" xfId="0" applyFont="1" applyFill="1" applyBorder="1"/>
    <xf numFmtId="0" fontId="79" fillId="42" borderId="75" xfId="0" applyFont="1" applyFill="1" applyBorder="1"/>
    <xf numFmtId="0" fontId="92" fillId="43" borderId="75" xfId="0" applyFont="1" applyFill="1" applyBorder="1" applyAlignment="1">
      <alignment wrapText="1"/>
    </xf>
    <xf numFmtId="168" fontId="0" fillId="42" borderId="75" xfId="0" applyNumberFormat="1" applyFill="1" applyBorder="1"/>
    <xf numFmtId="0" fontId="92" fillId="42" borderId="75" xfId="0" applyFont="1" applyFill="1" applyBorder="1" applyAlignment="1">
      <alignment wrapText="1"/>
    </xf>
    <xf numFmtId="168" fontId="0" fillId="43" borderId="75" xfId="0" applyNumberFormat="1" applyFill="1" applyBorder="1"/>
    <xf numFmtId="0" fontId="105" fillId="43" borderId="75" xfId="0" applyFont="1" applyFill="1" applyBorder="1"/>
    <xf numFmtId="0" fontId="106" fillId="42" borderId="75" xfId="0" applyFont="1" applyFill="1" applyBorder="1" applyAlignment="1">
      <alignment wrapText="1"/>
    </xf>
    <xf numFmtId="0" fontId="101" fillId="42" borderId="75" xfId="0" applyFont="1" applyFill="1" applyBorder="1"/>
    <xf numFmtId="0" fontId="107" fillId="43" borderId="75" xfId="0" applyFont="1" applyFill="1" applyBorder="1"/>
    <xf numFmtId="0" fontId="108" fillId="42" borderId="75" xfId="0" applyFont="1" applyFill="1" applyBorder="1"/>
    <xf numFmtId="0" fontId="108" fillId="43" borderId="75" xfId="0" applyFont="1" applyFill="1" applyBorder="1" applyAlignment="1">
      <alignment horizontal="center"/>
    </xf>
    <xf numFmtId="0" fontId="108" fillId="42" borderId="75" xfId="0" applyFont="1" applyFill="1" applyBorder="1" applyAlignment="1">
      <alignment horizontal="center"/>
    </xf>
    <xf numFmtId="0" fontId="109" fillId="42" borderId="75" xfId="0" applyFont="1" applyFill="1" applyBorder="1"/>
    <xf numFmtId="0" fontId="7" fillId="42" borderId="75" xfId="0" quotePrefix="1" applyFont="1" applyFill="1" applyBorder="1" applyAlignment="1">
      <alignment wrapText="1"/>
    </xf>
    <xf numFmtId="0" fontId="101" fillId="43" borderId="75" xfId="0" applyFont="1" applyFill="1" applyBorder="1"/>
    <xf numFmtId="0" fontId="110" fillId="42" borderId="75" xfId="0" applyFont="1" applyFill="1" applyBorder="1" applyAlignment="1">
      <alignment horizontal="center"/>
    </xf>
    <xf numFmtId="0" fontId="110" fillId="43" borderId="75" xfId="0" applyFont="1" applyFill="1" applyBorder="1" applyAlignment="1">
      <alignment horizontal="center"/>
    </xf>
    <xf numFmtId="0" fontId="111" fillId="42" borderId="75" xfId="0" applyFont="1" applyFill="1" applyBorder="1"/>
    <xf numFmtId="0" fontId="111" fillId="43" borderId="75" xfId="0" applyFont="1" applyFill="1" applyBorder="1" applyAlignment="1">
      <alignment horizontal="center"/>
    </xf>
    <xf numFmtId="0" fontId="111" fillId="42" borderId="75" xfId="0" applyFont="1" applyFill="1" applyBorder="1" applyAlignment="1">
      <alignment horizontal="center"/>
    </xf>
    <xf numFmtId="0" fontId="14" fillId="42" borderId="75" xfId="0" applyFont="1" applyFill="1" applyBorder="1"/>
    <xf numFmtId="0" fontId="14" fillId="43" borderId="75" xfId="0" applyFont="1" applyFill="1" applyBorder="1"/>
    <xf numFmtId="0" fontId="14" fillId="43" borderId="75" xfId="0" applyFont="1" applyFill="1" applyBorder="1" applyAlignment="1">
      <alignment wrapText="1"/>
    </xf>
    <xf numFmtId="0" fontId="81" fillId="0" borderId="0" xfId="0" applyFont="1"/>
    <xf numFmtId="0" fontId="75" fillId="0" borderId="65" xfId="0" applyFont="1" applyBorder="1"/>
    <xf numFmtId="0" fontId="0" fillId="0" borderId="65" xfId="0" applyBorder="1" applyAlignment="1">
      <alignment wrapText="1"/>
    </xf>
    <xf numFmtId="0" fontId="72" fillId="0" borderId="65" xfId="9" quotePrefix="1" applyBorder="1" applyAlignment="1">
      <alignment wrapText="1"/>
    </xf>
    <xf numFmtId="167" fontId="70" fillId="30" borderId="66" xfId="2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167" fontId="94" fillId="37" borderId="21" xfId="0" applyNumberFormat="1" applyFont="1" applyFill="1" applyBorder="1" applyAlignment="1">
      <alignment horizontal="right"/>
    </xf>
    <xf numFmtId="167" fontId="94" fillId="37" borderId="65" xfId="0" applyNumberFormat="1" applyFont="1" applyFill="1" applyBorder="1" applyAlignment="1">
      <alignment horizontal="right"/>
    </xf>
    <xf numFmtId="0" fontId="10" fillId="37" borderId="65" xfId="0" applyFont="1" applyFill="1" applyBorder="1" applyAlignment="1">
      <alignment horizontal="left"/>
    </xf>
    <xf numFmtId="0" fontId="18" fillId="37" borderId="65" xfId="0" applyFont="1" applyFill="1" applyBorder="1"/>
    <xf numFmtId="15" fontId="7" fillId="37" borderId="65" xfId="0" applyNumberFormat="1" applyFont="1" applyFill="1" applyBorder="1" applyAlignment="1">
      <alignment horizontal="left"/>
    </xf>
    <xf numFmtId="15" fontId="7" fillId="37" borderId="65" xfId="0" applyNumberFormat="1" applyFont="1" applyFill="1" applyBorder="1"/>
    <xf numFmtId="167" fontId="94" fillId="10" borderId="65" xfId="0" applyNumberFormat="1" applyFont="1" applyFill="1" applyBorder="1" applyAlignment="1">
      <alignment horizontal="right"/>
    </xf>
    <xf numFmtId="15" fontId="7" fillId="10" borderId="65" xfId="0" applyNumberFormat="1" applyFont="1" applyFill="1" applyBorder="1" applyAlignment="1">
      <alignment horizontal="left"/>
    </xf>
    <xf numFmtId="15" fontId="7" fillId="37" borderId="65" xfId="0" applyNumberFormat="1" applyFont="1" applyFill="1" applyBorder="1" applyAlignment="1">
      <alignment horizontal="center" vertical="center"/>
    </xf>
    <xf numFmtId="0" fontId="23" fillId="0" borderId="65" xfId="0" applyFont="1" applyBorder="1"/>
    <xf numFmtId="0" fontId="14" fillId="0" borderId="65" xfId="0" applyFont="1" applyBorder="1" applyAlignment="1">
      <alignment wrapText="1"/>
    </xf>
    <xf numFmtId="0" fontId="13" fillId="7" borderId="65" xfId="0" applyFont="1" applyFill="1" applyBorder="1" applyAlignment="1">
      <alignment horizontal="center"/>
    </xf>
    <xf numFmtId="0" fontId="69" fillId="29" borderId="65" xfId="6" applyFill="1" applyBorder="1" applyAlignment="1">
      <alignment horizontal="center"/>
    </xf>
    <xf numFmtId="0" fontId="7" fillId="5" borderId="65" xfId="0" applyFont="1" applyFill="1" applyBorder="1" applyAlignment="1">
      <alignment horizontal="center"/>
    </xf>
    <xf numFmtId="0" fontId="7" fillId="10" borderId="65" xfId="0" applyFont="1" applyFill="1" applyBorder="1" applyAlignment="1">
      <alignment wrapText="1"/>
    </xf>
    <xf numFmtId="0" fontId="13" fillId="8" borderId="65" xfId="0" applyFont="1" applyFill="1" applyBorder="1" applyAlignment="1">
      <alignment horizontal="center"/>
    </xf>
    <xf numFmtId="0" fontId="7" fillId="37" borderId="65" xfId="0" applyFont="1" applyFill="1" applyBorder="1" applyAlignment="1">
      <alignment wrapText="1"/>
    </xf>
    <xf numFmtId="0" fontId="8" fillId="4" borderId="65" xfId="0" applyFont="1" applyFill="1" applyBorder="1"/>
    <xf numFmtId="0" fontId="7" fillId="9" borderId="65" xfId="0" applyFont="1" applyFill="1" applyBorder="1" applyAlignment="1">
      <alignment horizontal="center"/>
    </xf>
    <xf numFmtId="167" fontId="94" fillId="4" borderId="65" xfId="0" applyNumberFormat="1" applyFont="1" applyFill="1" applyBorder="1" applyAlignment="1">
      <alignment horizontal="right"/>
    </xf>
    <xf numFmtId="0" fontId="7" fillId="4" borderId="65" xfId="0" applyFont="1" applyFill="1" applyBorder="1" applyAlignment="1">
      <alignment horizontal="left"/>
    </xf>
    <xf numFmtId="0" fontId="7" fillId="4" borderId="65" xfId="0" applyFont="1" applyFill="1" applyBorder="1" applyAlignment="1">
      <alignment horizontal="right"/>
    </xf>
    <xf numFmtId="167" fontId="7" fillId="4" borderId="65" xfId="0" applyNumberFormat="1" applyFont="1" applyFill="1" applyBorder="1" applyAlignment="1">
      <alignment horizontal="left"/>
    </xf>
    <xf numFmtId="170" fontId="7" fillId="37" borderId="65" xfId="0" applyNumberFormat="1" applyFont="1" applyFill="1" applyBorder="1" applyAlignment="1">
      <alignment horizontal="left"/>
    </xf>
    <xf numFmtId="0" fontId="16" fillId="10" borderId="65" xfId="0" applyFont="1" applyFill="1" applyBorder="1" applyAlignment="1">
      <alignment horizontal="right"/>
    </xf>
    <xf numFmtId="0" fontId="15" fillId="10" borderId="65" xfId="0" applyFont="1" applyFill="1" applyBorder="1"/>
    <xf numFmtId="0" fontId="7" fillId="10" borderId="65" xfId="0" applyFont="1" applyFill="1" applyBorder="1" applyAlignment="1">
      <alignment horizontal="center"/>
    </xf>
    <xf numFmtId="0" fontId="17" fillId="10" borderId="65" xfId="0" applyFont="1" applyFill="1" applyBorder="1" applyAlignment="1">
      <alignment horizontal="right"/>
    </xf>
    <xf numFmtId="14" fontId="7" fillId="37" borderId="65" xfId="0" applyNumberFormat="1" applyFont="1" applyFill="1" applyBorder="1" applyAlignment="1">
      <alignment horizontal="left"/>
    </xf>
    <xf numFmtId="14" fontId="7" fillId="10" borderId="65" xfId="0" applyNumberFormat="1" applyFont="1" applyFill="1" applyBorder="1" applyAlignment="1">
      <alignment horizontal="left"/>
    </xf>
    <xf numFmtId="0" fontId="10" fillId="37" borderId="65" xfId="0" applyFont="1" applyFill="1" applyBorder="1" applyAlignment="1">
      <alignment horizontal="right"/>
    </xf>
    <xf numFmtId="0" fontId="7" fillId="37" borderId="65" xfId="0" applyFont="1" applyFill="1" applyBorder="1" applyAlignment="1">
      <alignment vertical="center"/>
    </xf>
    <xf numFmtId="0" fontId="23" fillId="37" borderId="65" xfId="0" applyFont="1" applyFill="1" applyBorder="1" applyAlignment="1">
      <alignment horizontal="left"/>
    </xf>
    <xf numFmtId="0" fontId="23" fillId="37" borderId="65" xfId="0" applyFont="1" applyFill="1" applyBorder="1" applyAlignment="1">
      <alignment horizontal="left" wrapText="1"/>
    </xf>
    <xf numFmtId="0" fontId="23" fillId="37" borderId="65" xfId="0" applyFont="1" applyFill="1" applyBorder="1"/>
    <xf numFmtId="0" fontId="23" fillId="37" borderId="65" xfId="0" applyFont="1" applyFill="1" applyBorder="1" applyAlignment="1">
      <alignment horizontal="right"/>
    </xf>
    <xf numFmtId="0" fontId="24" fillId="37" borderId="65" xfId="0" applyFont="1" applyFill="1" applyBorder="1"/>
    <xf numFmtId="167" fontId="23" fillId="37" borderId="65" xfId="0" applyNumberFormat="1" applyFont="1" applyFill="1" applyBorder="1" applyAlignment="1">
      <alignment horizontal="left"/>
    </xf>
    <xf numFmtId="15" fontId="23" fillId="37" borderId="65" xfId="0" applyNumberFormat="1" applyFont="1" applyFill="1" applyBorder="1"/>
    <xf numFmtId="170" fontId="7" fillId="10" borderId="65" xfId="0" applyNumberFormat="1" applyFont="1" applyFill="1" applyBorder="1" applyAlignment="1">
      <alignment horizontal="left"/>
    </xf>
    <xf numFmtId="0" fontId="7" fillId="10" borderId="65" xfId="0" applyFont="1" applyFill="1" applyBorder="1" applyAlignment="1">
      <alignment vertical="center"/>
    </xf>
    <xf numFmtId="169" fontId="7" fillId="10" borderId="65" xfId="0" applyNumberFormat="1" applyFont="1" applyFill="1" applyBorder="1" applyAlignment="1">
      <alignment horizontal="left"/>
    </xf>
    <xf numFmtId="0" fontId="64" fillId="29" borderId="65" xfId="1" applyBorder="1" applyAlignment="1">
      <alignment horizontal="center"/>
    </xf>
    <xf numFmtId="0" fontId="67" fillId="32" borderId="65" xfId="4" applyBorder="1" applyAlignment="1">
      <alignment horizontal="center"/>
    </xf>
    <xf numFmtId="0" fontId="7" fillId="11" borderId="65" xfId="0" applyFont="1" applyFill="1" applyBorder="1" applyAlignment="1">
      <alignment horizontal="center"/>
    </xf>
    <xf numFmtId="0" fontId="19" fillId="10" borderId="65" xfId="0" applyFont="1" applyFill="1" applyBorder="1"/>
    <xf numFmtId="0" fontId="20" fillId="10" borderId="65" xfId="0" applyFont="1" applyFill="1" applyBorder="1"/>
    <xf numFmtId="0" fontId="74" fillId="37" borderId="65" xfId="0" applyFont="1" applyFill="1" applyBorder="1" applyAlignment="1">
      <alignment vertical="center"/>
    </xf>
    <xf numFmtId="0" fontId="21" fillId="10" borderId="65" xfId="0" applyFont="1" applyFill="1" applyBorder="1"/>
    <xf numFmtId="0" fontId="14" fillId="37" borderId="65" xfId="0" applyFont="1" applyFill="1" applyBorder="1" applyAlignment="1">
      <alignment wrapText="1"/>
    </xf>
    <xf numFmtId="0" fontId="79" fillId="0" borderId="65" xfId="0" applyFont="1" applyBorder="1"/>
    <xf numFmtId="0" fontId="14" fillId="10" borderId="65" xfId="0" applyFont="1" applyFill="1" applyBorder="1" applyAlignment="1">
      <alignment wrapText="1"/>
    </xf>
    <xf numFmtId="0" fontId="72" fillId="10" borderId="65" xfId="9" applyFill="1" applyBorder="1"/>
    <xf numFmtId="0" fontId="73" fillId="0" borderId="65" xfId="0" applyFont="1" applyBorder="1"/>
    <xf numFmtId="0" fontId="10" fillId="10" borderId="65" xfId="0" applyFont="1" applyFill="1" applyBorder="1" applyAlignment="1">
      <alignment horizontal="left" wrapText="1"/>
    </xf>
    <xf numFmtId="0" fontId="10" fillId="37" borderId="65" xfId="0" applyFont="1" applyFill="1" applyBorder="1" applyAlignment="1">
      <alignment wrapText="1"/>
    </xf>
    <xf numFmtId="0" fontId="72" fillId="37" borderId="65" xfId="9" quotePrefix="1" applyFill="1" applyBorder="1"/>
    <xf numFmtId="0" fontId="72" fillId="37" borderId="65" xfId="9" applyFill="1" applyBorder="1"/>
    <xf numFmtId="0" fontId="72" fillId="0" borderId="65" xfId="9" applyBorder="1" applyAlignment="1">
      <alignment wrapText="1"/>
    </xf>
    <xf numFmtId="0" fontId="81" fillId="0" borderId="65" xfId="0" applyFont="1" applyBorder="1"/>
    <xf numFmtId="0" fontId="21" fillId="0" borderId="65" xfId="0" applyFont="1" applyBorder="1"/>
    <xf numFmtId="0" fontId="7" fillId="37" borderId="65" xfId="0" applyFont="1" applyFill="1" applyBorder="1" applyAlignment="1">
      <alignment horizontal="center" vertical="center"/>
    </xf>
    <xf numFmtId="0" fontId="20" fillId="0" borderId="65" xfId="0" applyFont="1" applyBorder="1"/>
    <xf numFmtId="167" fontId="94" fillId="37" borderId="68" xfId="0" applyNumberFormat="1" applyFont="1" applyFill="1" applyBorder="1" applyAlignment="1">
      <alignment horizontal="right"/>
    </xf>
    <xf numFmtId="0" fontId="7" fillId="37" borderId="68" xfId="0" applyFont="1" applyFill="1" applyBorder="1" applyAlignment="1">
      <alignment horizontal="left"/>
    </xf>
    <xf numFmtId="0" fontId="7" fillId="37" borderId="68" xfId="0" applyFont="1" applyFill="1" applyBorder="1" applyAlignment="1">
      <alignment horizontal="left" wrapText="1"/>
    </xf>
    <xf numFmtId="0" fontId="7" fillId="37" borderId="68" xfId="0" applyFont="1" applyFill="1" applyBorder="1"/>
    <xf numFmtId="0" fontId="7" fillId="37" borderId="68" xfId="0" applyFont="1" applyFill="1" applyBorder="1" applyAlignment="1">
      <alignment horizontal="right"/>
    </xf>
    <xf numFmtId="167" fontId="7" fillId="37" borderId="68" xfId="0" applyNumberFormat="1" applyFont="1" applyFill="1" applyBorder="1" applyAlignment="1">
      <alignment horizontal="left"/>
    </xf>
    <xf numFmtId="0" fontId="7" fillId="37" borderId="21" xfId="0" applyFont="1" applyFill="1" applyBorder="1" applyAlignment="1">
      <alignment horizontal="center" vertical="center"/>
    </xf>
    <xf numFmtId="0" fontId="7" fillId="10" borderId="68" xfId="0" applyFont="1" applyFill="1" applyBorder="1" applyAlignment="1">
      <alignment horizontal="left"/>
    </xf>
    <xf numFmtId="0" fontId="7" fillId="10" borderId="68" xfId="0" applyFont="1" applyFill="1" applyBorder="1" applyAlignment="1">
      <alignment horizontal="left" wrapText="1"/>
    </xf>
    <xf numFmtId="0" fontId="7" fillId="10" borderId="68" xfId="0" applyFont="1" applyFill="1" applyBorder="1"/>
    <xf numFmtId="0" fontId="7" fillId="10" borderId="68" xfId="0" applyFont="1" applyFill="1" applyBorder="1" applyAlignment="1">
      <alignment horizontal="right"/>
    </xf>
    <xf numFmtId="0" fontId="7" fillId="3" borderId="68" xfId="0" applyFont="1" applyFill="1" applyBorder="1" applyAlignment="1">
      <alignment horizontal="center"/>
    </xf>
    <xf numFmtId="167" fontId="7" fillId="10" borderId="68" xfId="0" applyNumberFormat="1" applyFont="1" applyFill="1" applyBorder="1" applyAlignment="1">
      <alignment horizontal="left"/>
    </xf>
    <xf numFmtId="0" fontId="7" fillId="37" borderId="77" xfId="0" applyFont="1" applyFill="1" applyBorder="1" applyAlignment="1">
      <alignment horizontal="left"/>
    </xf>
    <xf numFmtId="0" fontId="7" fillId="37" borderId="77" xfId="0" applyFont="1" applyFill="1" applyBorder="1"/>
    <xf numFmtId="167" fontId="94" fillId="37" borderId="1" xfId="0" applyNumberFormat="1" applyFont="1" applyFill="1" applyBorder="1" applyAlignment="1">
      <alignment horizontal="right"/>
    </xf>
    <xf numFmtId="0" fontId="7" fillId="37" borderId="1" xfId="0" applyFont="1" applyFill="1" applyBorder="1" applyAlignment="1">
      <alignment horizontal="left"/>
    </xf>
    <xf numFmtId="0" fontId="7" fillId="0" borderId="1" xfId="0" applyFont="1" applyBorder="1"/>
    <xf numFmtId="0" fontId="7" fillId="37" borderId="1" xfId="0" applyFont="1" applyFill="1" applyBorder="1"/>
    <xf numFmtId="0" fontId="7" fillId="10" borderId="1" xfId="0" applyFont="1" applyFill="1" applyBorder="1"/>
    <xf numFmtId="167" fontId="7" fillId="37" borderId="1" xfId="0" applyNumberFormat="1" applyFont="1" applyFill="1" applyBorder="1" applyAlignment="1">
      <alignment horizontal="left"/>
    </xf>
    <xf numFmtId="0" fontId="0" fillId="0" borderId="55" xfId="0" applyBorder="1"/>
    <xf numFmtId="0" fontId="7" fillId="37" borderId="1" xfId="0" applyFont="1" applyFill="1" applyBorder="1" applyAlignment="1">
      <alignment horizontal="left" wrapText="1"/>
    </xf>
    <xf numFmtId="0" fontId="7" fillId="37" borderId="50" xfId="0" applyFont="1" applyFill="1" applyBorder="1" applyAlignment="1">
      <alignment horizontal="left"/>
    </xf>
    <xf numFmtId="0" fontId="7" fillId="37" borderId="55" xfId="0" applyFont="1" applyFill="1" applyBorder="1" applyAlignment="1">
      <alignment horizontal="right"/>
    </xf>
    <xf numFmtId="0" fontId="14" fillId="0" borderId="1" xfId="0" applyFont="1" applyBorder="1" applyAlignment="1">
      <alignment wrapText="1"/>
    </xf>
    <xf numFmtId="0" fontId="7" fillId="4" borderId="65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horizontal="left"/>
    </xf>
    <xf numFmtId="0" fontId="7" fillId="37" borderId="55" xfId="0" applyFont="1" applyFill="1" applyBorder="1" applyAlignment="1">
      <alignment horizontal="left"/>
    </xf>
    <xf numFmtId="167" fontId="94" fillId="37" borderId="79" xfId="0" applyNumberFormat="1" applyFont="1" applyFill="1" applyBorder="1" applyAlignment="1">
      <alignment horizontal="right"/>
    </xf>
    <xf numFmtId="0" fontId="7" fillId="10" borderId="2" xfId="0" applyFont="1" applyFill="1" applyBorder="1"/>
    <xf numFmtId="0" fontId="7" fillId="37" borderId="79" xfId="0" applyFont="1" applyFill="1" applyBorder="1" applyAlignment="1">
      <alignment horizontal="right"/>
    </xf>
    <xf numFmtId="0" fontId="14" fillId="10" borderId="1" xfId="0" applyFont="1" applyFill="1" applyBorder="1"/>
    <xf numFmtId="0" fontId="7" fillId="37" borderId="50" xfId="0" applyFont="1" applyFill="1" applyBorder="1" applyAlignment="1">
      <alignment horizontal="right"/>
    </xf>
    <xf numFmtId="0" fontId="7" fillId="4" borderId="80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20" xfId="0" applyFont="1" applyFill="1" applyBorder="1" applyAlignment="1">
      <alignment horizontal="center"/>
    </xf>
    <xf numFmtId="167" fontId="7" fillId="10" borderId="79" xfId="0" applyNumberFormat="1" applyFont="1" applyFill="1" applyBorder="1" applyAlignment="1">
      <alignment horizontal="left"/>
    </xf>
    <xf numFmtId="0" fontId="7" fillId="10" borderId="80" xfId="0" applyFont="1" applyFill="1" applyBorder="1"/>
    <xf numFmtId="0" fontId="7" fillId="37" borderId="80" xfId="0" applyFont="1" applyFill="1" applyBorder="1"/>
    <xf numFmtId="0" fontId="7" fillId="37" borderId="79" xfId="0" applyFont="1" applyFill="1" applyBorder="1"/>
    <xf numFmtId="0" fontId="7" fillId="37" borderId="81" xfId="0" applyFont="1" applyFill="1" applyBorder="1"/>
    <xf numFmtId="0" fontId="7" fillId="10" borderId="79" xfId="0" applyFont="1" applyFill="1" applyBorder="1"/>
    <xf numFmtId="0" fontId="7" fillId="37" borderId="50" xfId="0" applyFont="1" applyFill="1" applyBorder="1"/>
    <xf numFmtId="0" fontId="7" fillId="10" borderId="50" xfId="0" applyFont="1" applyFill="1" applyBorder="1"/>
    <xf numFmtId="0" fontId="7" fillId="37" borderId="2" xfId="0" applyFont="1" applyFill="1" applyBorder="1"/>
    <xf numFmtId="168" fontId="70" fillId="30" borderId="66" xfId="2" applyNumberFormat="1" applyFont="1" applyBorder="1" applyAlignment="1">
      <alignment horizontal="center"/>
    </xf>
    <xf numFmtId="0" fontId="14" fillId="0" borderId="50" xfId="0" applyFont="1" applyBorder="1" applyAlignment="1">
      <alignment wrapText="1"/>
    </xf>
    <xf numFmtId="0" fontId="7" fillId="10" borderId="80" xfId="0" applyFont="1" applyFill="1" applyBorder="1" applyAlignment="1">
      <alignment horizontal="left"/>
    </xf>
    <xf numFmtId="0" fontId="7" fillId="10" borderId="2" xfId="0" applyFont="1" applyFill="1" applyBorder="1" applyAlignment="1">
      <alignment horizontal="left"/>
    </xf>
    <xf numFmtId="0" fontId="7" fillId="4" borderId="83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37" borderId="1" xfId="0" applyFont="1" applyFill="1" applyBorder="1" applyAlignment="1">
      <alignment horizontal="right"/>
    </xf>
    <xf numFmtId="0" fontId="7" fillId="37" borderId="80" xfId="0" applyFont="1" applyFill="1" applyBorder="1" applyAlignment="1">
      <alignment horizontal="right"/>
    </xf>
    <xf numFmtId="0" fontId="2" fillId="0" borderId="0" xfId="0" applyFont="1"/>
    <xf numFmtId="174" fontId="7" fillId="37" borderId="21" xfId="0" applyNumberFormat="1" applyFont="1" applyFill="1" applyBorder="1" applyAlignment="1">
      <alignment horizontal="center"/>
    </xf>
    <xf numFmtId="174" fontId="7" fillId="37" borderId="65" xfId="0" applyNumberFormat="1" applyFont="1" applyFill="1" applyBorder="1" applyAlignment="1">
      <alignment horizontal="center"/>
    </xf>
    <xf numFmtId="174" fontId="7" fillId="10" borderId="65" xfId="0" applyNumberFormat="1" applyFont="1" applyFill="1" applyBorder="1" applyAlignment="1">
      <alignment horizontal="center"/>
    </xf>
    <xf numFmtId="174" fontId="7" fillId="4" borderId="65" xfId="0" applyNumberFormat="1" applyFont="1" applyFill="1" applyBorder="1" applyAlignment="1">
      <alignment horizontal="center"/>
    </xf>
    <xf numFmtId="174" fontId="23" fillId="37" borderId="65" xfId="0" applyNumberFormat="1" applyFont="1" applyFill="1" applyBorder="1" applyAlignment="1">
      <alignment horizontal="center"/>
    </xf>
    <xf numFmtId="174" fontId="14" fillId="0" borderId="65" xfId="0" applyNumberFormat="1" applyFont="1" applyBorder="1" applyAlignment="1">
      <alignment horizontal="center"/>
    </xf>
    <xf numFmtId="174" fontId="7" fillId="37" borderId="55" xfId="0" applyNumberFormat="1" applyFont="1" applyFill="1" applyBorder="1" applyAlignment="1">
      <alignment horizontal="center"/>
    </xf>
    <xf numFmtId="174" fontId="7" fillId="37" borderId="1" xfId="0" applyNumberFormat="1" applyFont="1" applyFill="1" applyBorder="1" applyAlignment="1">
      <alignment horizontal="center"/>
    </xf>
    <xf numFmtId="0" fontId="7" fillId="10" borderId="77" xfId="0" applyFont="1" applyFill="1" applyBorder="1" applyAlignment="1">
      <alignment horizontal="left"/>
    </xf>
    <xf numFmtId="0" fontId="7" fillId="10" borderId="55" xfId="0" applyFont="1" applyFill="1" applyBorder="1" applyAlignment="1">
      <alignment horizontal="left"/>
    </xf>
    <xf numFmtId="0" fontId="7" fillId="10" borderId="80" xfId="0" applyFont="1" applyFill="1" applyBorder="1" applyAlignment="1">
      <alignment horizontal="right"/>
    </xf>
    <xf numFmtId="0" fontId="10" fillId="37" borderId="1" xfId="0" applyFont="1" applyFill="1" applyBorder="1" applyAlignment="1">
      <alignment horizontal="left"/>
    </xf>
    <xf numFmtId="0" fontId="10" fillId="10" borderId="1" xfId="0" applyFont="1" applyFill="1" applyBorder="1"/>
    <xf numFmtId="0" fontId="10" fillId="37" borderId="1" xfId="0" applyFont="1" applyFill="1" applyBorder="1"/>
    <xf numFmtId="0" fontId="10" fillId="10" borderId="1" xfId="0" applyFont="1" applyFill="1" applyBorder="1" applyAlignment="1">
      <alignment horizontal="left"/>
    </xf>
    <xf numFmtId="0" fontId="14" fillId="37" borderId="1" xfId="0" applyFont="1" applyFill="1" applyBorder="1"/>
    <xf numFmtId="0" fontId="7" fillId="10" borderId="81" xfId="0" applyFont="1" applyFill="1" applyBorder="1"/>
    <xf numFmtId="0" fontId="46" fillId="35" borderId="68" xfId="8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8" fillId="37" borderId="1" xfId="0" applyFont="1" applyFill="1" applyBorder="1" applyAlignment="1">
      <alignment horizontal="left"/>
    </xf>
    <xf numFmtId="167" fontId="94" fillId="37" borderId="80" xfId="0" applyNumberFormat="1" applyFont="1" applyFill="1" applyBorder="1" applyAlignment="1">
      <alignment horizontal="right"/>
    </xf>
    <xf numFmtId="0" fontId="7" fillId="37" borderId="87" xfId="0" applyFont="1" applyFill="1" applyBorder="1" applyAlignment="1">
      <alignment horizontal="left"/>
    </xf>
    <xf numFmtId="0" fontId="7" fillId="37" borderId="21" xfId="0" applyFont="1" applyFill="1" applyBorder="1" applyAlignment="1">
      <alignment horizontal="left" vertical="center"/>
    </xf>
    <xf numFmtId="0" fontId="7" fillId="10" borderId="68" xfId="0" applyFont="1" applyFill="1" applyBorder="1" applyAlignment="1">
      <alignment horizontal="left" vertical="center"/>
    </xf>
    <xf numFmtId="0" fontId="8" fillId="10" borderId="65" xfId="0" applyFont="1" applyFill="1" applyBorder="1"/>
    <xf numFmtId="0" fontId="8" fillId="10" borderId="65" xfId="0" applyFont="1" applyFill="1" applyBorder="1" applyAlignment="1">
      <alignment wrapText="1"/>
    </xf>
    <xf numFmtId="0" fontId="7" fillId="37" borderId="77" xfId="0" applyFont="1" applyFill="1" applyBorder="1" applyAlignment="1">
      <alignment horizontal="left" wrapText="1"/>
    </xf>
    <xf numFmtId="0" fontId="7" fillId="37" borderId="78" xfId="0" applyFont="1" applyFill="1" applyBorder="1" applyAlignment="1">
      <alignment horizontal="right"/>
    </xf>
    <xf numFmtId="0" fontId="7" fillId="4" borderId="21" xfId="0" applyFont="1" applyFill="1" applyBorder="1" applyAlignment="1">
      <alignment horizontal="center"/>
    </xf>
    <xf numFmtId="0" fontId="39" fillId="6" borderId="68" xfId="0" applyFont="1" applyFill="1" applyBorder="1" applyAlignment="1">
      <alignment horizontal="center"/>
    </xf>
    <xf numFmtId="0" fontId="18" fillId="3" borderId="68" xfId="0" applyFont="1" applyFill="1" applyBorder="1" applyAlignment="1">
      <alignment horizontal="center"/>
    </xf>
    <xf numFmtId="0" fontId="71" fillId="36" borderId="65" xfId="0" applyFont="1" applyFill="1" applyBorder="1" applyAlignment="1">
      <alignment horizontal="center"/>
    </xf>
    <xf numFmtId="0" fontId="7" fillId="4" borderId="79" xfId="0" applyFont="1" applyFill="1" applyBorder="1" applyAlignment="1">
      <alignment horizontal="center"/>
    </xf>
    <xf numFmtId="0" fontId="15" fillId="37" borderId="65" xfId="0" applyFont="1" applyFill="1" applyBorder="1"/>
    <xf numFmtId="0" fontId="7" fillId="37" borderId="37" xfId="0" applyFont="1" applyFill="1" applyBorder="1"/>
    <xf numFmtId="0" fontId="7" fillId="37" borderId="36" xfId="0" applyFont="1" applyFill="1" applyBorder="1" applyAlignment="1">
      <alignment horizontal="left"/>
    </xf>
    <xf numFmtId="167" fontId="7" fillId="37" borderId="21" xfId="0" applyNumberFormat="1" applyFont="1" applyFill="1" applyBorder="1" applyAlignment="1">
      <alignment horizontal="left"/>
    </xf>
    <xf numFmtId="169" fontId="7" fillId="37" borderId="65" xfId="0" applyNumberFormat="1" applyFont="1" applyFill="1" applyBorder="1" applyAlignment="1">
      <alignment horizontal="left"/>
    </xf>
    <xf numFmtId="0" fontId="7" fillId="37" borderId="36" xfId="0" applyFont="1" applyFill="1" applyBorder="1"/>
    <xf numFmtId="0" fontId="7" fillId="37" borderId="68" xfId="0" applyFont="1" applyFill="1" applyBorder="1" applyAlignment="1">
      <alignment horizontal="left" vertical="center"/>
    </xf>
    <xf numFmtId="167" fontId="94" fillId="10" borderId="21" xfId="0" applyNumberFormat="1" applyFont="1" applyFill="1" applyBorder="1" applyAlignment="1">
      <alignment horizontal="right"/>
    </xf>
    <xf numFmtId="167" fontId="94" fillId="37" borderId="21" xfId="0" applyNumberFormat="1" applyFont="1" applyFill="1" applyBorder="1" applyAlignment="1">
      <alignment horizontal="right" wrapText="1"/>
    </xf>
    <xf numFmtId="167" fontId="94" fillId="37" borderId="78" xfId="0" applyNumberFormat="1" applyFont="1" applyFill="1" applyBorder="1" applyAlignment="1">
      <alignment horizontal="right"/>
    </xf>
    <xf numFmtId="0" fontId="7" fillId="10" borderId="21" xfId="0" applyFont="1" applyFill="1" applyBorder="1" applyAlignment="1">
      <alignment horizontal="left"/>
    </xf>
    <xf numFmtId="0" fontId="23" fillId="37" borderId="21" xfId="0" applyFont="1" applyFill="1" applyBorder="1" applyAlignment="1">
      <alignment horizontal="left"/>
    </xf>
    <xf numFmtId="0" fontId="7" fillId="37" borderId="86" xfId="0" applyFont="1" applyFill="1" applyBorder="1" applyAlignment="1">
      <alignment horizontal="left"/>
    </xf>
    <xf numFmtId="0" fontId="7" fillId="0" borderId="68" xfId="0" applyFont="1" applyBorder="1"/>
    <xf numFmtId="0" fontId="7" fillId="37" borderId="3" xfId="0" applyFont="1" applyFill="1" applyBorder="1" applyAlignment="1">
      <alignment horizontal="left"/>
    </xf>
    <xf numFmtId="0" fontId="7" fillId="45" borderId="1" xfId="0" applyFont="1" applyFill="1" applyBorder="1" applyAlignment="1">
      <alignment horizontal="left"/>
    </xf>
    <xf numFmtId="0" fontId="91" fillId="0" borderId="1" xfId="0" applyFont="1" applyBorder="1"/>
    <xf numFmtId="0" fontId="7" fillId="10" borderId="21" xfId="0" applyFont="1" applyFill="1" applyBorder="1" applyAlignment="1">
      <alignment horizontal="left" wrapText="1"/>
    </xf>
    <xf numFmtId="0" fontId="23" fillId="37" borderId="21" xfId="0" applyFont="1" applyFill="1" applyBorder="1" applyAlignment="1">
      <alignment horizontal="left" wrapText="1"/>
    </xf>
    <xf numFmtId="0" fontId="12" fillId="10" borderId="65" xfId="0" applyFont="1" applyFill="1" applyBorder="1" applyAlignment="1">
      <alignment horizontal="left" wrapText="1"/>
    </xf>
    <xf numFmtId="0" fontId="7" fillId="0" borderId="3" xfId="0" applyFont="1" applyBorder="1"/>
    <xf numFmtId="0" fontId="116" fillId="0" borderId="1" xfId="0" applyFont="1" applyBorder="1"/>
    <xf numFmtId="0" fontId="115" fillId="0" borderId="1" xfId="0" applyFont="1" applyBorder="1"/>
    <xf numFmtId="0" fontId="7" fillId="0" borderId="55" xfId="0" applyFont="1" applyBorder="1"/>
    <xf numFmtId="0" fontId="23" fillId="37" borderId="21" xfId="0" applyFont="1" applyFill="1" applyBorder="1" applyAlignment="1">
      <alignment wrapText="1"/>
    </xf>
    <xf numFmtId="0" fontId="12" fillId="10" borderId="65" xfId="0" applyFont="1" applyFill="1" applyBorder="1" applyAlignment="1">
      <alignment horizontal="left"/>
    </xf>
    <xf numFmtId="0" fontId="120" fillId="0" borderId="1" xfId="0" applyFont="1" applyBorder="1"/>
    <xf numFmtId="0" fontId="114" fillId="0" borderId="1" xfId="0" applyFont="1" applyBorder="1" applyAlignment="1">
      <alignment vertical="center" wrapText="1"/>
    </xf>
    <xf numFmtId="0" fontId="114" fillId="0" borderId="1" xfId="0" applyFont="1" applyBorder="1"/>
    <xf numFmtId="0" fontId="117" fillId="0" borderId="68" xfId="0" applyFont="1" applyBorder="1" applyAlignment="1">
      <alignment vertical="center" wrapText="1"/>
    </xf>
    <xf numFmtId="0" fontId="114" fillId="0" borderId="68" xfId="0" applyFont="1" applyBorder="1"/>
    <xf numFmtId="0" fontId="118" fillId="0" borderId="55" xfId="0" applyFont="1" applyBorder="1"/>
    <xf numFmtId="0" fontId="7" fillId="0" borderId="50" xfId="0" applyFont="1" applyBorder="1"/>
    <xf numFmtId="0" fontId="113" fillId="0" borderId="68" xfId="0" applyFont="1" applyBorder="1"/>
    <xf numFmtId="0" fontId="114" fillId="0" borderId="50" xfId="0" applyFont="1" applyBorder="1"/>
    <xf numFmtId="0" fontId="7" fillId="0" borderId="1" xfId="0" applyFont="1" applyBorder="1" applyAlignment="1">
      <alignment wrapText="1"/>
    </xf>
    <xf numFmtId="0" fontId="7" fillId="10" borderId="21" xfId="0" applyFont="1" applyFill="1" applyBorder="1" applyAlignment="1">
      <alignment horizontal="right"/>
    </xf>
    <xf numFmtId="0" fontId="23" fillId="37" borderId="21" xfId="0" applyFont="1" applyFill="1" applyBorder="1" applyAlignment="1">
      <alignment horizontal="right"/>
    </xf>
    <xf numFmtId="0" fontId="7" fillId="0" borderId="79" xfId="0" applyFont="1" applyBorder="1"/>
    <xf numFmtId="0" fontId="7" fillId="37" borderId="82" xfId="0" applyFont="1" applyFill="1" applyBorder="1" applyAlignment="1">
      <alignment horizontal="right"/>
    </xf>
    <xf numFmtId="0" fontId="10" fillId="10" borderId="21" xfId="0" applyFont="1" applyFill="1" applyBorder="1"/>
    <xf numFmtId="0" fontId="14" fillId="10" borderId="21" xfId="0" applyFont="1" applyFill="1" applyBorder="1" applyAlignment="1">
      <alignment wrapText="1"/>
    </xf>
    <xf numFmtId="0" fontId="72" fillId="42" borderId="21" xfId="9" quotePrefix="1" applyFill="1" applyBorder="1"/>
    <xf numFmtId="0" fontId="14" fillId="0" borderId="55" xfId="0" applyFont="1" applyBorder="1" applyAlignment="1">
      <alignment wrapText="1"/>
    </xf>
    <xf numFmtId="0" fontId="11" fillId="10" borderId="21" xfId="0" applyFont="1" applyFill="1" applyBorder="1" applyAlignment="1">
      <alignment horizontal="left"/>
    </xf>
    <xf numFmtId="0" fontId="81" fillId="43" borderId="21" xfId="0" quotePrefix="1" applyFont="1" applyFill="1" applyBorder="1" applyAlignment="1">
      <alignment horizontal="left" wrapText="1"/>
    </xf>
    <xf numFmtId="0" fontId="10" fillId="37" borderId="21" xfId="0" applyFont="1" applyFill="1" applyBorder="1" applyAlignment="1">
      <alignment horizontal="left"/>
    </xf>
    <xf numFmtId="0" fontId="72" fillId="0" borderId="1" xfId="9" quotePrefix="1" applyBorder="1"/>
    <xf numFmtId="0" fontId="11" fillId="10" borderId="65" xfId="0" applyFont="1" applyFill="1" applyBorder="1" applyAlignment="1">
      <alignment horizontal="left"/>
    </xf>
    <xf numFmtId="0" fontId="72" fillId="0" borderId="1" xfId="9" applyBorder="1"/>
    <xf numFmtId="0" fontId="14" fillId="10" borderId="50" xfId="0" applyFont="1" applyFill="1" applyBorder="1"/>
    <xf numFmtId="0" fontId="72" fillId="0" borderId="1" xfId="9" applyBorder="1" applyAlignment="1">
      <alignment wrapText="1"/>
    </xf>
    <xf numFmtId="0" fontId="14" fillId="10" borderId="81" xfId="0" applyFont="1" applyFill="1" applyBorder="1"/>
    <xf numFmtId="0" fontId="14" fillId="10" borderId="79" xfId="0" applyFont="1" applyFill="1" applyBorder="1"/>
    <xf numFmtId="0" fontId="7" fillId="0" borderId="81" xfId="0" applyFont="1" applyBorder="1"/>
    <xf numFmtId="0" fontId="72" fillId="0" borderId="1" xfId="9" quotePrefix="1" applyFill="1" applyBorder="1" applyAlignment="1"/>
    <xf numFmtId="0" fontId="72" fillId="10" borderId="1" xfId="9" applyFill="1" applyBorder="1" applyAlignment="1"/>
    <xf numFmtId="0" fontId="10" fillId="4" borderId="65" xfId="0" applyFont="1" applyFill="1" applyBorder="1"/>
    <xf numFmtId="0" fontId="0" fillId="10" borderId="65" xfId="0" applyFill="1" applyBorder="1"/>
    <xf numFmtId="0" fontId="7" fillId="0" borderId="65" xfId="0" quotePrefix="1" applyFont="1" applyBorder="1"/>
    <xf numFmtId="0" fontId="10" fillId="10" borderId="1" xfId="0" quotePrefix="1" applyFont="1" applyFill="1" applyBorder="1" applyAlignment="1">
      <alignment horizontal="left" wrapText="1"/>
    </xf>
    <xf numFmtId="0" fontId="0" fillId="0" borderId="1" xfId="0" applyBorder="1" applyAlignment="1">
      <alignment wrapText="1"/>
    </xf>
    <xf numFmtId="0" fontId="18" fillId="3" borderId="65" xfId="0" applyFont="1" applyFill="1" applyBorder="1" applyAlignment="1">
      <alignment horizontal="center"/>
    </xf>
    <xf numFmtId="0" fontId="23" fillId="4" borderId="21" xfId="0" applyFont="1" applyFill="1" applyBorder="1" applyAlignment="1">
      <alignment horizontal="center"/>
    </xf>
    <xf numFmtId="0" fontId="39" fillId="6" borderId="65" xfId="0" applyFont="1" applyFill="1" applyBorder="1" applyAlignment="1">
      <alignment horizontal="center"/>
    </xf>
    <xf numFmtId="0" fontId="39" fillId="7" borderId="65" xfId="0" applyFont="1" applyFill="1" applyBorder="1" applyAlignment="1">
      <alignment horizontal="center"/>
    </xf>
    <xf numFmtId="0" fontId="46" fillId="35" borderId="65" xfId="8" applyFont="1" applyBorder="1" applyAlignment="1">
      <alignment horizontal="center"/>
    </xf>
    <xf numFmtId="0" fontId="18" fillId="5" borderId="65" xfId="0" applyFont="1" applyFill="1" applyBorder="1" applyAlignment="1">
      <alignment horizontal="center"/>
    </xf>
    <xf numFmtId="0" fontId="77" fillId="29" borderId="65" xfId="6" applyFont="1" applyFill="1" applyBorder="1" applyAlignment="1">
      <alignment horizontal="center"/>
    </xf>
    <xf numFmtId="0" fontId="46" fillId="31" borderId="65" xfId="3" applyFont="1" applyBorder="1" applyAlignment="1">
      <alignment horizontal="center"/>
    </xf>
    <xf numFmtId="0" fontId="13" fillId="6" borderId="65" xfId="0" applyFont="1" applyFill="1" applyBorder="1" applyAlignment="1">
      <alignment horizontal="center"/>
    </xf>
    <xf numFmtId="0" fontId="76" fillId="33" borderId="65" xfId="5" applyFont="1" applyBorder="1" applyAlignment="1">
      <alignment horizontal="center"/>
    </xf>
    <xf numFmtId="0" fontId="7" fillId="4" borderId="77" xfId="0" applyFont="1" applyFill="1" applyBorder="1" applyAlignment="1">
      <alignment horizontal="center"/>
    </xf>
    <xf numFmtId="0" fontId="7" fillId="4" borderId="60" xfId="0" applyFont="1" applyFill="1" applyBorder="1" applyAlignment="1">
      <alignment horizontal="center"/>
    </xf>
    <xf numFmtId="0" fontId="7" fillId="4" borderId="84" xfId="0" applyFont="1" applyFill="1" applyBorder="1" applyAlignment="1">
      <alignment horizontal="center"/>
    </xf>
    <xf numFmtId="0" fontId="7" fillId="4" borderId="85" xfId="0" applyFont="1" applyFill="1" applyBorder="1" applyAlignment="1">
      <alignment horizontal="center"/>
    </xf>
    <xf numFmtId="0" fontId="7" fillId="3" borderId="77" xfId="0" applyFont="1" applyFill="1" applyBorder="1" applyAlignment="1">
      <alignment horizontal="center"/>
    </xf>
    <xf numFmtId="0" fontId="79" fillId="0" borderId="21" xfId="0" applyFont="1" applyBorder="1"/>
    <xf numFmtId="0" fontId="23" fillId="37" borderId="21" xfId="0" quotePrefix="1" applyFont="1" applyFill="1" applyBorder="1" applyAlignment="1">
      <alignment horizontal="left"/>
    </xf>
    <xf numFmtId="0" fontId="18" fillId="37" borderId="65" xfId="0" applyFont="1" applyFill="1" applyBorder="1" applyAlignment="1">
      <alignment horizontal="left"/>
    </xf>
    <xf numFmtId="0" fontId="18" fillId="10" borderId="65" xfId="0" applyFont="1" applyFill="1" applyBorder="1" applyAlignment="1">
      <alignment horizontal="left"/>
    </xf>
    <xf numFmtId="0" fontId="7" fillId="0" borderId="2" xfId="0" applyFont="1" applyBorder="1"/>
    <xf numFmtId="0" fontId="7" fillId="0" borderId="80" xfId="0" applyFont="1" applyBorder="1"/>
    <xf numFmtId="0" fontId="20" fillId="0" borderId="68" xfId="0" applyFont="1" applyBorder="1"/>
    <xf numFmtId="0" fontId="18" fillId="10" borderId="21" xfId="0" applyFont="1" applyFill="1" applyBorder="1"/>
    <xf numFmtId="0" fontId="23" fillId="37" borderId="21" xfId="0" applyFont="1" applyFill="1" applyBorder="1"/>
    <xf numFmtId="0" fontId="18" fillId="37" borderId="21" xfId="0" applyFont="1" applyFill="1" applyBorder="1"/>
    <xf numFmtId="0" fontId="7" fillId="10" borderId="20" xfId="0" applyFont="1" applyFill="1" applyBorder="1"/>
    <xf numFmtId="0" fontId="7" fillId="10" borderId="60" xfId="0" applyFont="1" applyFill="1" applyBorder="1"/>
    <xf numFmtId="0" fontId="0" fillId="0" borderId="68" xfId="0" applyBorder="1"/>
    <xf numFmtId="167" fontId="7" fillId="10" borderId="21" xfId="0" applyNumberFormat="1" applyFont="1" applyFill="1" applyBorder="1" applyAlignment="1">
      <alignment horizontal="left"/>
    </xf>
    <xf numFmtId="167" fontId="23" fillId="37" borderId="21" xfId="0" applyNumberFormat="1" applyFont="1" applyFill="1" applyBorder="1" applyAlignment="1">
      <alignment horizontal="left"/>
    </xf>
    <xf numFmtId="15" fontId="7" fillId="37" borderId="21" xfId="0" applyNumberFormat="1" applyFont="1" applyFill="1" applyBorder="1" applyAlignment="1">
      <alignment horizontal="left"/>
    </xf>
    <xf numFmtId="167" fontId="7" fillId="37" borderId="3" xfId="0" applyNumberFormat="1" applyFont="1" applyFill="1" applyBorder="1" applyAlignment="1">
      <alignment horizontal="left"/>
    </xf>
    <xf numFmtId="167" fontId="7" fillId="37" borderId="36" xfId="0" applyNumberFormat="1" applyFont="1" applyFill="1" applyBorder="1" applyAlignment="1">
      <alignment horizontal="left"/>
    </xf>
    <xf numFmtId="167" fontId="7" fillId="37" borderId="79" xfId="0" applyNumberFormat="1" applyFont="1" applyFill="1" applyBorder="1" applyAlignment="1">
      <alignment horizontal="left"/>
    </xf>
    <xf numFmtId="174" fontId="7" fillId="10" borderId="21" xfId="0" applyNumberFormat="1" applyFont="1" applyFill="1" applyBorder="1" applyAlignment="1">
      <alignment horizontal="center"/>
    </xf>
    <xf numFmtId="174" fontId="14" fillId="0" borderId="55" xfId="0" applyNumberFormat="1" applyFont="1" applyBorder="1" applyAlignment="1">
      <alignment horizontal="center"/>
    </xf>
    <xf numFmtId="174" fontId="81" fillId="43" borderId="21" xfId="0" applyNumberFormat="1" applyFont="1" applyFill="1" applyBorder="1" applyAlignment="1">
      <alignment horizontal="center"/>
    </xf>
    <xf numFmtId="174" fontId="14" fillId="0" borderId="1" xfId="0" applyNumberFormat="1" applyFont="1" applyBorder="1" applyAlignment="1">
      <alignment horizontal="center"/>
    </xf>
    <xf numFmtId="174" fontId="7" fillId="37" borderId="68" xfId="0" applyNumberFormat="1" applyFont="1" applyFill="1" applyBorder="1" applyAlignment="1">
      <alignment horizontal="center"/>
    </xf>
    <xf numFmtId="0" fontId="7" fillId="37" borderId="1" xfId="0" applyFont="1" applyFill="1" applyBorder="1" applyAlignment="1">
      <alignment horizontal="center" vertical="center"/>
    </xf>
    <xf numFmtId="0" fontId="7" fillId="37" borderId="42" xfId="0" applyFont="1" applyFill="1" applyBorder="1" applyAlignment="1">
      <alignment horizontal="center" vertical="center"/>
    </xf>
    <xf numFmtId="0" fontId="7" fillId="37" borderId="2" xfId="0" applyFont="1" applyFill="1" applyBorder="1" applyAlignment="1">
      <alignment horizontal="center" vertical="center"/>
    </xf>
    <xf numFmtId="0" fontId="7" fillId="37" borderId="55" xfId="0" applyFont="1" applyFill="1" applyBorder="1" applyAlignment="1">
      <alignment horizontal="center" vertical="center"/>
    </xf>
    <xf numFmtId="0" fontId="7" fillId="37" borderId="36" xfId="0" applyFont="1" applyFill="1" applyBorder="1" applyAlignment="1">
      <alignment horizontal="center" vertical="center"/>
    </xf>
    <xf numFmtId="169" fontId="7" fillId="10" borderId="3" xfId="0" applyNumberFormat="1" applyFont="1" applyFill="1" applyBorder="1" applyAlignment="1">
      <alignment horizontal="left"/>
    </xf>
    <xf numFmtId="0" fontId="23" fillId="37" borderId="3" xfId="0" applyFont="1" applyFill="1" applyBorder="1"/>
    <xf numFmtId="0" fontId="7" fillId="0" borderId="68" xfId="0" applyFont="1" applyBorder="1" applyAlignment="1">
      <alignment wrapText="1"/>
    </xf>
    <xf numFmtId="0" fontId="7" fillId="37" borderId="0" xfId="0" applyFont="1" applyFill="1" applyAlignment="1">
      <alignment horizontal="left"/>
    </xf>
    <xf numFmtId="0" fontId="8" fillId="0" borderId="65" xfId="0" applyFont="1" applyBorder="1"/>
    <xf numFmtId="0" fontId="0" fillId="0" borderId="65" xfId="0" applyBorder="1"/>
    <xf numFmtId="0" fontId="7" fillId="37" borderId="55" xfId="0" applyFont="1" applyFill="1" applyBorder="1" applyAlignment="1">
      <alignment horizontal="left" wrapText="1"/>
    </xf>
    <xf numFmtId="0" fontId="119" fillId="0" borderId="68" xfId="0" applyFont="1" applyBorder="1"/>
    <xf numFmtId="0" fontId="121" fillId="0" borderId="0" xfId="0" applyFont="1"/>
    <xf numFmtId="174" fontId="14" fillId="0" borderId="0" xfId="0" applyNumberFormat="1" applyFont="1" applyAlignment="1">
      <alignment horizontal="center"/>
    </xf>
    <xf numFmtId="0" fontId="1" fillId="31" borderId="65" xfId="3" applyFont="1" applyBorder="1" applyAlignment="1">
      <alignment horizontal="center"/>
    </xf>
    <xf numFmtId="0" fontId="1" fillId="35" borderId="65" xfId="8" applyFont="1" applyBorder="1" applyAlignment="1">
      <alignment horizontal="center"/>
    </xf>
    <xf numFmtId="0" fontId="1" fillId="34" borderId="65" xfId="7" applyFont="1" applyBorder="1" applyAlignment="1">
      <alignment horizontal="center"/>
    </xf>
    <xf numFmtId="0" fontId="1" fillId="0" borderId="65" xfId="0" applyFont="1" applyBorder="1"/>
    <xf numFmtId="0" fontId="1" fillId="0" borderId="79" xfId="0" applyFont="1" applyBorder="1"/>
    <xf numFmtId="167" fontId="1" fillId="0" borderId="68" xfId="0" applyNumberFormat="1" applyFont="1" applyBorder="1" applyAlignment="1">
      <alignment horizontal="right"/>
    </xf>
    <xf numFmtId="167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0" fontId="1" fillId="0" borderId="0" xfId="0" applyFont="1"/>
    <xf numFmtId="167" fontId="1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8" fillId="0" borderId="65" xfId="0" applyFont="1" applyBorder="1" applyAlignment="1"/>
    <xf numFmtId="0" fontId="0" fillId="0" borderId="65" xfId="0" applyBorder="1" applyAlignment="1"/>
    <xf numFmtId="0" fontId="30" fillId="2" borderId="24" xfId="0" applyFont="1" applyFill="1" applyBorder="1" applyAlignment="1">
      <alignment horizontal="center"/>
    </xf>
    <xf numFmtId="0" fontId="31" fillId="0" borderId="8" xfId="0" applyFont="1" applyBorder="1" applyAlignment="1"/>
    <xf numFmtId="15" fontId="32" fillId="0" borderId="24" xfId="0" applyNumberFormat="1" applyFont="1" applyBorder="1" applyAlignment="1">
      <alignment horizontal="center" vertical="center" wrapText="1"/>
    </xf>
    <xf numFmtId="0" fontId="31" fillId="0" borderId="11" xfId="0" applyFont="1" applyBorder="1" applyAlignment="1"/>
    <xf numFmtId="0" fontId="9" fillId="15" borderId="24" xfId="0" applyFont="1" applyFill="1" applyBorder="1" applyAlignment="1">
      <alignment horizontal="center"/>
    </xf>
    <xf numFmtId="0" fontId="14" fillId="15" borderId="24" xfId="0" applyFont="1" applyFill="1" applyBorder="1" applyAlignment="1">
      <alignment horizontal="center"/>
    </xf>
    <xf numFmtId="0" fontId="53" fillId="23" borderId="31" xfId="0" applyFont="1" applyFill="1" applyBorder="1" applyAlignment="1">
      <alignment horizontal="center"/>
    </xf>
    <xf numFmtId="0" fontId="31" fillId="0" borderId="49" xfId="0" applyFont="1" applyBorder="1" applyAlignment="1"/>
    <xf numFmtId="0" fontId="31" fillId="0" borderId="32" xfId="0" applyFont="1" applyBorder="1" applyAlignment="1"/>
    <xf numFmtId="0" fontId="54" fillId="22" borderId="31" xfId="0" applyFont="1" applyFill="1" applyBorder="1" applyAlignment="1">
      <alignment horizontal="center"/>
    </xf>
    <xf numFmtId="0" fontId="22" fillId="16" borderId="22" xfId="0" applyFont="1" applyFill="1" applyBorder="1" applyAlignment="1">
      <alignment horizontal="center" vertical="center"/>
    </xf>
    <xf numFmtId="0" fontId="31" fillId="0" borderId="62" xfId="0" applyFont="1" applyBorder="1" applyAlignment="1"/>
    <xf numFmtId="0" fontId="31" fillId="0" borderId="23" xfId="0" applyFont="1" applyBorder="1" applyAlignment="1"/>
    <xf numFmtId="0" fontId="42" fillId="18" borderId="50" xfId="0" applyFont="1" applyFill="1" applyBorder="1" applyAlignment="1">
      <alignment horizontal="center"/>
    </xf>
    <xf numFmtId="0" fontId="31" fillId="0" borderId="2" xfId="0" applyFont="1" applyBorder="1" applyAlignment="1"/>
    <xf numFmtId="0" fontId="37" fillId="20" borderId="50" xfId="0" applyFont="1" applyFill="1" applyBorder="1" applyAlignment="1">
      <alignment horizontal="center"/>
    </xf>
    <xf numFmtId="0" fontId="48" fillId="0" borderId="24" xfId="0" applyFont="1" applyBorder="1" applyAlignment="1">
      <alignment horizontal="center"/>
    </xf>
    <xf numFmtId="0" fontId="40" fillId="27" borderId="22" xfId="0" applyFont="1" applyFill="1" applyBorder="1" applyAlignment="1">
      <alignment horizontal="center"/>
    </xf>
    <xf numFmtId="0" fontId="40" fillId="27" borderId="31" xfId="0" applyFont="1" applyFill="1" applyBorder="1" applyAlignment="1">
      <alignment horizontal="center"/>
    </xf>
    <xf numFmtId="16" fontId="6" fillId="4" borderId="22" xfId="0" applyNumberFormat="1" applyFont="1" applyFill="1" applyBorder="1" applyAlignment="1">
      <alignment horizontal="center"/>
    </xf>
    <xf numFmtId="0" fontId="40" fillId="26" borderId="31" xfId="0" applyFont="1" applyFill="1" applyBorder="1" applyAlignment="1">
      <alignment horizontal="center"/>
    </xf>
    <xf numFmtId="17" fontId="61" fillId="20" borderId="54" xfId="0" applyNumberFormat="1" applyFont="1" applyFill="1" applyBorder="1" applyAlignment="1">
      <alignment horizontal="center" vertical="center" wrapText="1"/>
    </xf>
    <xf numFmtId="0" fontId="31" fillId="0" borderId="55" xfId="0" applyFont="1" applyBorder="1" applyAlignment="1"/>
    <xf numFmtId="0" fontId="31" fillId="0" borderId="58" xfId="0" applyFont="1" applyBorder="1" applyAlignment="1"/>
    <xf numFmtId="0" fontId="48" fillId="28" borderId="22" xfId="0" applyFont="1" applyFill="1" applyBorder="1" applyAlignment="1">
      <alignment horizontal="center"/>
    </xf>
    <xf numFmtId="0" fontId="40" fillId="27" borderId="24" xfId="0" applyFont="1" applyFill="1" applyBorder="1" applyAlignment="1">
      <alignment horizontal="center"/>
    </xf>
  </cellXfs>
  <cellStyles count="12">
    <cellStyle name="20% - Accent2" xfId="7" builtinId="34"/>
    <cellStyle name="20% - Accent6" xfId="8" builtinId="50"/>
    <cellStyle name="Bad" xfId="2" builtinId="27"/>
    <cellStyle name="Calculation" xfId="5" builtinId="22"/>
    <cellStyle name="Comma 2" xfId="11" xr:uid="{3D4EB692-A03B-4BC0-BFCC-1D394993969D}"/>
    <cellStyle name="Good" xfId="1" builtinId="26"/>
    <cellStyle name="Hyperlink" xfId="9" builtinId="8"/>
    <cellStyle name="Input" xfId="4" builtinId="20"/>
    <cellStyle name="Neutral" xfId="3" builtinId="28"/>
    <cellStyle name="Neutral 2" xfId="10" xr:uid="{83D80961-CD41-4F25-A54B-8CE0B7CD2EB5}"/>
    <cellStyle name="Normal" xfId="0" builtinId="0"/>
    <cellStyle name="Warning Text" xfId="6" builtinId="11"/>
  </cellStyles>
  <dxfs count="91">
    <dxf>
      <fill>
        <patternFill patternType="solid">
          <fgColor rgb="FFB2A1C7"/>
          <bgColor rgb="FFB2A1C7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92CDDC"/>
          <bgColor rgb="FF92CDDC"/>
        </patternFill>
      </fill>
    </dxf>
    <dxf>
      <font>
        <b/>
        <color theme="0"/>
      </font>
      <fill>
        <patternFill patternType="solid">
          <fgColor rgb="FFC00000"/>
          <bgColor rgb="FFC000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</font>
      <fill>
        <patternFill patternType="solid">
          <fgColor rgb="FFE5DFEC"/>
          <bgColor rgb="FFE5DFEC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</font>
      <fill>
        <patternFill patternType="solid">
          <fgColor rgb="FFD99594"/>
          <bgColor rgb="FFD99594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u/>
        <color rgb="FF0070C0"/>
      </font>
      <fill>
        <patternFill patternType="none"/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6F8F9"/>
          <bgColor rgb="FFF6F8F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6F8F9"/>
          <bgColor rgb="FFF6F8F9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6F8F9"/>
          <bgColor rgb="FFF6F8F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74" formatCode="_ [$₹-4009]\ * #,##0.00_ ;_ [$₹-4009]\ * \-#,##0.00_ ;_ [$₹-4009]\ * &quot;-&quot;??_ ;_ @_ 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7" formatCode="d&quot;-&quot;mmm&quot;-&quot;yyyy"/>
      <fill>
        <patternFill patternType="solid">
          <fgColor rgb="FFF6F8F9"/>
          <bgColor rgb="FFF6F8F9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6F8F9"/>
          <bgColor rgb="FFF6F8F9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6F8F9"/>
          <bgColor rgb="FFF6F8F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6F8F9"/>
          <bgColor rgb="FFF6F8F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6F8F9"/>
          <bgColor rgb="FFF6F8F9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FFF00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6F8F9"/>
          <bgColor rgb="FFF6F8F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6F8F9"/>
          <bgColor rgb="FFF6F8F9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6F8F9"/>
          <bgColor rgb="FFF6F8F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6F8F9"/>
          <bgColor rgb="FFF6F8F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6F8F9"/>
          <bgColor rgb="FFF6F8F9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6F8F9"/>
          <bgColor rgb="FFF6F8F9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7" formatCode="d&quot;-&quot;mmm&quot;-&quot;yyyy"/>
      <fill>
        <patternFill patternType="solid">
          <fgColor rgb="FFF6F8F9"/>
          <bgColor rgb="FFF6F8F9"/>
        </patternFill>
      </fill>
      <alignment horizontal="right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6F8F9"/>
          <bgColor rgb="FFF6F8F9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7F7F7F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/>
        <bottom/>
      </border>
    </dxf>
    <dxf>
      <fill>
        <patternFill patternType="solid">
          <fgColor rgb="FFB7E1CD"/>
          <bgColor rgb="FFB7E1CD"/>
        </patternFill>
      </fill>
    </dxf>
    <dxf>
      <font>
        <b/>
        <i val="0"/>
        <color rgb="FF7030A0"/>
      </font>
      <fill>
        <patternFill patternType="solid">
          <bgColor theme="8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1"/>
      </font>
      <fill>
        <patternFill patternType="solid"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1"/>
      </font>
      <fill>
        <patternFill patternType="solid"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C00000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C00000"/>
      </font>
      <fill>
        <patternFill patternType="solid">
          <bgColor theme="8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3"/>
      </font>
      <fill>
        <patternFill patternType="solid"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70C0"/>
      </font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C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theme="1" tint="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color rgb="FF7030A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7030A0"/>
      </font>
      <fill>
        <patternFill patternType="solid"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 patternType="solid"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color theme="1"/>
      </font>
      <fill>
        <patternFill patternType="solid"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/>
        <color theme="1"/>
      </font>
      <fill>
        <patternFill patternType="solid"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1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C00000"/>
      </font>
      <fill>
        <patternFill patternType="solid">
          <bgColor theme="2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1"/>
      </font>
      <fill>
        <patternFill patternType="solid"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1"/>
      </font>
      <fill>
        <patternFill patternType="solid"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C00000"/>
      </font>
      <fill>
        <patternFill patternType="solid">
          <bgColor theme="8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3"/>
      </font>
      <fill>
        <patternFill patternType="solid"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E5DFEC"/>
          <bgColor rgb="FFE5DFEC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5B8B7"/>
          <bgColor rgb="FFE5B8B7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AEEF3"/>
          <bgColor rgb="FFDAEEF3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</dxfs>
  <tableStyles count="12">
    <tableStyle name="Lead Tracker-style" pivot="0" count="4" xr9:uid="{00000000-0011-0000-FFFF-FFFF00000000}">
      <tableStyleElement type="wholeTable" size="0" dxfId="90"/>
      <tableStyleElement type="headerRow" dxfId="89"/>
      <tableStyleElement type="firstRowStripe" dxfId="88"/>
      <tableStyleElement type="secondRowStripe" dxfId="87"/>
    </tableStyle>
    <tableStyle name="DATA SHEET-style" pivot="0" count="4" xr9:uid="{00000000-0011-0000-FFFF-FFFF01000000}">
      <tableStyleElement type="headerRow" dxfId="86"/>
      <tableStyleElement type="totalRow" dxfId="85"/>
      <tableStyleElement type="firstRowStripe" dxfId="84"/>
      <tableStyleElement type="secondRowStripe" dxfId="83"/>
    </tableStyle>
    <tableStyle name="DATA SHEET-style 2" pivot="0" count="3" xr9:uid="{00000000-0011-0000-FFFF-FFFF02000000}">
      <tableStyleElement type="headerRow" dxfId="82"/>
      <tableStyleElement type="firstRowStripe" dxfId="81"/>
      <tableStyleElement type="secondRowStripe" dxfId="80"/>
    </tableStyle>
    <tableStyle name="DATA SHEET-style 3" pivot="0" count="3" xr9:uid="{00000000-0011-0000-FFFF-FFFF03000000}">
      <tableStyleElement type="headerRow" dxfId="79"/>
      <tableStyleElement type="firstRowStripe" dxfId="78"/>
      <tableStyleElement type="secondRowStripe" dxfId="77"/>
    </tableStyle>
    <tableStyle name="DATA SHEET-style 4" pivot="0" count="4" xr9:uid="{00000000-0011-0000-FFFF-FFFF04000000}">
      <tableStyleElement type="headerRow" dxfId="76"/>
      <tableStyleElement type="totalRow" dxfId="75"/>
      <tableStyleElement type="firstRowStripe" dxfId="74"/>
      <tableStyleElement type="secondRowStripe" dxfId="73"/>
    </tableStyle>
    <tableStyle name="DATA SHEET-style 5" pivot="0" count="4" xr9:uid="{00000000-0011-0000-FFFF-FFFF05000000}">
      <tableStyleElement type="headerRow" dxfId="72"/>
      <tableStyleElement type="totalRow" dxfId="71"/>
      <tableStyleElement type="firstRowStripe" dxfId="70"/>
      <tableStyleElement type="secondRowStripe" dxfId="69"/>
    </tableStyle>
    <tableStyle name="DATA SHEET-style 6" pivot="0" count="3" xr9:uid="{00000000-0011-0000-FFFF-FFFF06000000}">
      <tableStyleElement type="headerRow" dxfId="68"/>
      <tableStyleElement type="firstRowStripe" dxfId="67"/>
      <tableStyleElement type="secondRowStripe" dxfId="66"/>
    </tableStyle>
    <tableStyle name="DATA SHEET-style 7" pivot="0" count="3" xr9:uid="{00000000-0011-0000-FFFF-FFFF07000000}">
      <tableStyleElement type="headerRow" dxfId="65"/>
      <tableStyleElement type="firstRowStripe" dxfId="64"/>
      <tableStyleElement type="secondRowStripe" dxfId="63"/>
    </tableStyle>
    <tableStyle name="DATA SHEET-style 8" pivot="0" count="3" xr9:uid="{00000000-0011-0000-FFFF-FFFF08000000}">
      <tableStyleElement type="headerRow" dxfId="62"/>
      <tableStyleElement type="firstRowStripe" dxfId="61"/>
      <tableStyleElement type="secondRowStripe" dxfId="60"/>
    </tableStyle>
    <tableStyle name="DATA SHEET-style 9" pivot="0" count="3" xr9:uid="{00000000-0011-0000-FFFF-FFFF09000000}">
      <tableStyleElement type="headerRow" dxfId="59"/>
      <tableStyleElement type="firstRowStripe" dxfId="58"/>
      <tableStyleElement type="secondRowStripe" dxfId="57"/>
    </tableStyle>
    <tableStyle name="DASHBOARD (2)-style" pivot="0" count="3" xr9:uid="{00000000-0011-0000-FFFF-FFFF0A000000}">
      <tableStyleElement type="headerRow" dxfId="56"/>
      <tableStyleElement type="firstRowStripe" dxfId="55"/>
      <tableStyleElement type="secondRowStripe" dxfId="54"/>
    </tableStyle>
    <tableStyle name="SUMMARY-style" pivot="0" count="3" xr9:uid="{00000000-0011-0000-FFFF-FFFF0B000000}">
      <tableStyleElement type="headerRow" dxfId="53"/>
      <tableStyleElement type="firstRowStripe" dxfId="52"/>
      <tableStyleElement type="secondRowStripe" dxfId="5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lang="en-US" sz="1600" b="1" i="0">
                <a:solidFill>
                  <a:srgbClr val="757575"/>
                </a:solidFill>
                <a:latin typeface="+mn-lt"/>
              </a:rPr>
              <a:t>SALES OVERVIEW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23568459832535979"/>
          <c:y val="0.21474885444495684"/>
          <c:w val="0.60548832571242739"/>
          <c:h val="0.7852511455550431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2891-45A4-B922-F15949AB59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2891-45A4-B922-F15949AB59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2891-45A4-B922-F15949AB59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2891-45A4-B922-F15949AB59D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2891-45A4-B922-F15949AB59D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B-2891-45A4-B922-F15949AB59DA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4F81BD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891-45A4-B922-F15949AB59DA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C0504D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2891-45A4-B922-F15949AB59DA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7030A0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2891-45A4-B922-F15949AB59DA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 lvl="0">
                    <a:defRPr sz="1000" b="1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2891-45A4-B922-F15949AB59DA}"/>
                </c:ext>
              </c:extLst>
            </c:dLbl>
            <c:dLbl>
              <c:idx val="4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4BACC6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2891-45A4-B922-F15949AB59DA}"/>
                </c:ext>
              </c:extLst>
            </c:dLbl>
            <c:dLbl>
              <c:idx val="5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7030A0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2891-45A4-B922-F15949AB59D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'DATA SHEET'!$G$3:$G$8</c:f>
              <c:strCache>
                <c:ptCount val="6"/>
                <c:pt idx="0">
                  <c:v>REFRENCE</c:v>
                </c:pt>
                <c:pt idx="1">
                  <c:v>EXISTING CUS.</c:v>
                </c:pt>
                <c:pt idx="2">
                  <c:v>MAIL</c:v>
                </c:pt>
                <c:pt idx="3">
                  <c:v>INDIAMART</c:v>
                </c:pt>
                <c:pt idx="4">
                  <c:v>OUT SOURCE</c:v>
                </c:pt>
                <c:pt idx="5">
                  <c:v>TRADEINDIA </c:v>
                </c:pt>
              </c:strCache>
            </c:strRef>
          </c:cat>
          <c:val>
            <c:numRef>
              <c:f>'DATA SHEET'!$H$3:$H$8</c:f>
              <c:numCache>
                <c:formatCode>General</c:formatCode>
                <c:ptCount val="6"/>
                <c:pt idx="0">
                  <c:v>37</c:v>
                </c:pt>
                <c:pt idx="1">
                  <c:v>22</c:v>
                </c:pt>
                <c:pt idx="2">
                  <c:v>149</c:v>
                </c:pt>
                <c:pt idx="3">
                  <c:v>332</c:v>
                </c:pt>
                <c:pt idx="4">
                  <c:v>1</c:v>
                </c:pt>
                <c:pt idx="5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891-45A4-B922-F15949AB5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ENQUIRY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SHEET'!$G$11:$G$19</c:f>
              <c:strCache>
                <c:ptCount val="9"/>
                <c:pt idx="0">
                  <c:v>NEW</c:v>
                </c:pt>
                <c:pt idx="1">
                  <c:v>WIN</c:v>
                </c:pt>
                <c:pt idx="2">
                  <c:v>LOST</c:v>
                </c:pt>
                <c:pt idx="3">
                  <c:v>CONTACTED</c:v>
                </c:pt>
                <c:pt idx="4">
                  <c:v>NOT INTERESTED</c:v>
                </c:pt>
                <c:pt idx="5">
                  <c:v>SITE VISIT REQ.</c:v>
                </c:pt>
                <c:pt idx="6">
                  <c:v>QUOTATION REQ.</c:v>
                </c:pt>
                <c:pt idx="7">
                  <c:v>NOT RECEIVED</c:v>
                </c:pt>
                <c:pt idx="8">
                  <c:v>FAKE</c:v>
                </c:pt>
              </c:strCache>
            </c:strRef>
          </c:cat>
          <c:val>
            <c:numRef>
              <c:f>'DATA SHEET'!$H$11:$H$19</c:f>
              <c:numCache>
                <c:formatCode>General</c:formatCode>
                <c:ptCount val="9"/>
                <c:pt idx="0">
                  <c:v>8</c:v>
                </c:pt>
                <c:pt idx="1">
                  <c:v>28</c:v>
                </c:pt>
                <c:pt idx="2">
                  <c:v>14</c:v>
                </c:pt>
                <c:pt idx="3">
                  <c:v>62</c:v>
                </c:pt>
                <c:pt idx="4">
                  <c:v>119</c:v>
                </c:pt>
                <c:pt idx="5">
                  <c:v>3</c:v>
                </c:pt>
                <c:pt idx="6">
                  <c:v>23</c:v>
                </c:pt>
                <c:pt idx="7">
                  <c:v>115</c:v>
                </c:pt>
                <c:pt idx="8">
                  <c:v>165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DD5-4FA1-BAC7-6686A3517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8337390"/>
        <c:axId val="263898498"/>
      </c:barChart>
      <c:catAx>
        <c:axId val="13783373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3898498"/>
        <c:crosses val="autoZero"/>
        <c:auto val="1"/>
        <c:lblAlgn val="ctr"/>
        <c:lblOffset val="100"/>
        <c:noMultiLvlLbl val="1"/>
      </c:catAx>
      <c:valAx>
        <c:axId val="2638984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833739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Cambria"/>
              </a:defRPr>
            </a:pPr>
            <a:r>
              <a:rPr lang="en-US" sz="2000" b="0" i="0">
                <a:solidFill>
                  <a:srgbClr val="757575"/>
                </a:solidFill>
                <a:latin typeface="Cambria"/>
              </a:rPr>
              <a:t>LEAD OWNER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MALLESH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SHEET'!$L$3</c:f>
              <c:numCache>
                <c:formatCode>General</c:formatCode>
                <c:ptCount val="1"/>
                <c:pt idx="0">
                  <c:v>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6EE-4829-86A3-9066A8D4A17B}"/>
            </c:ext>
          </c:extLst>
        </c:ser>
        <c:ser>
          <c:idx val="1"/>
          <c:order val="1"/>
          <c:tx>
            <c:v>RAVI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SHEET'!$L$4</c:f>
              <c:numCache>
                <c:formatCode>General</c:formatCode>
                <c:ptCount val="1"/>
                <c:pt idx="0">
                  <c:v>128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6EE-4829-86A3-9066A8D4A17B}"/>
            </c:ext>
          </c:extLst>
        </c:ser>
        <c:ser>
          <c:idx val="2"/>
          <c:order val="2"/>
          <c:tx>
            <c:v>HARSH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SHEET'!$L$5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6EE-4829-86A3-9066A8D4A17B}"/>
            </c:ext>
          </c:extLst>
        </c:ser>
        <c:ser>
          <c:idx val="3"/>
          <c:order val="3"/>
          <c:tx>
            <c:v>VIVEK</c:v>
          </c:tx>
          <c:spPr>
            <a:solidFill>
              <a:srgbClr val="8064A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SHEET'!$L$6</c:f>
              <c:numCache>
                <c:formatCode>General</c:formatCode>
                <c:ptCount val="1"/>
                <c:pt idx="0">
                  <c:v>462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6EE-4829-86A3-9066A8D4A17B}"/>
            </c:ext>
          </c:extLst>
        </c:ser>
        <c:ser>
          <c:idx val="4"/>
          <c:order val="4"/>
          <c:tx>
            <c:v>SAKSHI</c:v>
          </c:tx>
          <c:spPr>
            <a:solidFill>
              <a:srgbClr val="4BACC6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SHEET'!$L$7</c:f>
              <c:numCache>
                <c:formatCode>General</c:formatCode>
                <c:ptCount val="1"/>
                <c:pt idx="0">
                  <c:v>202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06EE-4829-86A3-9066A8D4A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3753796"/>
        <c:axId val="413330969"/>
      </c:barChart>
      <c:catAx>
        <c:axId val="19537537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13330969"/>
        <c:crosses val="autoZero"/>
        <c:auto val="1"/>
        <c:lblAlgn val="ctr"/>
        <c:lblOffset val="100"/>
        <c:noMultiLvlLbl val="1"/>
      </c:catAx>
      <c:valAx>
        <c:axId val="4133309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53753796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lang="en-US" sz="1600" b="1" i="0">
                <a:solidFill>
                  <a:srgbClr val="757575"/>
                </a:solidFill>
                <a:latin typeface="+mn-lt"/>
              </a:rPr>
              <a:t>QUOTATION STATUS</a:t>
            </a:r>
          </a:p>
        </c:rich>
      </c:tx>
      <c:layout>
        <c:manualLayout>
          <c:xMode val="edge"/>
          <c:yMode val="edge"/>
          <c:x val="0.32367827445820602"/>
          <c:y val="3.7669947810133213E-2"/>
        </c:manualLayout>
      </c:layout>
      <c:overlay val="0"/>
    </c:title>
    <c:autoTitleDeleted val="0"/>
    <c:plotArea>
      <c:layout>
        <c:manualLayout>
          <c:xMode val="edge"/>
          <c:yMode val="edge"/>
          <c:x val="5.4794311229213834E-2"/>
          <c:y val="0.133495005653744"/>
          <c:w val="0.60409955642813407"/>
          <c:h val="0.81530399729464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9E0F-4569-BF73-0C392F318B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9E0F-4569-BF73-0C392F318B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9E0F-4569-BF73-0C392F318B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9E0F-4569-BF73-0C392F318B7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9E0F-4569-BF73-0C392F318B7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B-9E0F-4569-BF73-0C392F318B73}"/>
              </c:ext>
            </c:extLst>
          </c:dPt>
          <c:dPt>
            <c:idx val="6"/>
            <c:bubble3D val="0"/>
            <c:spPr>
              <a:solidFill>
                <a:srgbClr val="84A7D1"/>
              </a:solidFill>
            </c:spPr>
            <c:extLst>
              <c:ext xmlns:c16="http://schemas.microsoft.com/office/drawing/2014/chart" uri="{C3380CC4-5D6E-409C-BE32-E72D297353CC}">
                <c16:uniqueId val="{0000000D-9E0F-4569-BF73-0C392F318B73}"/>
              </c:ext>
            </c:extLst>
          </c:dPt>
          <c:dPt>
            <c:idx val="7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F-9E0F-4569-BF73-0C392F318B73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4F81BD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E0F-4569-BF73-0C392F318B73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C0504D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9E0F-4569-BF73-0C392F318B73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9BBB59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9E0F-4569-BF73-0C392F318B73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8064A2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9E0F-4569-BF73-0C392F318B73}"/>
                </c:ext>
              </c:extLst>
            </c:dLbl>
            <c:dLbl>
              <c:idx val="4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4BACC6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9E0F-4569-BF73-0C392F318B73}"/>
                </c:ext>
              </c:extLst>
            </c:dLbl>
            <c:dLbl>
              <c:idx val="5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F79646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9E0F-4569-BF73-0C392F318B73}"/>
                </c:ext>
              </c:extLst>
            </c:dLbl>
            <c:dLbl>
              <c:idx val="6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7030A0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9E0F-4569-BF73-0C392F318B73}"/>
                </c:ext>
              </c:extLst>
            </c:dLbl>
            <c:dLbl>
              <c:idx val="7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C0504D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9E0F-4569-BF73-0C392F318B7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'DATA SHEET'!$G$27:$G$34</c:f>
              <c:strCache>
                <c:ptCount val="8"/>
                <c:pt idx="0">
                  <c:v>Quotation Sent</c:v>
                </c:pt>
                <c:pt idx="1">
                  <c:v>Clarification Pending</c:v>
                </c:pt>
                <c:pt idx="2">
                  <c:v>Discussion Ongoing</c:v>
                </c:pt>
                <c:pt idx="3">
                  <c:v>On Hold</c:v>
                </c:pt>
                <c:pt idx="4">
                  <c:v>PO Received</c:v>
                </c:pt>
                <c:pt idx="5">
                  <c:v>Closed</c:v>
                </c:pt>
                <c:pt idx="6">
                  <c:v>In Progress</c:v>
                </c:pt>
                <c:pt idx="7">
                  <c:v>NA</c:v>
                </c:pt>
              </c:strCache>
            </c:strRef>
          </c:cat>
          <c:val>
            <c:numRef>
              <c:f>'DATA SHEET'!$H$27:$H$34</c:f>
              <c:numCache>
                <c:formatCode>General</c:formatCode>
                <c:ptCount val="8"/>
                <c:pt idx="0">
                  <c:v>134</c:v>
                </c:pt>
                <c:pt idx="1">
                  <c:v>14</c:v>
                </c:pt>
                <c:pt idx="2">
                  <c:v>18</c:v>
                </c:pt>
                <c:pt idx="3">
                  <c:v>2</c:v>
                </c:pt>
                <c:pt idx="4">
                  <c:v>27</c:v>
                </c:pt>
                <c:pt idx="5">
                  <c:v>16</c:v>
                </c:pt>
                <c:pt idx="6">
                  <c:v>7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E0F-4569-BF73-0C392F318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CRANES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Modification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'DATA SHEET'!$L$21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F7E-48F9-9D5A-A71A96D08C5B}"/>
            </c:ext>
          </c:extLst>
        </c:ser>
        <c:ser>
          <c:idx val="1"/>
          <c:order val="1"/>
          <c:tx>
            <c:v>LCS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SHEET'!$L$22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F7E-48F9-9D5A-A71A96D08C5B}"/>
            </c:ext>
          </c:extLst>
        </c:ser>
        <c:ser>
          <c:idx val="2"/>
          <c:order val="2"/>
          <c:tx>
            <c:v>Monorail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SHEET'!$L$23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F7E-48F9-9D5A-A71A96D08C5B}"/>
            </c:ext>
          </c:extLst>
        </c:ser>
        <c:ser>
          <c:idx val="3"/>
          <c:order val="3"/>
          <c:tx>
            <c:v>EOT Crane</c:v>
          </c:tx>
          <c:spPr>
            <a:solidFill>
              <a:srgbClr val="8064A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SHEET'!$L$24</c:f>
              <c:numCache>
                <c:formatCode>General</c:formatCode>
                <c:ptCount val="1"/>
                <c:pt idx="0">
                  <c:v>226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F7E-48F9-9D5A-A71A96D08C5B}"/>
            </c:ext>
          </c:extLst>
        </c:ser>
        <c:ser>
          <c:idx val="4"/>
          <c:order val="4"/>
          <c:tx>
            <c:v>Jib Crane</c:v>
          </c:tx>
          <c:spPr>
            <a:solidFill>
              <a:srgbClr val="4BACC6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SHEET'!$L$25</c:f>
              <c:numCache>
                <c:formatCode>General</c:formatCode>
                <c:ptCount val="1"/>
                <c:pt idx="0">
                  <c:v>183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5F7E-48F9-9D5A-A71A96D08C5B}"/>
            </c:ext>
          </c:extLst>
        </c:ser>
        <c:ser>
          <c:idx val="5"/>
          <c:order val="5"/>
          <c:tx>
            <c:v>Hoist</c:v>
          </c:tx>
          <c:spPr>
            <a:solidFill>
              <a:srgbClr val="F79646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SHEET'!$L$26</c:f>
              <c:numCache>
                <c:formatCode>General</c:formatCode>
                <c:ptCount val="1"/>
                <c:pt idx="0">
                  <c:v>185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5F7E-48F9-9D5A-A71A96D08C5B}"/>
            </c:ext>
          </c:extLst>
        </c:ser>
        <c:ser>
          <c:idx val="6"/>
          <c:order val="6"/>
          <c:tx>
            <c:v>Gantry Crane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SHEET'!$L$27</c:f>
              <c:numCache>
                <c:formatCode>General</c:formatCode>
                <c:ptCount val="1"/>
                <c:pt idx="0">
                  <c:v>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5F7E-48F9-9D5A-A71A96D08C5B}"/>
            </c:ext>
          </c:extLst>
        </c:ser>
        <c:ser>
          <c:idx val="7"/>
          <c:order val="7"/>
          <c:tx>
            <c:v>Manipulator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SHEET'!$L$28</c:f>
              <c:numCache>
                <c:formatCode>General</c:formatCode>
                <c:ptCount val="1"/>
                <c:pt idx="0">
                  <c:v>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5F7E-48F9-9D5A-A71A96D08C5B}"/>
            </c:ext>
          </c:extLst>
        </c:ser>
        <c:ser>
          <c:idx val="8"/>
          <c:order val="8"/>
          <c:tx>
            <c:v>Scissor Lifter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'DATA SHEET'!$L$29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5F7E-48F9-9D5A-A71A96D08C5B}"/>
            </c:ext>
          </c:extLst>
        </c:ser>
        <c:ser>
          <c:idx val="9"/>
          <c:order val="9"/>
          <c:tx>
            <c:v>#REF!</c:v>
          </c:tx>
          <c:spPr>
            <a:solidFill>
              <a:srgbClr val="8064A2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'DATA SHEET'!$L$30</c:f>
              <c:numCache>
                <c:formatCode>General</c:formatCode>
                <c:ptCount val="1"/>
                <c:pt idx="0">
                  <c:v>104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5F7E-48F9-9D5A-A71A96D08C5B}"/>
            </c:ext>
          </c:extLst>
        </c:ser>
        <c:ser>
          <c:idx val="10"/>
          <c:order val="10"/>
          <c:tx>
            <c:v>Others</c:v>
          </c:tx>
          <c:spPr>
            <a:solidFill>
              <a:srgbClr val="4BACC6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'DATA SHEET'!$L$31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5F7E-48F9-9D5A-A71A96D08C5B}"/>
            </c:ext>
          </c:extLst>
        </c:ser>
        <c:ser>
          <c:idx val="11"/>
          <c:order val="11"/>
          <c:tx>
            <c:v>Underslung</c:v>
          </c:tx>
          <c:spPr>
            <a:solidFill>
              <a:srgbClr val="F79646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'DATA SHEET'!$L$32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5F7E-48F9-9D5A-A71A96D08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3261795"/>
        <c:axId val="748539288"/>
      </c:barChart>
      <c:catAx>
        <c:axId val="16932617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48539288"/>
        <c:crosses val="autoZero"/>
        <c:auto val="1"/>
        <c:lblAlgn val="ctr"/>
        <c:lblOffset val="100"/>
        <c:noMultiLvlLbl val="1"/>
      </c:catAx>
      <c:valAx>
        <c:axId val="7485392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9326179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304800</xdr:colOff>
      <xdr:row>5</xdr:row>
      <xdr:rowOff>95250</xdr:rowOff>
    </xdr:from>
    <xdr:ext cx="4686300" cy="45243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304800</xdr:colOff>
      <xdr:row>32</xdr:row>
      <xdr:rowOff>19050</xdr:rowOff>
    </xdr:from>
    <xdr:ext cx="9972675" cy="39243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152400</xdr:colOff>
      <xdr:row>29</xdr:row>
      <xdr:rowOff>133350</xdr:rowOff>
    </xdr:from>
    <xdr:ext cx="7877175" cy="340042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15</xdr:col>
      <xdr:colOff>266700</xdr:colOff>
      <xdr:row>5</xdr:row>
      <xdr:rowOff>76200</xdr:rowOff>
    </xdr:from>
    <xdr:ext cx="5200650" cy="452437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142875</xdr:colOff>
      <xdr:row>49</xdr:row>
      <xdr:rowOff>161925</xdr:rowOff>
    </xdr:from>
    <xdr:ext cx="7896225" cy="3143250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</xdr:col>
      <xdr:colOff>466725</xdr:colOff>
      <xdr:row>5</xdr:row>
      <xdr:rowOff>76200</xdr:rowOff>
    </xdr:from>
    <xdr:ext cx="6677025" cy="4133850"/>
    <xdr:pic>
      <xdr:nvPicPr>
        <xdr:cNvPr id="1089490894" name="Chart6" title="Chart">
          <a:extLst>
            <a:ext uri="{FF2B5EF4-FFF2-40B4-BE49-F238E27FC236}">
              <a16:creationId xmlns:a16="http://schemas.microsoft.com/office/drawing/2014/main" id="{00000000-0008-0000-0200-0000CE4FF040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E96A801-7904-4578-A1C1-E103521E6D88}" name="FINALK" displayName="FINALK" ref="A1:S833" totalsRowShown="0" headerRowDxfId="28" tableBorderDxfId="27" headerRowCellStyle="Bad">
  <autoFilter ref="A1:S833" xr:uid="{3E96A801-7904-4578-A1C1-E103521E6D88}">
    <filterColumn colId="9">
      <filters>
        <filter val="NEW"/>
      </filters>
    </filterColumn>
    <filterColumn colId="12">
      <filters>
        <filter val="VIVEK"/>
      </filters>
    </filterColumn>
  </autoFilter>
  <sortState xmlns:xlrd2="http://schemas.microsoft.com/office/spreadsheetml/2017/richdata2" ref="A2:S832">
    <sortCondition ref="B1:B832"/>
  </sortState>
  <tableColumns count="19">
    <tableColumn id="1" xr3:uid="{3E4E9CE8-50D0-4B1D-84E2-E9FE507FF09A}" name="Sr no" dataDxfId="26">
      <calculatedColumnFormula>ROW()-1</calculatedColumnFormula>
    </tableColumn>
    <tableColumn id="2" xr3:uid="{DADE1B2A-7802-4137-9091-740E83A5BD39}" name="Date" dataDxfId="25"/>
    <tableColumn id="3" xr3:uid="{3B23AF65-02C7-4B81-BDDC-35CEBB428CC3}" name="Company Name" dataDxfId="24"/>
    <tableColumn id="4" xr3:uid="{E1D48677-A763-44FC-A556-B8172FD560A3}" name="Location" dataDxfId="23"/>
    <tableColumn id="5" xr3:uid="{83BC7E47-AE48-403C-9899-9B1DDDCD6D3A}" name="State" dataDxfId="22"/>
    <tableColumn id="6" xr3:uid="{FE926520-920C-4141-9F3A-A808A5A9B4B9}" name="Product Type" dataDxfId="21"/>
    <tableColumn id="7" xr3:uid="{96D1238B-7209-4E6F-8013-83F6A4C4DC8D}" name="Capacity / Specs" dataDxfId="20"/>
    <tableColumn id="8" xr3:uid="{46D70C22-C848-44E8-B17F-0468D4381123}" name="Phone" dataDxfId="19"/>
    <tableColumn id="9" xr3:uid="{8272033B-7F95-4C88-8C93-9B5BB1745A94}" name="Email"/>
    <tableColumn id="10" xr3:uid="{9437EC0A-EE8B-4248-B08B-F11F3484F33D}" name="Inquiry Status" dataDxfId="18"/>
    <tableColumn id="11" xr3:uid="{2E93D178-C084-4B7A-8BD9-B9E7631673EF}" name="Contact Person" dataDxfId="17"/>
    <tableColumn id="12" xr3:uid="{F8043018-27AE-474A-A3B3-AAF6AA304646}" name="Lead Source" dataDxfId="16"/>
    <tableColumn id="13" xr3:uid="{2D3CE357-D19B-4241-83A5-27A25ED25ECD}" name="Lead Owner" dataDxfId="15"/>
    <tableColumn id="14" xr3:uid="{C6766700-8F9E-4CA3-83A3-7D5D186595E0}" name="Quotation No" dataDxfId="14"/>
    <tableColumn id="15" xr3:uid="{262ED373-A2EB-497C-A779-BEE816CACD61}" name="Quotation Date" dataDxfId="13"/>
    <tableColumn id="16" xr3:uid="{B7A36034-278F-4FCD-8715-8A50B3159C32}" name="Order Value" dataDxfId="12"/>
    <tableColumn id="17" xr3:uid="{031CC790-A7C5-46EE-93FC-B8B3A2264603}" name="Quotation Status" dataDxfId="11"/>
    <tableColumn id="18" xr3:uid="{E63E288B-52A8-436F-9968-BEB592228FBF}" name="PO DATE" dataDxfId="10"/>
    <tableColumn id="19" xr3:uid="{1424B53C-0F42-47AD-AD01-5CD695AC8AB7}" name="Order Analysis" dataDxfId="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0" displayName="Table_10" ref="J3:L12">
  <tableColumns count="3">
    <tableColumn id="1" xr3:uid="{00000000-0010-0000-0A00-000001000000}" name="CONDITION "/>
    <tableColumn id="2" xr3:uid="{00000000-0010-0000-0A00-000002000000}" name="ORDERS NO"/>
    <tableColumn id="3" xr3:uid="{00000000-0010-0000-0A00-000003000000}" name="AMOUNT"/>
  </tableColumns>
  <tableStyleInfo name="DASHBOARD (2)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C2:D34" totalsRowCount="1">
  <tableColumns count="2">
    <tableColumn id="1" xr3:uid="{00000000-0010-0000-0100-000001000000}" name="STATES" totalsRowLabel="TOTAL LEADS"/>
    <tableColumn id="2" xr3:uid="{00000000-0010-0000-0100-000002000000}" name="No" totalsRowFunction="custom">
      <totalsRowFormula>SUBTOTAL(109,'DATA SHEET'!$D$3:$D$33)</totalsRowFormula>
    </tableColumn>
  </tableColumns>
  <tableStyleInfo name="DATA SHEET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G2:G8">
  <tableColumns count="1">
    <tableColumn id="1" xr3:uid="{00000000-0010-0000-0200-000001000000}" name="SALES OVERVIEW"/>
  </tableColumns>
  <tableStyleInfo name="DATA SHEET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3" displayName="Table_3" ref="K2:K7">
  <tableColumns count="1">
    <tableColumn id="1" xr3:uid="{00000000-0010-0000-0300-000001000000}" name="LEAD OWNER"/>
  </tableColumns>
  <tableStyleInfo name="DATA SHEET-style 3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4" displayName="Table_4" ref="N3:P11" totalsRowCount="1">
  <tableColumns count="3">
    <tableColumn id="1" xr3:uid="{00000000-0010-0000-0400-000001000000}" name="Day" totalsRowFunction="custom">
      <totalsRowFormula>SUBTOTAL(109,N4:N10)</totalsRowFormula>
    </tableColumn>
    <tableColumn id="2" xr3:uid="{00000000-0010-0000-0400-000002000000}" name="NOS" totalsRowFunction="custom">
      <totalsRowFormula>SUBTOTAL(109,O4:O10)</totalsRowFormula>
    </tableColumn>
    <tableColumn id="3" xr3:uid="{00000000-0010-0000-0400-000003000000}" name="Amount Formula" totalsRowFunction="custom">
      <totalsRowFormula>SUM(P4:P10)</totalsRowFormula>
    </tableColumn>
  </tableColumns>
  <tableStyleInfo name="DATA SHEET-style 4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5" displayName="Table_5" ref="R3:T17" totalsRowCount="1">
  <tableColumns count="3">
    <tableColumn id="1" xr3:uid="{00000000-0010-0000-0500-000001000000}" name="Month"/>
    <tableColumn id="2" xr3:uid="{00000000-0010-0000-0500-000002000000}" name="NOS" totalsRowFunction="custom">
      <totalsRowFormula>SUBTOTAL(109,S4:S16)</totalsRowFormula>
    </tableColumn>
    <tableColumn id="3" xr3:uid="{00000000-0010-0000-0500-000003000000}" name="Amount Formula" totalsRowFunction="custom">
      <totalsRowFormula>SUBTOTAL(109,T4:T16)</totalsRowFormula>
    </tableColumn>
  </tableColumns>
  <tableStyleInfo name="DATA SHEET-style 5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6" displayName="Table_6" ref="G10:G23">
  <tableColumns count="1">
    <tableColumn id="1" xr3:uid="{00000000-0010-0000-0600-000001000000}" name="INQUIRY"/>
  </tableColumns>
  <tableStyleInfo name="DATA SHEET-style 6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7" displayName="Table_7" ref="K20:L33">
  <tableColumns count="2">
    <tableColumn id="1" xr3:uid="{00000000-0010-0000-0700-000001000000}" name="TYPES OF CRANES"/>
    <tableColumn id="2" xr3:uid="{00000000-0010-0000-0700-000002000000}" name="NOS"/>
  </tableColumns>
  <tableStyleInfo name="DATA SHEET-style 7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8" displayName="Table_8" ref="G26:H34">
  <tableColumns count="2">
    <tableColumn id="1" xr3:uid="{00000000-0010-0000-0800-000001000000}" name="Quotation Status"/>
    <tableColumn id="2" xr3:uid="{00000000-0010-0000-0800-000002000000}" name="NOS"/>
  </tableColumns>
  <tableStyleInfo name="DATA SHEET-style 8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9" displayName="Table_9" ref="G37:G48">
  <tableColumns count="1">
    <tableColumn id="1" xr3:uid="{00000000-0010-0000-0900-000001000000}" name="INQUIRY"/>
  </tableColumns>
  <tableStyleInfo name="DATA SHEET-style 9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1" displayName="Table_11" ref="F3:Q10">
  <tableColumns count="12">
    <tableColumn id="1" xr3:uid="{00000000-0010-0000-0B00-000001000000}" name="NEW"/>
    <tableColumn id="2" xr3:uid="{00000000-0010-0000-0B00-000002000000}" name="WIN"/>
    <tableColumn id="3" xr3:uid="{00000000-0010-0000-0B00-000003000000}" name="LOST"/>
    <tableColumn id="4" xr3:uid="{00000000-0010-0000-0B00-000004000000}" name="CONTACTED"/>
    <tableColumn id="5" xr3:uid="{00000000-0010-0000-0B00-000005000000}" name="NOT INTERESTED"/>
    <tableColumn id="6" xr3:uid="{00000000-0010-0000-0B00-000006000000}" name="SITE VISIT REQ."/>
    <tableColumn id="7" xr3:uid="{00000000-0010-0000-0B00-000007000000}" name="QUOTATION REQ."/>
    <tableColumn id="8" xr3:uid="{00000000-0010-0000-0B00-000008000000}" name="NOT RECEIVED"/>
    <tableColumn id="9" xr3:uid="{00000000-0010-0000-0B00-000009000000}" name="CLOSED"/>
    <tableColumn id="10" xr3:uid="{00000000-0010-0000-0B00-00000A000000}" name="FAKE"/>
    <tableColumn id="11" xr3:uid="{00000000-0010-0000-0B00-00000B000000}" name="FULFILLED"/>
    <tableColumn id="12" xr3:uid="{00000000-0010-0000-0B00-00000C000000}" name="QUOTATION SHARED"/>
  </tableColumns>
  <tableStyleInfo name="SUMMAR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F3C7B40-8DC0-49AB-9701-7844691917CA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hr@sgcontrol.net" TargetMode="External"/><Relationship Id="rId21" Type="http://schemas.openxmlformats.org/officeDocument/2006/relationships/hyperlink" Target="mailto:arjunkurhade66967@gmail.com" TargetMode="External"/><Relationship Id="rId42" Type="http://schemas.openxmlformats.org/officeDocument/2006/relationships/hyperlink" Target="mailto:shindeabhishek004@gmail.com" TargetMode="External"/><Relationship Id="rId63" Type="http://schemas.openxmlformats.org/officeDocument/2006/relationships/hyperlink" Target="mailto:gaurav.dare.111@gmail.om" TargetMode="External"/><Relationship Id="rId84" Type="http://schemas.openxmlformats.org/officeDocument/2006/relationships/hyperlink" Target="mailto:anand902830@gmail.com" TargetMode="External"/><Relationship Id="rId138" Type="http://schemas.openxmlformats.org/officeDocument/2006/relationships/hyperlink" Target="about:blank" TargetMode="External"/><Relationship Id="rId159" Type="http://schemas.openxmlformats.org/officeDocument/2006/relationships/hyperlink" Target="mailto:Prashant.Dixit@tacogotion.com" TargetMode="External"/><Relationship Id="rId170" Type="http://schemas.openxmlformats.org/officeDocument/2006/relationships/hyperlink" Target="mailto:prahladsharma@merinoindia.com" TargetMode="External"/><Relationship Id="rId191" Type="http://schemas.openxmlformats.org/officeDocument/2006/relationships/hyperlink" Target="mailto:brijesh.patel@jsw.in" TargetMode="External"/><Relationship Id="rId205" Type="http://schemas.openxmlformats.org/officeDocument/2006/relationships/hyperlink" Target="mailto:krushna.y@ekamobility.com" TargetMode="External"/><Relationship Id="rId226" Type="http://schemas.openxmlformats.org/officeDocument/2006/relationships/hyperlink" Target="mailto:vishal.kulkarni@nidec-ga.com" TargetMode="External"/><Relationship Id="rId107" Type="http://schemas.openxmlformats.org/officeDocument/2006/relationships/hyperlink" Target="mailto:msstore24@gmail.com" TargetMode="External"/><Relationship Id="rId11" Type="http://schemas.openxmlformats.org/officeDocument/2006/relationships/hyperlink" Target="mailto:pmtdel@pmtcoltd.com" TargetMode="External"/><Relationship Id="rId32" Type="http://schemas.openxmlformats.org/officeDocument/2006/relationships/hyperlink" Target="mailto:marketingplus.gg@gmail.com" TargetMode="External"/><Relationship Id="rId53" Type="http://schemas.openxmlformats.org/officeDocument/2006/relationships/hyperlink" Target="mailto:kishor.nirmal@sanygroup.com" TargetMode="External"/><Relationship Id="rId74" Type="http://schemas.openxmlformats.org/officeDocument/2006/relationships/hyperlink" Target="mailto:gujar.pur@araiindia.com" TargetMode="External"/><Relationship Id="rId128" Type="http://schemas.openxmlformats.org/officeDocument/2006/relationships/hyperlink" Target="mailto:syscon@batelco.com.bh" TargetMode="External"/><Relationship Id="rId149" Type="http://schemas.openxmlformats.org/officeDocument/2006/relationships/hyperlink" Target="mailto:Vinod.Accolade@gmail.com" TargetMode="External"/><Relationship Id="rId5" Type="http://schemas.openxmlformats.org/officeDocument/2006/relationships/hyperlink" Target="about:blank" TargetMode="External"/><Relationship Id="rId95" Type="http://schemas.openxmlformats.org/officeDocument/2006/relationships/hyperlink" Target="mailto:anantadesigns92@gmail.com" TargetMode="External"/><Relationship Id="rId160" Type="http://schemas.openxmlformats.org/officeDocument/2006/relationships/hyperlink" Target="mailto:jadhavajay2211@gmail.com" TargetMode="External"/><Relationship Id="rId181" Type="http://schemas.openxmlformats.org/officeDocument/2006/relationships/hyperlink" Target="mailto:syscon@batelco.com.bh" TargetMode="External"/><Relationship Id="rId216" Type="http://schemas.openxmlformats.org/officeDocument/2006/relationships/hyperlink" Target="mailto:akashsolanke693@gmail.com" TargetMode="External"/><Relationship Id="rId237" Type="http://schemas.openxmlformats.org/officeDocument/2006/relationships/hyperlink" Target="mailto:tantrahegde@gmail.com" TargetMode="External"/><Relationship Id="rId22" Type="http://schemas.openxmlformats.org/officeDocument/2006/relationships/hyperlink" Target="mailto:arvinddandwate2@gmail.com" TargetMode="External"/><Relationship Id="rId43" Type="http://schemas.openxmlformats.org/officeDocument/2006/relationships/hyperlink" Target="mailto:pareshb56@yahoo.co.in" TargetMode="External"/><Relationship Id="rId64" Type="http://schemas.openxmlformats.org/officeDocument/2006/relationships/hyperlink" Target="mailto:Rahulp@jendamark.in" TargetMode="External"/><Relationship Id="rId118" Type="http://schemas.openxmlformats.org/officeDocument/2006/relationships/hyperlink" Target="mailto:gk@bwcbah.com" TargetMode="External"/><Relationship Id="rId139" Type="http://schemas.openxmlformats.org/officeDocument/2006/relationships/hyperlink" Target="mailto:sblmeeena@gmail.com" TargetMode="External"/><Relationship Id="rId85" Type="http://schemas.openxmlformats.org/officeDocument/2006/relationships/hyperlink" Target="mailto:shivalondhe2@gmail.com" TargetMode="External"/><Relationship Id="rId150" Type="http://schemas.openxmlformats.org/officeDocument/2006/relationships/hyperlink" Target="mailto:sales.advikent19@gmail.com" TargetMode="External"/><Relationship Id="rId171" Type="http://schemas.openxmlformats.org/officeDocument/2006/relationships/hyperlink" Target="mailto:adiruenter@gmail.com" TargetMode="External"/><Relationship Id="rId192" Type="http://schemas.openxmlformats.org/officeDocument/2006/relationships/hyperlink" Target="file:///\\Desktop-rbnj87q\g\SAKSHI\2026-27%20Malgudi%20Pvt%20Ltd\186-EBNAR%20INDIA%20-10T%20SGEOT-30-May-26.pdf" TargetMode="External"/><Relationship Id="rId206" Type="http://schemas.openxmlformats.org/officeDocument/2006/relationships/hyperlink" Target="mailto:santosh@thesleepcompany.in" TargetMode="External"/><Relationship Id="rId227" Type="http://schemas.openxmlformats.org/officeDocument/2006/relationships/hyperlink" Target="mailto:mmmcompressormart@gmail.com" TargetMode="External"/><Relationship Id="rId12" Type="http://schemas.openxmlformats.org/officeDocument/2006/relationships/hyperlink" Target="mailto:yuvraj_kate84@rediffmail.com" TargetMode="External"/><Relationship Id="rId33" Type="http://schemas.openxmlformats.org/officeDocument/2006/relationships/hyperlink" Target="mailto:haidarali.darveshi@hyosung.com" TargetMode="External"/><Relationship Id="rId108" Type="http://schemas.openxmlformats.org/officeDocument/2006/relationships/hyperlink" Target="mailto:jkengg64@gmail.com" TargetMode="External"/><Relationship Id="rId129" Type="http://schemas.openxmlformats.org/officeDocument/2006/relationships/hyperlink" Target="mailto:rajrubberworks@gmail.com" TargetMode="External"/><Relationship Id="rId54" Type="http://schemas.openxmlformats.org/officeDocument/2006/relationships/hyperlink" Target="mailto:Bipin@as-cti.com" TargetMode="External"/><Relationship Id="rId75" Type="http://schemas.openxmlformats.org/officeDocument/2006/relationships/hyperlink" Target="mailto:utepl@utepl.com" TargetMode="External"/><Relationship Id="rId96" Type="http://schemas.openxmlformats.org/officeDocument/2006/relationships/hyperlink" Target="mailto:atharvachavan9000@gmail.com" TargetMode="External"/><Relationship Id="rId140" Type="http://schemas.openxmlformats.org/officeDocument/2006/relationships/hyperlink" Target="mailto:impdesign143@gmail.com" TargetMode="External"/><Relationship Id="rId161" Type="http://schemas.openxmlformats.org/officeDocument/2006/relationships/hyperlink" Target="mailto:hareshbasantani2612@gmail.com" TargetMode="External"/><Relationship Id="rId182" Type="http://schemas.openxmlformats.org/officeDocument/2006/relationships/hyperlink" Target="mailto:liftsafesales@gmail.com" TargetMode="External"/><Relationship Id="rId217" Type="http://schemas.openxmlformats.org/officeDocument/2006/relationships/hyperlink" Target="mailto:mayur.jagtap@winfastsolution.in" TargetMode="External"/><Relationship Id="rId6" Type="http://schemas.openxmlformats.org/officeDocument/2006/relationships/hyperlink" Target="mailto:anil.m@ekamobility.com" TargetMode="External"/><Relationship Id="rId238" Type="http://schemas.openxmlformats.org/officeDocument/2006/relationships/hyperlink" Target="mailto:yashpalsingh000007@gmail.com" TargetMode="External"/><Relationship Id="rId23" Type="http://schemas.openxmlformats.org/officeDocument/2006/relationships/hyperlink" Target="mailto:shubhamwadekar35968@gmail.com" TargetMode="External"/><Relationship Id="rId119" Type="http://schemas.openxmlformats.org/officeDocument/2006/relationships/hyperlink" Target="mailto:gk@bwcbah.com" TargetMode="External"/><Relationship Id="rId44" Type="http://schemas.openxmlformats.org/officeDocument/2006/relationships/hyperlink" Target="about:blank" TargetMode="External"/><Relationship Id="rId65" Type="http://schemas.openxmlformats.org/officeDocument/2006/relationships/hyperlink" Target="mailto:VShinde@tox-in.com" TargetMode="External"/><Relationship Id="rId86" Type="http://schemas.openxmlformats.org/officeDocument/2006/relationships/hyperlink" Target="mailto:liftsafesales@gmail.com" TargetMode="External"/><Relationship Id="rId130" Type="http://schemas.openxmlformats.org/officeDocument/2006/relationships/hyperlink" Target="mailto:sagar.satdive@in.gudel.com" TargetMode="External"/><Relationship Id="rId151" Type="http://schemas.openxmlformats.org/officeDocument/2006/relationships/hyperlink" Target="mailto:esipl@esipl.com" TargetMode="External"/><Relationship Id="rId172" Type="http://schemas.openxmlformats.org/officeDocument/2006/relationships/hyperlink" Target="mailto:abhishek@cyrus.co.in" TargetMode="External"/><Relationship Id="rId193" Type="http://schemas.openxmlformats.org/officeDocument/2006/relationships/hyperlink" Target="mailto:application1@armwelders.com" TargetMode="External"/><Relationship Id="rId207" Type="http://schemas.openxmlformats.org/officeDocument/2006/relationships/hyperlink" Target="mailto:syscon@batelco.com.bh" TargetMode="External"/><Relationship Id="rId228" Type="http://schemas.openxmlformats.org/officeDocument/2006/relationships/hyperlink" Target="mailto:dlashkare@hendrickson-intl.com" TargetMode="External"/><Relationship Id="rId13" Type="http://schemas.openxmlformats.org/officeDocument/2006/relationships/hyperlink" Target="mailto:nsnkarthik12@gmail.com" TargetMode="External"/><Relationship Id="rId109" Type="http://schemas.openxmlformats.org/officeDocument/2006/relationships/hyperlink" Target="mailto:naraexports786@gmail.com" TargetMode="External"/><Relationship Id="rId34" Type="http://schemas.openxmlformats.org/officeDocument/2006/relationships/hyperlink" Target="mailto:kamsiddha.lif@gmail.com" TargetMode="External"/><Relationship Id="rId55" Type="http://schemas.openxmlformats.org/officeDocument/2006/relationships/hyperlink" Target="mailto:vaibhav.randhave@cummins.com" TargetMode="External"/><Relationship Id="rId76" Type="http://schemas.openxmlformats.org/officeDocument/2006/relationships/hyperlink" Target="mailto:mechanize_ind@yahoo.com" TargetMode="External"/><Relationship Id="rId97" Type="http://schemas.openxmlformats.org/officeDocument/2006/relationships/hyperlink" Target="mailto:halcyongladiator@gmail.com" TargetMode="External"/><Relationship Id="rId120" Type="http://schemas.openxmlformats.org/officeDocument/2006/relationships/hyperlink" Target="mailto:sanjay.solanki1985@gmail.com" TargetMode="External"/><Relationship Id="rId141" Type="http://schemas.openxmlformats.org/officeDocument/2006/relationships/hyperlink" Target="mailto:telugufactsyt2001@gmail.com" TargetMode="External"/><Relationship Id="rId7" Type="http://schemas.openxmlformats.org/officeDocument/2006/relationships/hyperlink" Target="mailto:dangat9666@gmail.com" TargetMode="External"/><Relationship Id="rId162" Type="http://schemas.openxmlformats.org/officeDocument/2006/relationships/hyperlink" Target="mailto:hrushikesh023@gmail.com" TargetMode="External"/><Relationship Id="rId183" Type="http://schemas.openxmlformats.org/officeDocument/2006/relationships/hyperlink" Target="mailto:pmt_pur4@pmtmachines.com" TargetMode="External"/><Relationship Id="rId218" Type="http://schemas.openxmlformats.org/officeDocument/2006/relationships/hyperlink" Target="mailto:sales@shreejicorp.in" TargetMode="External"/><Relationship Id="rId239" Type="http://schemas.openxmlformats.org/officeDocument/2006/relationships/printerSettings" Target="../printerSettings/printerSettings1.bin"/><Relationship Id="rId24" Type="http://schemas.openxmlformats.org/officeDocument/2006/relationships/hyperlink" Target="mailto:mohmmad.aslam04@gmail.com" TargetMode="External"/><Relationship Id="rId45" Type="http://schemas.openxmlformats.org/officeDocument/2006/relationships/hyperlink" Target="mailto:dbcoe.chiefeng@gmail.com" TargetMode="External"/><Relationship Id="rId66" Type="http://schemas.openxmlformats.org/officeDocument/2006/relationships/hyperlink" Target="mailto:chintamani_industries@yahoo.com" TargetMode="External"/><Relationship Id="rId87" Type="http://schemas.openxmlformats.org/officeDocument/2006/relationships/hyperlink" Target="mailto:liftsafesales@gmail.com" TargetMode="External"/><Relationship Id="rId110" Type="http://schemas.openxmlformats.org/officeDocument/2006/relationships/hyperlink" Target="mailto:ckpatil.cp47@gmail.com" TargetMode="External"/><Relationship Id="rId131" Type="http://schemas.openxmlformats.org/officeDocument/2006/relationships/hyperlink" Target="mailto:appasaheb.mane@alpha-plan.in" TargetMode="External"/><Relationship Id="rId152" Type="http://schemas.openxmlformats.org/officeDocument/2006/relationships/hyperlink" Target="mailto:vishal.todkar1@indiamart.com" TargetMode="External"/><Relationship Id="rId173" Type="http://schemas.openxmlformats.org/officeDocument/2006/relationships/hyperlink" Target="mailto:deepak.rawat@windalsprecision.com" TargetMode="External"/><Relationship Id="rId194" Type="http://schemas.openxmlformats.org/officeDocument/2006/relationships/hyperlink" Target="mailto:sanjeev.verma@isgec.com" TargetMode="External"/><Relationship Id="rId208" Type="http://schemas.openxmlformats.org/officeDocument/2006/relationships/hyperlink" Target="mailto:sriramengineering2022@gmail.com" TargetMode="External"/><Relationship Id="rId229" Type="http://schemas.openxmlformats.org/officeDocument/2006/relationships/hyperlink" Target="mailto:appasaheb.mane@alpha-plan.in" TargetMode="External"/><Relationship Id="rId240" Type="http://schemas.openxmlformats.org/officeDocument/2006/relationships/table" Target="../tables/table1.xml"/><Relationship Id="rId14" Type="http://schemas.openxmlformats.org/officeDocument/2006/relationships/hyperlink" Target="mailto:enersys.pune@gmail.com" TargetMode="External"/><Relationship Id="rId35" Type="http://schemas.openxmlformats.org/officeDocument/2006/relationships/hyperlink" Target="mailto:rajiv.gaikwad@dynapac.com" TargetMode="External"/><Relationship Id="rId56" Type="http://schemas.openxmlformats.org/officeDocument/2006/relationships/hyperlink" Target="mailto:gaurav@orgogroup.in" TargetMode="External"/><Relationship Id="rId77" Type="http://schemas.openxmlformats.org/officeDocument/2006/relationships/hyperlink" Target="mailto:krunal.karande@gmail.com" TargetMode="External"/><Relationship Id="rId100" Type="http://schemas.openxmlformats.org/officeDocument/2006/relationships/hyperlink" Target="mailto:bibhishan.tambe@gmail.com" TargetMode="External"/><Relationship Id="rId8" Type="http://schemas.openxmlformats.org/officeDocument/2006/relationships/hyperlink" Target="mailto:atharvpasalkar146@gmail.com" TargetMode="External"/><Relationship Id="rId98" Type="http://schemas.openxmlformats.org/officeDocument/2006/relationships/hyperlink" Target="mailto:scgoyal6@gmail.com" TargetMode="External"/><Relationship Id="rId121" Type="http://schemas.openxmlformats.org/officeDocument/2006/relationships/hyperlink" Target="mailto:yashawantp756@gmail.com" TargetMode="External"/><Relationship Id="rId142" Type="http://schemas.openxmlformats.org/officeDocument/2006/relationships/hyperlink" Target="mailto:yogesh@devankitpower.com" TargetMode="External"/><Relationship Id="rId163" Type="http://schemas.openxmlformats.org/officeDocument/2006/relationships/hyperlink" Target="mailto:jsv@dtlpune.com" TargetMode="External"/><Relationship Id="rId184" Type="http://schemas.openxmlformats.org/officeDocument/2006/relationships/hyperlink" Target="mailto:achyut.jangale@kirloskar.com" TargetMode="External"/><Relationship Id="rId219" Type="http://schemas.openxmlformats.org/officeDocument/2006/relationships/hyperlink" Target="mailto:craneindustries19@gmail.com" TargetMode="External"/><Relationship Id="rId230" Type="http://schemas.openxmlformats.org/officeDocument/2006/relationships/hyperlink" Target="mailto:nmarane@ultracorpotech.com" TargetMode="External"/><Relationship Id="rId25" Type="http://schemas.openxmlformats.org/officeDocument/2006/relationships/hyperlink" Target="mailto:basirboghara26@gmail.com" TargetMode="External"/><Relationship Id="rId46" Type="http://schemas.openxmlformats.org/officeDocument/2006/relationships/hyperlink" Target="mailto:m_k_jaiswal@rediffmail.com" TargetMode="External"/><Relationship Id="rId67" Type="http://schemas.openxmlformats.org/officeDocument/2006/relationships/hyperlink" Target="mailto:pravin.belhekar@cummins.com" TargetMode="External"/><Relationship Id="rId88" Type="http://schemas.openxmlformats.org/officeDocument/2006/relationships/hyperlink" Target="mailto:prakash.achalkar@yahoo.com" TargetMode="External"/><Relationship Id="rId111" Type="http://schemas.openxmlformats.org/officeDocument/2006/relationships/hyperlink" Target="mailto:vishnu.rathod@meccalte.in" TargetMode="External"/><Relationship Id="rId132" Type="http://schemas.openxmlformats.org/officeDocument/2006/relationships/hyperlink" Target="mailto:achyut.jangale@kirloskar.com" TargetMode="External"/><Relationship Id="rId153" Type="http://schemas.openxmlformats.org/officeDocument/2006/relationships/hyperlink" Target="about:blank" TargetMode="External"/><Relationship Id="rId174" Type="http://schemas.openxmlformats.org/officeDocument/2006/relationships/hyperlink" Target="mailto:appasaheb.mane@alpha-plan.in" TargetMode="External"/><Relationship Id="rId195" Type="http://schemas.openxmlformats.org/officeDocument/2006/relationships/hyperlink" Target="mailto:VShinde@tox-in.com" TargetMode="External"/><Relationship Id="rId209" Type="http://schemas.openxmlformats.org/officeDocument/2006/relationships/hyperlink" Target="mailto:dheeraj.bhargave@jcb.com" TargetMode="External"/><Relationship Id="rId190" Type="http://schemas.openxmlformats.org/officeDocument/2006/relationships/hyperlink" Target="mailto:eki1@endo-india.co.in" TargetMode="External"/><Relationship Id="rId204" Type="http://schemas.openxmlformats.org/officeDocument/2006/relationships/hyperlink" Target="mailto:prashant.z@instorindia.com" TargetMode="External"/><Relationship Id="rId220" Type="http://schemas.openxmlformats.org/officeDocument/2006/relationships/hyperlink" Target="mailto:saitechcranes2021@gmail.com" TargetMode="External"/><Relationship Id="rId225" Type="http://schemas.openxmlformats.org/officeDocument/2006/relationships/hyperlink" Target="mailto:rajiv.gaikwad@dynapac.com" TargetMode="External"/><Relationship Id="rId15" Type="http://schemas.openxmlformats.org/officeDocument/2006/relationships/hyperlink" Target="about:blank" TargetMode="External"/><Relationship Id="rId36" Type="http://schemas.openxmlformats.org/officeDocument/2006/relationships/hyperlink" Target="about:blank" TargetMode="External"/><Relationship Id="rId57" Type="http://schemas.openxmlformats.org/officeDocument/2006/relationships/hyperlink" Target="mailto:eki1@endo-india.co.in" TargetMode="External"/><Relationship Id="rId106" Type="http://schemas.openxmlformats.org/officeDocument/2006/relationships/hyperlink" Target="mailto:mahendramore004@gmail.com" TargetMode="External"/><Relationship Id="rId127" Type="http://schemas.openxmlformats.org/officeDocument/2006/relationships/hyperlink" Target="mailto:gk@bwcbah.com" TargetMode="External"/><Relationship Id="rId10" Type="http://schemas.openxmlformats.org/officeDocument/2006/relationships/hyperlink" Target="mailto:-aakrutitooling@gmail.com" TargetMode="External"/><Relationship Id="rId31" Type="http://schemas.openxmlformats.org/officeDocument/2006/relationships/hyperlink" Target="mailto:support@buildcheminfra.com" TargetMode="External"/><Relationship Id="rId52" Type="http://schemas.openxmlformats.org/officeDocument/2006/relationships/hyperlink" Target="mailto:sanojkr1988@gmail.com" TargetMode="External"/><Relationship Id="rId73" Type="http://schemas.openxmlformats.org/officeDocument/2006/relationships/hyperlink" Target="about:blank" TargetMode="External"/><Relationship Id="rId78" Type="http://schemas.openxmlformats.org/officeDocument/2006/relationships/hyperlink" Target="mailto:ravulavishal99@gmail.com" TargetMode="External"/><Relationship Id="rId94" Type="http://schemas.openxmlformats.org/officeDocument/2006/relationships/hyperlink" Target="mailto:akshayaadak1234@gmail.com" TargetMode="External"/><Relationship Id="rId99" Type="http://schemas.openxmlformats.org/officeDocument/2006/relationships/hyperlink" Target="mailto:mqdanovo786@gmail.com" TargetMode="External"/><Relationship Id="rId101" Type="http://schemas.openxmlformats.org/officeDocument/2006/relationships/hyperlink" Target="mailto:srenterprise9096@gmail.com" TargetMode="External"/><Relationship Id="rId122" Type="http://schemas.openxmlformats.org/officeDocument/2006/relationships/hyperlink" Target="about:blank" TargetMode="External"/><Relationship Id="rId143" Type="http://schemas.openxmlformats.org/officeDocument/2006/relationships/hyperlink" Target="mailto:pawanju2025@gmail.com" TargetMode="External"/><Relationship Id="rId148" Type="http://schemas.openxmlformats.org/officeDocument/2006/relationships/hyperlink" Target="mailto:ja466330@gmail.com" TargetMode="External"/><Relationship Id="rId164" Type="http://schemas.openxmlformats.org/officeDocument/2006/relationships/hyperlink" Target="mailto:ngaikwad@delvalflow.com" TargetMode="External"/><Relationship Id="rId169" Type="http://schemas.openxmlformats.org/officeDocument/2006/relationships/hyperlink" Target="mailto:eki1@endo-india.co.in" TargetMode="External"/><Relationship Id="rId185" Type="http://schemas.openxmlformats.org/officeDocument/2006/relationships/hyperlink" Target="mailto:Nikhil.Chavan@tacogotion.com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mailto:sshambhussingh08893@gmail.com" TargetMode="External"/><Relationship Id="rId180" Type="http://schemas.openxmlformats.org/officeDocument/2006/relationships/hyperlink" Target="mailto:purchase1@omcranes.com" TargetMode="External"/><Relationship Id="rId210" Type="http://schemas.openxmlformats.org/officeDocument/2006/relationships/hyperlink" Target="mailto:pankaj.damare@ekamobility.com" TargetMode="External"/><Relationship Id="rId215" Type="http://schemas.openxmlformats.org/officeDocument/2006/relationships/hyperlink" Target="mailto:crajamanickam@gmail.com" TargetMode="External"/><Relationship Id="rId236" Type="http://schemas.openxmlformats.org/officeDocument/2006/relationships/hyperlink" Target="mailto:%3csopan.k@mirhaeindia.com" TargetMode="External"/><Relationship Id="rId26" Type="http://schemas.openxmlformats.org/officeDocument/2006/relationships/hyperlink" Target="mailto:andriyashipping@gmail.com" TargetMode="External"/><Relationship Id="rId231" Type="http://schemas.openxmlformats.org/officeDocument/2006/relationships/hyperlink" Target="mailto:syscon@batelco.com.bh" TargetMode="External"/><Relationship Id="rId47" Type="http://schemas.openxmlformats.org/officeDocument/2006/relationships/hyperlink" Target="mailto:mayur@pressmetal.co.in" TargetMode="External"/><Relationship Id="rId68" Type="http://schemas.openxmlformats.org/officeDocument/2006/relationships/hyperlink" Target="mailto:arundatkhil@gmail.com" TargetMode="External"/><Relationship Id="rId89" Type="http://schemas.openxmlformats.org/officeDocument/2006/relationships/hyperlink" Target="mailto:a2zbhd22@gmail.com" TargetMode="External"/><Relationship Id="rId112" Type="http://schemas.openxmlformats.org/officeDocument/2006/relationships/hyperlink" Target="mailto:jag.141269@gmail.com" TargetMode="External"/><Relationship Id="rId133" Type="http://schemas.openxmlformats.org/officeDocument/2006/relationships/hyperlink" Target="mailto:rakesh@aenterprises.co.in" TargetMode="External"/><Relationship Id="rId154" Type="http://schemas.openxmlformats.org/officeDocument/2006/relationships/hyperlink" Target="mailto:syscon@batelco.com.bh" TargetMode="External"/><Relationship Id="rId175" Type="http://schemas.openxmlformats.org/officeDocument/2006/relationships/hyperlink" Target="mailto:yogesh200396049@gmail.com" TargetMode="External"/><Relationship Id="rId196" Type="http://schemas.openxmlformats.org/officeDocument/2006/relationships/hyperlink" Target="mailto:valiantengineers22@gmail.com" TargetMode="External"/><Relationship Id="rId200" Type="http://schemas.openxmlformats.org/officeDocument/2006/relationships/hyperlink" Target="mailto:dheeraj.bhargave@JCB.com" TargetMode="External"/><Relationship Id="rId16" Type="http://schemas.openxmlformats.org/officeDocument/2006/relationships/hyperlink" Target="mailto:chetanyelikar@yahoo.in" TargetMode="External"/><Relationship Id="rId221" Type="http://schemas.openxmlformats.org/officeDocument/2006/relationships/hyperlink" Target="mailto:Prash7002@gmail.com" TargetMode="External"/><Relationship Id="rId37" Type="http://schemas.openxmlformats.org/officeDocument/2006/relationships/hyperlink" Target="mailto:eki1@endo-india.co.in" TargetMode="External"/><Relationship Id="rId58" Type="http://schemas.openxmlformats.org/officeDocument/2006/relationships/hyperlink" Target="mailto:nhariharan62@gmail.com" TargetMode="External"/><Relationship Id="rId79" Type="http://schemas.openxmlformats.org/officeDocument/2006/relationships/hyperlink" Target="mailto:akindustries09@yahoo.com" TargetMode="External"/><Relationship Id="rId102" Type="http://schemas.openxmlformats.org/officeDocument/2006/relationships/hyperlink" Target="mailto:mdhawan@malavalves.com" TargetMode="External"/><Relationship Id="rId123" Type="http://schemas.openxmlformats.org/officeDocument/2006/relationships/hyperlink" Target="mailto:Ankit.Divedi@ekamobility.com" TargetMode="External"/><Relationship Id="rId144" Type="http://schemas.openxmlformats.org/officeDocument/2006/relationships/hyperlink" Target="mailto:appasaheb.mane@alpha-plan.in" TargetMode="External"/><Relationship Id="rId90" Type="http://schemas.openxmlformats.org/officeDocument/2006/relationships/hyperlink" Target="mailto:eliteindl.solutions@gmail.com" TargetMode="External"/><Relationship Id="rId165" Type="http://schemas.openxmlformats.org/officeDocument/2006/relationships/hyperlink" Target="mailto:VShinde@tox-in.com" TargetMode="External"/><Relationship Id="rId186" Type="http://schemas.openxmlformats.org/officeDocument/2006/relationships/hyperlink" Target="mailto:weltech.erectors@rediffmail.com" TargetMode="External"/><Relationship Id="rId211" Type="http://schemas.openxmlformats.org/officeDocument/2006/relationships/hyperlink" Target="mailto:sriramengineering2022@gmail.com" TargetMode="External"/><Relationship Id="rId232" Type="http://schemas.openxmlformats.org/officeDocument/2006/relationships/hyperlink" Target="mailto:%3cDattukumar.p@arcepolymers.com" TargetMode="External"/><Relationship Id="rId27" Type="http://schemas.openxmlformats.org/officeDocument/2006/relationships/hyperlink" Target="mailto:purchase.infra@clfprojects.com" TargetMode="External"/><Relationship Id="rId48" Type="http://schemas.openxmlformats.org/officeDocument/2006/relationships/hyperlink" Target="mailto:nvranade@bajajauto.co.in" TargetMode="External"/><Relationship Id="rId69" Type="http://schemas.openxmlformats.org/officeDocument/2006/relationships/hyperlink" Target="mailto:yoganna75@gmail.com" TargetMode="External"/><Relationship Id="rId113" Type="http://schemas.openxmlformats.org/officeDocument/2006/relationships/hyperlink" Target="mailto:design.vishgral@gmail.com" TargetMode="External"/><Relationship Id="rId134" Type="http://schemas.openxmlformats.org/officeDocument/2006/relationships/hyperlink" Target="mailto:vishnu@cranesmith.in" TargetMode="External"/><Relationship Id="rId80" Type="http://schemas.openxmlformats.org/officeDocument/2006/relationships/hyperlink" Target="mailto:mithileshmishra.181338h@gmail.com" TargetMode="External"/><Relationship Id="rId155" Type="http://schemas.openxmlformats.org/officeDocument/2006/relationships/hyperlink" Target="mailto:sales@kaivanengineers.com" TargetMode="External"/><Relationship Id="rId176" Type="http://schemas.openxmlformats.org/officeDocument/2006/relationships/hyperlink" Target="mailto:ck@marksgroup.in" TargetMode="External"/><Relationship Id="rId197" Type="http://schemas.openxmlformats.org/officeDocument/2006/relationships/hyperlink" Target="mailto:purchase2@techexpertindia.com" TargetMode="External"/><Relationship Id="rId201" Type="http://schemas.openxmlformats.org/officeDocument/2006/relationships/hyperlink" Target="mailto:pankaj.dhawade@pitti.in" TargetMode="External"/><Relationship Id="rId222" Type="http://schemas.openxmlformats.org/officeDocument/2006/relationships/hyperlink" Target="mailto:torqtektools@gmail.com" TargetMode="External"/><Relationship Id="rId17" Type="http://schemas.openxmlformats.org/officeDocument/2006/relationships/hyperlink" Target="mailto:gufrankhanjanimeerut@gmail.com" TargetMode="External"/><Relationship Id="rId38" Type="http://schemas.openxmlformats.org/officeDocument/2006/relationships/hyperlink" Target="mailto:purchase@xpertmhe.com" TargetMode="External"/><Relationship Id="rId59" Type="http://schemas.openxmlformats.org/officeDocument/2006/relationships/hyperlink" Target="mailto:vishwakarmaenter123@gmail.com" TargetMode="External"/><Relationship Id="rId103" Type="http://schemas.openxmlformats.org/officeDocument/2006/relationships/hyperlink" Target="mailto:factory@leoengineer.com" TargetMode="External"/><Relationship Id="rId124" Type="http://schemas.openxmlformats.org/officeDocument/2006/relationships/hyperlink" Target="mailto:sachin.patil@kirloskar.com" TargetMode="External"/><Relationship Id="rId70" Type="http://schemas.openxmlformats.org/officeDocument/2006/relationships/hyperlink" Target="mailto:VShinde@tox-in.com" TargetMode="External"/><Relationship Id="rId91" Type="http://schemas.openxmlformats.org/officeDocument/2006/relationships/hyperlink" Target="mailto:mdssrkhan01@gmail.com" TargetMode="External"/><Relationship Id="rId145" Type="http://schemas.openxmlformats.org/officeDocument/2006/relationships/hyperlink" Target="mailto:purchase2@techexpertindia.com" TargetMode="External"/><Relationship Id="rId166" Type="http://schemas.openxmlformats.org/officeDocument/2006/relationships/hyperlink" Target="mailto:monalicrane@gmail.com" TargetMode="External"/><Relationship Id="rId187" Type="http://schemas.openxmlformats.org/officeDocument/2006/relationships/hyperlink" Target="mailto:sharad.hake28@gmail.com" TargetMode="External"/><Relationship Id="rId1" Type="http://schemas.openxmlformats.org/officeDocument/2006/relationships/hyperlink" Target="mailto:pankaj.damare@ekamobility.com" TargetMode="External"/><Relationship Id="rId212" Type="http://schemas.openxmlformats.org/officeDocument/2006/relationships/hyperlink" Target="mailto:ramesh.g@pitti.in" TargetMode="External"/><Relationship Id="rId233" Type="http://schemas.openxmlformats.org/officeDocument/2006/relationships/hyperlink" Target="mailto:ramesh.g@pitti.in" TargetMode="External"/><Relationship Id="rId28" Type="http://schemas.openxmlformats.org/officeDocument/2006/relationships/hyperlink" Target="mailto:kamsiddha.eng@gmail.com" TargetMode="External"/><Relationship Id="rId49" Type="http://schemas.openxmlformats.org/officeDocument/2006/relationships/hyperlink" Target="mailto:shammorya10@gmail.com" TargetMode="External"/><Relationship Id="rId114" Type="http://schemas.openxmlformats.org/officeDocument/2006/relationships/hyperlink" Target="mailto:eki1@endo-india.co.in" TargetMode="External"/><Relationship Id="rId60" Type="http://schemas.openxmlformats.org/officeDocument/2006/relationships/hyperlink" Target="mailto:raoshebtele22@yahoo.com" TargetMode="External"/><Relationship Id="rId81" Type="http://schemas.openxmlformats.org/officeDocument/2006/relationships/hyperlink" Target="mailto:saraf@silverlineintl.com" TargetMode="External"/><Relationship Id="rId135" Type="http://schemas.openxmlformats.org/officeDocument/2006/relationships/hyperlink" Target="mailto:prakash.achalkar@yahoo.com" TargetMode="External"/><Relationship Id="rId156" Type="http://schemas.openxmlformats.org/officeDocument/2006/relationships/hyperlink" Target="mailto:consultantforall@agilomatrix.com" TargetMode="External"/><Relationship Id="rId177" Type="http://schemas.openxmlformats.org/officeDocument/2006/relationships/hyperlink" Target="mailto:shakyakamleshkumar333@gmail.com" TargetMode="External"/><Relationship Id="rId198" Type="http://schemas.openxmlformats.org/officeDocument/2006/relationships/hyperlink" Target="mailto:navin.rai@jcb.com" TargetMode="External"/><Relationship Id="rId202" Type="http://schemas.openxmlformats.org/officeDocument/2006/relationships/hyperlink" Target="mailto:gsj@csil.in" TargetMode="External"/><Relationship Id="rId223" Type="http://schemas.openxmlformats.org/officeDocument/2006/relationships/hyperlink" Target="mailto:consultantforall@agilomatrix.com" TargetMode="External"/><Relationship Id="rId18" Type="http://schemas.openxmlformats.org/officeDocument/2006/relationships/hyperlink" Target="mailto:srimahalakshmi216@gmail.com" TargetMode="External"/><Relationship Id="rId39" Type="http://schemas.openxmlformats.org/officeDocument/2006/relationships/hyperlink" Target="mailto:baljeetsainibaljeetkaur5008@gmail.com" TargetMode="External"/><Relationship Id="rId50" Type="http://schemas.openxmlformats.org/officeDocument/2006/relationships/hyperlink" Target="mailto:lankeshjagadale@gmail.com" TargetMode="External"/><Relationship Id="rId104" Type="http://schemas.openxmlformats.org/officeDocument/2006/relationships/hyperlink" Target="mailto:Ashish.Tamrakar@adani.com" TargetMode="External"/><Relationship Id="rId125" Type="http://schemas.openxmlformats.org/officeDocument/2006/relationships/hyperlink" Target="mailto:yogesh.sthapak@cgglobal.com" TargetMode="External"/><Relationship Id="rId146" Type="http://schemas.openxmlformats.org/officeDocument/2006/relationships/hyperlink" Target="mailto:purchase@rajdeep.in" TargetMode="External"/><Relationship Id="rId167" Type="http://schemas.openxmlformats.org/officeDocument/2006/relationships/hyperlink" Target="mailto:pawan.singhtvn@gmail.com" TargetMode="External"/><Relationship Id="rId188" Type="http://schemas.openxmlformats.org/officeDocument/2006/relationships/hyperlink" Target="mailto:rakeshmraut@gmail.com" TargetMode="External"/><Relationship Id="rId71" Type="http://schemas.openxmlformats.org/officeDocument/2006/relationships/hyperlink" Target="mailto:ASuryawanshi@tox-in.com" TargetMode="External"/><Relationship Id="rId92" Type="http://schemas.openxmlformats.org/officeDocument/2006/relationships/hyperlink" Target="about:blank" TargetMode="External"/><Relationship Id="rId213" Type="http://schemas.openxmlformats.org/officeDocument/2006/relationships/hyperlink" Target="mailto:krushna.y@ekamobility.com" TargetMode="External"/><Relationship Id="rId234" Type="http://schemas.openxmlformats.org/officeDocument/2006/relationships/hyperlink" Target="mailto:%3crajendrapatil@prologicmechatronics.com" TargetMode="External"/><Relationship Id="rId2" Type="http://schemas.openxmlformats.org/officeDocument/2006/relationships/hyperlink" Target="about:blank" TargetMode="External"/><Relationship Id="rId29" Type="http://schemas.openxmlformats.org/officeDocument/2006/relationships/hyperlink" Target="mailto:waseem.shikalkar@gmail.com" TargetMode="External"/><Relationship Id="rId40" Type="http://schemas.openxmlformats.org/officeDocument/2006/relationships/hyperlink" Target="mailto:purchase@ikjrolls.com" TargetMode="External"/><Relationship Id="rId115" Type="http://schemas.openxmlformats.org/officeDocument/2006/relationships/hyperlink" Target="mailto:eki1@endo-india.co.in" TargetMode="External"/><Relationship Id="rId136" Type="http://schemas.openxmlformats.org/officeDocument/2006/relationships/hyperlink" Target="mailto:PATIL.DIKESH@mahindra.com" TargetMode="External"/><Relationship Id="rId157" Type="http://schemas.openxmlformats.org/officeDocument/2006/relationships/hyperlink" Target="mailto:eki1@endo-india.co.in" TargetMode="External"/><Relationship Id="rId178" Type="http://schemas.openxmlformats.org/officeDocument/2006/relationships/hyperlink" Target="mailto:ganesan.s@srf.com" TargetMode="External"/><Relationship Id="rId61" Type="http://schemas.openxmlformats.org/officeDocument/2006/relationships/hyperlink" Target="mailto:kapilpatel1005@gmail.com" TargetMode="External"/><Relationship Id="rId82" Type="http://schemas.openxmlformats.org/officeDocument/2006/relationships/hyperlink" Target="mailto:shekhar@furnteck.com" TargetMode="External"/><Relationship Id="rId199" Type="http://schemas.openxmlformats.org/officeDocument/2006/relationships/hyperlink" Target="mailto:eki1@endo-india.co.in" TargetMode="External"/><Relationship Id="rId203" Type="http://schemas.openxmlformats.org/officeDocument/2006/relationships/hyperlink" Target="mailto:purchase@rajasystems.co.in" TargetMode="External"/><Relationship Id="rId19" Type="http://schemas.openxmlformats.org/officeDocument/2006/relationships/hyperlink" Target="mailto:umsscales@gmail.com" TargetMode="External"/><Relationship Id="rId224" Type="http://schemas.openxmlformats.org/officeDocument/2006/relationships/hyperlink" Target="mailto:aniket.kavitkar@sidel.com" TargetMode="External"/><Relationship Id="rId30" Type="http://schemas.openxmlformats.org/officeDocument/2006/relationships/hyperlink" Target="mailto:AVINASHJAIN59@GMAIL.COM" TargetMode="External"/><Relationship Id="rId105" Type="http://schemas.openxmlformats.org/officeDocument/2006/relationships/hyperlink" Target="mailto:aprprecisiontools@gmail.com" TargetMode="External"/><Relationship Id="rId126" Type="http://schemas.openxmlformats.org/officeDocument/2006/relationships/hyperlink" Target="mailto:sales@nikashcnc.com" TargetMode="External"/><Relationship Id="rId147" Type="http://schemas.openxmlformats.org/officeDocument/2006/relationships/hyperlink" Target="mailto:erpankajsaini13@gmail.com" TargetMode="External"/><Relationship Id="rId168" Type="http://schemas.openxmlformats.org/officeDocument/2006/relationships/hyperlink" Target="mailto:eki1@endo-india.co.in" TargetMode="External"/><Relationship Id="rId51" Type="http://schemas.openxmlformats.org/officeDocument/2006/relationships/hyperlink" Target="mailto:store.purchase@shivangitmtbars.com" TargetMode="External"/><Relationship Id="rId72" Type="http://schemas.openxmlformats.org/officeDocument/2006/relationships/hyperlink" Target="mailto:maventratech@gmail.com" TargetMode="External"/><Relationship Id="rId93" Type="http://schemas.openxmlformats.org/officeDocument/2006/relationships/hyperlink" Target="mailto:parvez8185@gmail.com" TargetMode="External"/><Relationship Id="rId189" Type="http://schemas.openxmlformats.org/officeDocument/2006/relationships/hyperlink" Target="mailto:deluxeindustrialgases@gmail.com" TargetMode="External"/><Relationship Id="rId3" Type="http://schemas.openxmlformats.org/officeDocument/2006/relationships/hyperlink" Target="about:blank" TargetMode="External"/><Relationship Id="rId214" Type="http://schemas.openxmlformats.org/officeDocument/2006/relationships/hyperlink" Target="mailto:eki1@endo-india.co.in" TargetMode="External"/><Relationship Id="rId235" Type="http://schemas.openxmlformats.org/officeDocument/2006/relationships/hyperlink" Target="mailto:innovativeengsandfab@gmail.com" TargetMode="External"/><Relationship Id="rId116" Type="http://schemas.openxmlformats.org/officeDocument/2006/relationships/hyperlink" Target="mailto:sreekumaraninterior2020@gmail.com" TargetMode="External"/><Relationship Id="rId137" Type="http://schemas.openxmlformats.org/officeDocument/2006/relationships/hyperlink" Target="mailto:vmmahamuni@paranjapeautocast.com" TargetMode="External"/><Relationship Id="rId158" Type="http://schemas.openxmlformats.org/officeDocument/2006/relationships/hyperlink" Target="mailto:vmiplservice@gmail.com" TargetMode="External"/><Relationship Id="rId20" Type="http://schemas.openxmlformats.org/officeDocument/2006/relationships/hyperlink" Target="mailto:coolatul1994@gmail.com" TargetMode="External"/><Relationship Id="rId41" Type="http://schemas.openxmlformats.org/officeDocument/2006/relationships/hyperlink" Target="mailto:shinde.abhay333@gmail.com" TargetMode="External"/><Relationship Id="rId62" Type="http://schemas.openxmlformats.org/officeDocument/2006/relationships/hyperlink" Target="mailto:weldzone2016@gmail.com" TargetMode="External"/><Relationship Id="rId83" Type="http://schemas.openxmlformats.org/officeDocument/2006/relationships/hyperlink" Target="mailto:ingispower2012@gmail.com" TargetMode="External"/><Relationship Id="rId179" Type="http://schemas.openxmlformats.org/officeDocument/2006/relationships/hyperlink" Target="mailto:eki1@endo-india.co.in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confiarengineers@gmail.com" TargetMode="External"/><Relationship Id="rId299" Type="http://schemas.openxmlformats.org/officeDocument/2006/relationships/hyperlink" Target="mailto:slondhe@rathigroup.com" TargetMode="External"/><Relationship Id="rId21" Type="http://schemas.openxmlformats.org/officeDocument/2006/relationships/hyperlink" Target="mailto:sthorat207@gmail.com" TargetMode="External"/><Relationship Id="rId63" Type="http://schemas.openxmlformats.org/officeDocument/2006/relationships/hyperlink" Target="mailto:sainiyarr066@gmail.com" TargetMode="External"/><Relationship Id="rId159" Type="http://schemas.openxmlformats.org/officeDocument/2006/relationships/hyperlink" Target="mailto:sohammore94@gmail.com" TargetMode="External"/><Relationship Id="rId324" Type="http://schemas.openxmlformats.org/officeDocument/2006/relationships/hyperlink" Target="mailto:sagar.satdive@in.gudel.com" TargetMode="External"/><Relationship Id="rId366" Type="http://schemas.openxmlformats.org/officeDocument/2006/relationships/hyperlink" Target="mailto:project08.cta@gmail.com" TargetMode="External"/><Relationship Id="rId170" Type="http://schemas.openxmlformats.org/officeDocument/2006/relationships/hyperlink" Target="mailto:kannantks123@gmail.com" TargetMode="External"/><Relationship Id="rId226" Type="http://schemas.openxmlformats.org/officeDocument/2006/relationships/hyperlink" Target="mailto:%3ceki1@endo-india.co.in" TargetMode="External"/><Relationship Id="rId268" Type="http://schemas.openxmlformats.org/officeDocument/2006/relationships/hyperlink" Target="mailto:stores.ept@encorp.in" TargetMode="External"/><Relationship Id="rId32" Type="http://schemas.openxmlformats.org/officeDocument/2006/relationships/hyperlink" Target="mailto:hr2@electraev.com" TargetMode="External"/><Relationship Id="rId74" Type="http://schemas.openxmlformats.org/officeDocument/2006/relationships/hyperlink" Target="mailto:kiran.nikam@kirloskar.com" TargetMode="External"/><Relationship Id="rId128" Type="http://schemas.openxmlformats.org/officeDocument/2006/relationships/hyperlink" Target="mailto:babulalmehta@hotmail.com" TargetMode="External"/><Relationship Id="rId335" Type="http://schemas.openxmlformats.org/officeDocument/2006/relationships/hyperlink" Target="mailto:smkinquiry.jd@gmail.com" TargetMode="External"/><Relationship Id="rId377" Type="http://schemas.openxmlformats.org/officeDocument/2006/relationships/hyperlink" Target="mailto:shaunak.kulkarni100@gmail.com" TargetMode="External"/><Relationship Id="rId5" Type="http://schemas.openxmlformats.org/officeDocument/2006/relationships/hyperlink" Target="mailto:Ratish.Waghmare@economysolutions.in" TargetMode="External"/><Relationship Id="rId181" Type="http://schemas.openxmlformats.org/officeDocument/2006/relationships/hyperlink" Target="mailto:mrajput@delvalflow.com" TargetMode="External"/><Relationship Id="rId237" Type="http://schemas.openxmlformats.org/officeDocument/2006/relationships/hyperlink" Target="mailto:mekkrontechnocrafts@gmail.com" TargetMode="External"/><Relationship Id="rId402" Type="http://schemas.openxmlformats.org/officeDocument/2006/relationships/hyperlink" Target="mailto:yuvraj_kate84@rediffmail.com" TargetMode="External"/><Relationship Id="rId279" Type="http://schemas.openxmlformats.org/officeDocument/2006/relationships/hyperlink" Target="mailto:creative2020.enterprises@gmail.com" TargetMode="External"/><Relationship Id="rId43" Type="http://schemas.openxmlformats.org/officeDocument/2006/relationships/hyperlink" Target="mailto:nwarang@ultracorpotech.com" TargetMode="External"/><Relationship Id="rId139" Type="http://schemas.openxmlformats.org/officeDocument/2006/relationships/hyperlink" Target="mailto:miggleetraders65@gmail.com" TargetMode="External"/><Relationship Id="rId290" Type="http://schemas.openxmlformats.org/officeDocument/2006/relationships/hyperlink" Target="mailto:pstradingco01@gmail.com" TargetMode="External"/><Relationship Id="rId304" Type="http://schemas.openxmlformats.org/officeDocument/2006/relationships/hyperlink" Target="mailto:coolatul1994@gmail.com" TargetMode="External"/><Relationship Id="rId346" Type="http://schemas.openxmlformats.org/officeDocument/2006/relationships/hyperlink" Target="mailto:mgr.purchase@arcepolymers.com" TargetMode="External"/><Relationship Id="rId388" Type="http://schemas.openxmlformats.org/officeDocument/2006/relationships/hyperlink" Target="mailto:arhansheikh533@gmail.com" TargetMode="External"/><Relationship Id="rId85" Type="http://schemas.openxmlformats.org/officeDocument/2006/relationships/hyperlink" Target="mailto:MallikarjunBillur@bharatforge.com" TargetMode="External"/><Relationship Id="rId150" Type="http://schemas.openxmlformats.org/officeDocument/2006/relationships/hyperlink" Target="mailto:rajendrapatil@prologicmechatronics.com" TargetMode="External"/><Relationship Id="rId192" Type="http://schemas.openxmlformats.org/officeDocument/2006/relationships/hyperlink" Target="mailto:georgewashington580@gmail.com" TargetMode="External"/><Relationship Id="rId206" Type="http://schemas.openxmlformats.org/officeDocument/2006/relationships/hyperlink" Target="mailto:chetan.chavan@modulex.in" TargetMode="External"/><Relationship Id="rId413" Type="http://schemas.openxmlformats.org/officeDocument/2006/relationships/hyperlink" Target="mailto:arjunkurhade66967@gmail.com" TargetMode="External"/><Relationship Id="rId248" Type="http://schemas.openxmlformats.org/officeDocument/2006/relationships/hyperlink" Target="mailto:%3cvishnu.rathod@meccalte.in" TargetMode="External"/><Relationship Id="rId12" Type="http://schemas.openxmlformats.org/officeDocument/2006/relationships/hyperlink" Target="mailto:tulsirao.ob@gmail.com" TargetMode="External"/><Relationship Id="rId108" Type="http://schemas.openxmlformats.org/officeDocument/2006/relationships/hyperlink" Target="mailto:Devendra.Kapade@ksb.com" TargetMode="External"/><Relationship Id="rId315" Type="http://schemas.openxmlformats.org/officeDocument/2006/relationships/hyperlink" Target="mailto:vbr90.srivastava@gmail.com" TargetMode="External"/><Relationship Id="rId357" Type="http://schemas.openxmlformats.org/officeDocument/2006/relationships/hyperlink" Target="mailto:sshambhussingh08893@gmail.com" TargetMode="External"/><Relationship Id="rId54" Type="http://schemas.openxmlformats.org/officeDocument/2006/relationships/hyperlink" Target="mailto:eki1@endo-india.co.in" TargetMode="External"/><Relationship Id="rId96" Type="http://schemas.openxmlformats.org/officeDocument/2006/relationships/hyperlink" Target="mailto:tejabhaiprajapati170@gmail.com" TargetMode="External"/><Relationship Id="rId161" Type="http://schemas.openxmlformats.org/officeDocument/2006/relationships/hyperlink" Target="mailto:hoffenplastics@gmail.com" TargetMode="External"/><Relationship Id="rId217" Type="http://schemas.openxmlformats.org/officeDocument/2006/relationships/hyperlink" Target="mailto:pranav.bafna@piller.de" TargetMode="External"/><Relationship Id="rId399" Type="http://schemas.openxmlformats.org/officeDocument/2006/relationships/hyperlink" Target="mailto:atharvpasalkar146@gmail.com" TargetMode="External"/><Relationship Id="rId259" Type="http://schemas.openxmlformats.org/officeDocument/2006/relationships/hyperlink" Target="mailto:abb702@rediffmail.com" TargetMode="External"/><Relationship Id="rId424" Type="http://schemas.openxmlformats.org/officeDocument/2006/relationships/hyperlink" Target="mailto:shindeabhishek004@gmail.com" TargetMode="External"/><Relationship Id="rId23" Type="http://schemas.openxmlformats.org/officeDocument/2006/relationships/hyperlink" Target="mailto:sandypoman99@gmail.com" TargetMode="External"/><Relationship Id="rId119" Type="http://schemas.openxmlformats.org/officeDocument/2006/relationships/hyperlink" Target="mailto:sales1@ossaak.com" TargetMode="External"/><Relationship Id="rId270" Type="http://schemas.openxmlformats.org/officeDocument/2006/relationships/hyperlink" Target="mailto:pankaj.giri@concentricab.com" TargetMode="External"/><Relationship Id="rId326" Type="http://schemas.openxmlformats.org/officeDocument/2006/relationships/hyperlink" Target="mailto:yogesh.salunkhe@atlascopco.com" TargetMode="External"/><Relationship Id="rId65" Type="http://schemas.openxmlformats.org/officeDocument/2006/relationships/hyperlink" Target="mailto:iqrascrap7191@gmail.com" TargetMode="External"/><Relationship Id="rId130" Type="http://schemas.openxmlformats.org/officeDocument/2006/relationships/hyperlink" Target="mailto:kedar.shewalkar@danfoss.com" TargetMode="External"/><Relationship Id="rId368" Type="http://schemas.openxmlformats.org/officeDocument/2006/relationships/hyperlink" Target="mailto:esd_craneu3@craftsmanautomation.com" TargetMode="External"/><Relationship Id="rId172" Type="http://schemas.openxmlformats.org/officeDocument/2006/relationships/hyperlink" Target="mailto:headmfg@kiratinternational.com" TargetMode="External"/><Relationship Id="rId228" Type="http://schemas.openxmlformats.org/officeDocument/2006/relationships/hyperlink" Target="mailto:gkunal192@gmail.com" TargetMode="External"/><Relationship Id="rId281" Type="http://schemas.openxmlformats.org/officeDocument/2006/relationships/hyperlink" Target="mailto:pioneercorp.ind@gmail.com" TargetMode="External"/><Relationship Id="rId337" Type="http://schemas.openxmlformats.org/officeDocument/2006/relationships/hyperlink" Target="mailto:sakthivelchinnasamy@gmail.com" TargetMode="External"/><Relationship Id="rId34" Type="http://schemas.openxmlformats.org/officeDocument/2006/relationships/hyperlink" Target="mailto:khan.akbar1212@gmail.com" TargetMode="External"/><Relationship Id="rId76" Type="http://schemas.openxmlformats.org/officeDocument/2006/relationships/hyperlink" Target="mailto:alok.deshmukh@atlascopco.com" TargetMode="External"/><Relationship Id="rId141" Type="http://schemas.openxmlformats.org/officeDocument/2006/relationships/hyperlink" Target="mailto:om.ambalika@gmail.com" TargetMode="External"/><Relationship Id="rId379" Type="http://schemas.openxmlformats.org/officeDocument/2006/relationships/hyperlink" Target="mailto:mayur@pressmetal.co.in" TargetMode="External"/><Relationship Id="rId7" Type="http://schemas.openxmlformats.org/officeDocument/2006/relationships/hyperlink" Target="mailto:ashishpa23@yahoo.com" TargetMode="External"/><Relationship Id="rId183" Type="http://schemas.openxmlformats.org/officeDocument/2006/relationships/hyperlink" Target="mailto:yatheeshkn041@gmail.com" TargetMode="External"/><Relationship Id="rId239" Type="http://schemas.openxmlformats.org/officeDocument/2006/relationships/hyperlink" Target="mailto:suntec.ec@gmail.com" TargetMode="External"/><Relationship Id="rId390" Type="http://schemas.openxmlformats.org/officeDocument/2006/relationships/hyperlink" Target="mailto:%3cJaywant.Sutar@ksb.com" TargetMode="External"/><Relationship Id="rId404" Type="http://schemas.openxmlformats.org/officeDocument/2006/relationships/hyperlink" Target="mailto:nsnkarthik12@gmail.com" TargetMode="External"/><Relationship Id="rId250" Type="http://schemas.openxmlformats.org/officeDocument/2006/relationships/hyperlink" Target="mailto:gkicbe5@gmail.com" TargetMode="External"/><Relationship Id="rId292" Type="http://schemas.openxmlformats.org/officeDocument/2006/relationships/hyperlink" Target="mailto:umakant250483@rediffmail.com" TargetMode="External"/><Relationship Id="rId306" Type="http://schemas.openxmlformats.org/officeDocument/2006/relationships/hyperlink" Target="mailto:soorajsingh@gmail.com" TargetMode="External"/><Relationship Id="rId45" Type="http://schemas.openxmlformats.org/officeDocument/2006/relationships/hyperlink" Target="mailto:saffrontechmech@outlook.in" TargetMode="External"/><Relationship Id="rId87" Type="http://schemas.openxmlformats.org/officeDocument/2006/relationships/hyperlink" Target="mailto:sandipan@jendamark.in" TargetMode="External"/><Relationship Id="rId110" Type="http://schemas.openxmlformats.org/officeDocument/2006/relationships/hyperlink" Target="mailto:%3cmusharrafali.syed@jcb.com" TargetMode="External"/><Relationship Id="rId348" Type="http://schemas.openxmlformats.org/officeDocument/2006/relationships/hyperlink" Target="mailto:dharmesh-prajapati@alstomgroup.com" TargetMode="External"/><Relationship Id="rId152" Type="http://schemas.openxmlformats.org/officeDocument/2006/relationships/hyperlink" Target="mailto:Jiddewar.shashank@mahindra.com" TargetMode="External"/><Relationship Id="rId194" Type="http://schemas.openxmlformats.org/officeDocument/2006/relationships/hyperlink" Target="mailto:valliappaandcompany@gmail.com" TargetMode="External"/><Relationship Id="rId208" Type="http://schemas.openxmlformats.org/officeDocument/2006/relationships/hyperlink" Target="mailto:lokeshsharma9358@gmail.com" TargetMode="External"/><Relationship Id="rId415" Type="http://schemas.openxmlformats.org/officeDocument/2006/relationships/hyperlink" Target="mailto:shubhamwadekar35968@gmail.com" TargetMode="External"/><Relationship Id="rId261" Type="http://schemas.openxmlformats.org/officeDocument/2006/relationships/hyperlink" Target="mailto:bhamachine@yahoo.co.in" TargetMode="External"/><Relationship Id="rId14" Type="http://schemas.openxmlformats.org/officeDocument/2006/relationships/hyperlink" Target="mailto:abhay9156273029@gmail.com" TargetMode="External"/><Relationship Id="rId56" Type="http://schemas.openxmlformats.org/officeDocument/2006/relationships/hyperlink" Target="mailto:piyush.shinde@fmlogistic.com" TargetMode="External"/><Relationship Id="rId317" Type="http://schemas.openxmlformats.org/officeDocument/2006/relationships/hyperlink" Target="mailto:shreeinfrcon@gmail.com" TargetMode="External"/><Relationship Id="rId359" Type="http://schemas.openxmlformats.org/officeDocument/2006/relationships/hyperlink" Target="mailto:shilpanushilpanu@gmail.com" TargetMode="External"/><Relationship Id="rId98" Type="http://schemas.openxmlformats.org/officeDocument/2006/relationships/hyperlink" Target="mailto:chirag8357@gmail.com" TargetMode="External"/><Relationship Id="rId121" Type="http://schemas.openxmlformats.org/officeDocument/2006/relationships/hyperlink" Target="mailto:%3cFenstein.GPAUL@mane.com" TargetMode="External"/><Relationship Id="rId163" Type="http://schemas.openxmlformats.org/officeDocument/2006/relationships/hyperlink" Target="mailto:darkdon1234567890@gmail.com" TargetMode="External"/><Relationship Id="rId219" Type="http://schemas.openxmlformats.org/officeDocument/2006/relationships/hyperlink" Target="mailto:projects@leoengineer.com" TargetMode="External"/><Relationship Id="rId370" Type="http://schemas.openxmlformats.org/officeDocument/2006/relationships/hyperlink" Target="mailto:vinaymalik@pioneerengineeringsolutions.com" TargetMode="External"/><Relationship Id="rId426" Type="http://schemas.openxmlformats.org/officeDocument/2006/relationships/hyperlink" Target="mailto:dbcoe.chiefeng@gmail.com" TargetMode="External"/><Relationship Id="rId230" Type="http://schemas.openxmlformats.org/officeDocument/2006/relationships/hyperlink" Target="mailto:ritesh.gajankar@rationalengineers.com" TargetMode="External"/><Relationship Id="rId25" Type="http://schemas.openxmlformats.org/officeDocument/2006/relationships/hyperlink" Target="mailto:srivinayakahydraulic@gmail.com" TargetMode="External"/><Relationship Id="rId67" Type="http://schemas.openxmlformats.org/officeDocument/2006/relationships/hyperlink" Target="mailto:abhirami.p@rinac.com" TargetMode="External"/><Relationship Id="rId272" Type="http://schemas.openxmlformats.org/officeDocument/2006/relationships/hyperlink" Target="mailto:sandip@sigmapacks.com" TargetMode="External"/><Relationship Id="rId328" Type="http://schemas.openxmlformats.org/officeDocument/2006/relationships/hyperlink" Target="mailto:purchase@pcscontrols.in" TargetMode="External"/><Relationship Id="rId132" Type="http://schemas.openxmlformats.org/officeDocument/2006/relationships/hyperlink" Target="mailto:manish.subhash@indiamart.com" TargetMode="External"/><Relationship Id="rId174" Type="http://schemas.openxmlformats.org/officeDocument/2006/relationships/hyperlink" Target="mailto:sales@carelifting.com" TargetMode="External"/><Relationship Id="rId381" Type="http://schemas.openxmlformats.org/officeDocument/2006/relationships/hyperlink" Target="mailto:ramaya.patel@gmail.com" TargetMode="External"/><Relationship Id="rId241" Type="http://schemas.openxmlformats.org/officeDocument/2006/relationships/hyperlink" Target="mailto:sgkondalkar@gmail.com" TargetMode="External"/><Relationship Id="rId36" Type="http://schemas.openxmlformats.org/officeDocument/2006/relationships/hyperlink" Target="mailto:sachin.upadhyay51@gmail.com" TargetMode="External"/><Relationship Id="rId283" Type="http://schemas.openxmlformats.org/officeDocument/2006/relationships/hyperlink" Target="mailto:sales@fabweld.in" TargetMode="External"/><Relationship Id="rId339" Type="http://schemas.openxmlformats.org/officeDocument/2006/relationships/hyperlink" Target="mailto:chromasantosh.n@gmail.com" TargetMode="External"/><Relationship Id="rId78" Type="http://schemas.openxmlformats.org/officeDocument/2006/relationships/hyperlink" Target="mailto:somnathpatmas4574@gmail.com" TargetMode="External"/><Relationship Id="rId101" Type="http://schemas.openxmlformats.org/officeDocument/2006/relationships/hyperlink" Target="mailto:spidertexs@gmail.com" TargetMode="External"/><Relationship Id="rId143" Type="http://schemas.openxmlformats.org/officeDocument/2006/relationships/hyperlink" Target="mailto:shapu789@gmail.com" TargetMode="External"/><Relationship Id="rId185" Type="http://schemas.openxmlformats.org/officeDocument/2006/relationships/hyperlink" Target="mailto:pramod.kunjir10@gmail.com" TargetMode="External"/><Relationship Id="rId350" Type="http://schemas.openxmlformats.org/officeDocument/2006/relationships/hyperlink" Target="mailto:rpurushoth2003@gmail.com" TargetMode="External"/><Relationship Id="rId406" Type="http://schemas.openxmlformats.org/officeDocument/2006/relationships/hyperlink" Target="mailto:haidarali.darveshi@hyosung.com" TargetMode="External"/><Relationship Id="rId9" Type="http://schemas.openxmlformats.org/officeDocument/2006/relationships/hyperlink" Target="mailto:earthacquirer@gmail.com" TargetMode="External"/><Relationship Id="rId210" Type="http://schemas.openxmlformats.org/officeDocument/2006/relationships/hyperlink" Target="mailto:dayanandpatil73@gmail.com" TargetMode="External"/><Relationship Id="rId392" Type="http://schemas.openxmlformats.org/officeDocument/2006/relationships/hyperlink" Target="mailto:%3cRaviprasad.Savkar@Emerson.com" TargetMode="External"/><Relationship Id="rId252" Type="http://schemas.openxmlformats.org/officeDocument/2006/relationships/hyperlink" Target="mailto:raygm.project@gmail.com" TargetMode="External"/><Relationship Id="rId294" Type="http://schemas.openxmlformats.org/officeDocument/2006/relationships/hyperlink" Target="mailto:mohammedarmaankhan648@gmail.com" TargetMode="External"/><Relationship Id="rId308" Type="http://schemas.openxmlformats.org/officeDocument/2006/relationships/hyperlink" Target="mailto:vijaygabel30@gmail.com" TargetMode="External"/><Relationship Id="rId47" Type="http://schemas.openxmlformats.org/officeDocument/2006/relationships/hyperlink" Target="mailto:abhisalunkhe07@gmail.com" TargetMode="External"/><Relationship Id="rId89" Type="http://schemas.openxmlformats.org/officeDocument/2006/relationships/hyperlink" Target="mailto:jayanti.parmar@technoelevators.com" TargetMode="External"/><Relationship Id="rId112" Type="http://schemas.openxmlformats.org/officeDocument/2006/relationships/hyperlink" Target="mailto:kunaldpawar1010@gmail.com" TargetMode="External"/><Relationship Id="rId154" Type="http://schemas.openxmlformats.org/officeDocument/2006/relationships/hyperlink" Target="mailto:%3cextern.abhijeet.nikam@skoda-vw.co.in" TargetMode="External"/><Relationship Id="rId361" Type="http://schemas.openxmlformats.org/officeDocument/2006/relationships/hyperlink" Target="mailto:amar_83277@rediffmail.com" TargetMode="External"/><Relationship Id="rId196" Type="http://schemas.openxmlformats.org/officeDocument/2006/relationships/hyperlink" Target="mailto:dp919569@gmail.com" TargetMode="External"/><Relationship Id="rId417" Type="http://schemas.openxmlformats.org/officeDocument/2006/relationships/hyperlink" Target="mailto:waseem.shikalkar@gmail.com" TargetMode="External"/><Relationship Id="rId16" Type="http://schemas.openxmlformats.org/officeDocument/2006/relationships/hyperlink" Target="mailto:kamalpandey3005@gmail.com" TargetMode="External"/><Relationship Id="rId221" Type="http://schemas.openxmlformats.org/officeDocument/2006/relationships/hyperlink" Target="mailto:naitik.gosar@rediffmail.com" TargetMode="External"/><Relationship Id="rId263" Type="http://schemas.openxmlformats.org/officeDocument/2006/relationships/hyperlink" Target="mailto:anil.m@ekamobility.com" TargetMode="External"/><Relationship Id="rId319" Type="http://schemas.openxmlformats.org/officeDocument/2006/relationships/hyperlink" Target="mailto:rajeshmandal100@gmail.com" TargetMode="External"/><Relationship Id="rId58" Type="http://schemas.openxmlformats.org/officeDocument/2006/relationships/hyperlink" Target="mailto:levin.c.v.5346@gmail.com" TargetMode="External"/><Relationship Id="rId123" Type="http://schemas.openxmlformats.org/officeDocument/2006/relationships/hyperlink" Target="mailto:sandipan@jendamark.in" TargetMode="External"/><Relationship Id="rId330" Type="http://schemas.openxmlformats.org/officeDocument/2006/relationships/hyperlink" Target="mailto:shubhadeep.dutta@ekamobility.com" TargetMode="External"/><Relationship Id="rId165" Type="http://schemas.openxmlformats.org/officeDocument/2006/relationships/hyperlink" Target="mailto:atulmatere@gmail.com" TargetMode="External"/><Relationship Id="rId372" Type="http://schemas.openxmlformats.org/officeDocument/2006/relationships/hyperlink" Target="mailto:dhananjay.deshpande@kirloskar.com" TargetMode="External"/><Relationship Id="rId232" Type="http://schemas.openxmlformats.org/officeDocument/2006/relationships/hyperlink" Target="mailto:pratik.patil@jcb.com" TargetMode="External"/><Relationship Id="rId274" Type="http://schemas.openxmlformats.org/officeDocument/2006/relationships/hyperlink" Target="mailto:saranggade@bharatforge.com" TargetMode="External"/><Relationship Id="rId27" Type="http://schemas.openxmlformats.org/officeDocument/2006/relationships/hyperlink" Target="mailto:sagarr.fee@gmail.com" TargetMode="External"/><Relationship Id="rId69" Type="http://schemas.openxmlformats.org/officeDocument/2006/relationships/hyperlink" Target="mailto:sam.g55@gmail.com" TargetMode="External"/><Relationship Id="rId134" Type="http://schemas.openxmlformats.org/officeDocument/2006/relationships/hyperlink" Target="mailto:inquiry.support@giflexible.com" TargetMode="External"/><Relationship Id="rId80" Type="http://schemas.openxmlformats.org/officeDocument/2006/relationships/hyperlink" Target="mailto:at173615@gmail.com" TargetMode="External"/><Relationship Id="rId176" Type="http://schemas.openxmlformats.org/officeDocument/2006/relationships/hyperlink" Target="mailto:salespune@pacetools.in" TargetMode="External"/><Relationship Id="rId341" Type="http://schemas.openxmlformats.org/officeDocument/2006/relationships/hyperlink" Target="mailto:ganeshsmitaa@gmail.com" TargetMode="External"/><Relationship Id="rId383" Type="http://schemas.openxmlformats.org/officeDocument/2006/relationships/hyperlink" Target="mailto:shobhasuthar7021@gmail.com" TargetMode="External"/><Relationship Id="rId201" Type="http://schemas.openxmlformats.org/officeDocument/2006/relationships/hyperlink" Target="mailto:dineshdamorkismat242@gmail.com" TargetMode="External"/><Relationship Id="rId243" Type="http://schemas.openxmlformats.org/officeDocument/2006/relationships/hyperlink" Target="mailto:dinesh.roosterautomation@gmail.com" TargetMode="External"/><Relationship Id="rId285" Type="http://schemas.openxmlformats.org/officeDocument/2006/relationships/hyperlink" Target="mailto:sthagare99@gmail.com" TargetMode="External"/><Relationship Id="rId38" Type="http://schemas.openxmlformats.org/officeDocument/2006/relationships/hyperlink" Target="mailto:sablekv1222@gmail.com" TargetMode="External"/><Relationship Id="rId103" Type="http://schemas.openxmlformats.org/officeDocument/2006/relationships/hyperlink" Target="mailto:manishghule39@gmail.com" TargetMode="External"/><Relationship Id="rId310" Type="http://schemas.openxmlformats.org/officeDocument/2006/relationships/hyperlink" Target="mailto:rameshwar1510@gmail.com" TargetMode="External"/><Relationship Id="rId70" Type="http://schemas.openxmlformats.org/officeDocument/2006/relationships/hyperlink" Target="mailto:ojaspatil2025@gmail.com" TargetMode="External"/><Relationship Id="rId91" Type="http://schemas.openxmlformats.org/officeDocument/2006/relationships/hyperlink" Target="mailto:megatechindustries0101@gmail.com" TargetMode="External"/><Relationship Id="rId145" Type="http://schemas.openxmlformats.org/officeDocument/2006/relationships/hyperlink" Target="mailto:zakirbhat52@gmail.com" TargetMode="External"/><Relationship Id="rId166" Type="http://schemas.openxmlformats.org/officeDocument/2006/relationships/hyperlink" Target="mailto:bibekchandra@ymail.com" TargetMode="External"/><Relationship Id="rId187" Type="http://schemas.openxmlformats.org/officeDocument/2006/relationships/hyperlink" Target="mailto:navnirmiti@protonmail.com" TargetMode="External"/><Relationship Id="rId331" Type="http://schemas.openxmlformats.org/officeDocument/2006/relationships/hyperlink" Target="mailto:BTapkir@tox-in.com" TargetMode="External"/><Relationship Id="rId352" Type="http://schemas.openxmlformats.org/officeDocument/2006/relationships/hyperlink" Target="mailto:ganeshservies5868@gmail.com" TargetMode="External"/><Relationship Id="rId373" Type="http://schemas.openxmlformats.org/officeDocument/2006/relationships/hyperlink" Target="mailto:shree.automationandsystem@gmail.com" TargetMode="External"/><Relationship Id="rId394" Type="http://schemas.openxmlformats.org/officeDocument/2006/relationships/hyperlink" Target="mailto:darshfabrication2019@gmail.com" TargetMode="External"/><Relationship Id="rId408" Type="http://schemas.openxmlformats.org/officeDocument/2006/relationships/hyperlink" Target="mailto:basirboghara26@gmail.com" TargetMode="External"/><Relationship Id="rId1" Type="http://schemas.openxmlformats.org/officeDocument/2006/relationships/hyperlink" Target="mailto:shokenderchhillar@indofarm.in" TargetMode="External"/><Relationship Id="rId212" Type="http://schemas.openxmlformats.org/officeDocument/2006/relationships/hyperlink" Target="mailto:surajphule11@gmail.com" TargetMode="External"/><Relationship Id="rId233" Type="http://schemas.openxmlformats.org/officeDocument/2006/relationships/hyperlink" Target="mailto:amol.pawar@topse.in" TargetMode="External"/><Relationship Id="rId254" Type="http://schemas.openxmlformats.org/officeDocument/2006/relationships/hyperlink" Target="mailto:agumaste@ultracorpotech.com" TargetMode="External"/><Relationship Id="rId28" Type="http://schemas.openxmlformats.org/officeDocument/2006/relationships/hyperlink" Target="mailto:bhanderivedant057@gmail.com" TargetMode="External"/><Relationship Id="rId49" Type="http://schemas.openxmlformats.org/officeDocument/2006/relationships/hyperlink" Target="mailto:bhavanimotocraft@gmail.com" TargetMode="External"/><Relationship Id="rId114" Type="http://schemas.openxmlformats.org/officeDocument/2006/relationships/hyperlink" Target="mailto:dhiraj.shetkar@mrfmail.com" TargetMode="External"/><Relationship Id="rId275" Type="http://schemas.openxmlformats.org/officeDocument/2006/relationships/hyperlink" Target="mailto:pankaj.joshi@kirloskar.com" TargetMode="External"/><Relationship Id="rId296" Type="http://schemas.openxmlformats.org/officeDocument/2006/relationships/hyperlink" Target="mailto:tncraneworks@gmail.com" TargetMode="External"/><Relationship Id="rId300" Type="http://schemas.openxmlformats.org/officeDocument/2006/relationships/hyperlink" Target="mailto:borudemv2015@gmail.com" TargetMode="External"/><Relationship Id="rId60" Type="http://schemas.openxmlformats.org/officeDocument/2006/relationships/hyperlink" Target="mailto:design@spmil.com" TargetMode="External"/><Relationship Id="rId81" Type="http://schemas.openxmlformats.org/officeDocument/2006/relationships/hyperlink" Target="mailto:sgengg2014@gmail.com" TargetMode="External"/><Relationship Id="rId135" Type="http://schemas.openxmlformats.org/officeDocument/2006/relationships/hyperlink" Target="mailto:girishdgoswami@gmail.com" TargetMode="External"/><Relationship Id="rId156" Type="http://schemas.openxmlformats.org/officeDocument/2006/relationships/hyperlink" Target="mailto:pappu.mahto@vmach.in" TargetMode="External"/><Relationship Id="rId177" Type="http://schemas.openxmlformats.org/officeDocument/2006/relationships/hyperlink" Target="mailto:mayur.jagtap@winfastsolution.in" TargetMode="External"/><Relationship Id="rId198" Type="http://schemas.openxmlformats.org/officeDocument/2006/relationships/hyperlink" Target="mailto:%3cVishal.Pawar@ekamobility.com" TargetMode="External"/><Relationship Id="rId321" Type="http://schemas.openxmlformats.org/officeDocument/2006/relationships/hyperlink" Target="mailto:Dipak.Saste@kalyanitechnoforge.com" TargetMode="External"/><Relationship Id="rId342" Type="http://schemas.openxmlformats.org/officeDocument/2006/relationships/hyperlink" Target="mailto:nikita.gheuntaak@gmail.com" TargetMode="External"/><Relationship Id="rId363" Type="http://schemas.openxmlformats.org/officeDocument/2006/relationships/hyperlink" Target="mailto:awmplrpco@gmail.com" TargetMode="External"/><Relationship Id="rId384" Type="http://schemas.openxmlformats.org/officeDocument/2006/relationships/hyperlink" Target="mailto:ashokjorwar99@gmail.com" TargetMode="External"/><Relationship Id="rId419" Type="http://schemas.openxmlformats.org/officeDocument/2006/relationships/hyperlink" Target="mailto:marketingplus.gg@gmail.com" TargetMode="External"/><Relationship Id="rId202" Type="http://schemas.openxmlformats.org/officeDocument/2006/relationships/hyperlink" Target="mailto:sarthakdhanve@gmail.com" TargetMode="External"/><Relationship Id="rId223" Type="http://schemas.openxmlformats.org/officeDocument/2006/relationships/hyperlink" Target="mailto:prakashmmn25@gmail.com" TargetMode="External"/><Relationship Id="rId244" Type="http://schemas.openxmlformats.org/officeDocument/2006/relationships/hyperlink" Target="mailto:sproindustries22@gmail.com" TargetMode="External"/><Relationship Id="rId18" Type="http://schemas.openxmlformats.org/officeDocument/2006/relationships/hyperlink" Target="mailto:abhijeet.santosh.gawade@gmail.com" TargetMode="External"/><Relationship Id="rId39" Type="http://schemas.openxmlformats.org/officeDocument/2006/relationships/hyperlink" Target="mailto:sagar_india@outlook.in" TargetMode="External"/><Relationship Id="rId265" Type="http://schemas.openxmlformats.org/officeDocument/2006/relationships/hyperlink" Target="mailto:ananddesai12@gmail.com" TargetMode="External"/><Relationship Id="rId286" Type="http://schemas.openxmlformats.org/officeDocument/2006/relationships/hyperlink" Target="mailto:monalicrane@gmail.com" TargetMode="External"/><Relationship Id="rId50" Type="http://schemas.openxmlformats.org/officeDocument/2006/relationships/hyperlink" Target="mailto:sales@arhamcomposite.com" TargetMode="External"/><Relationship Id="rId104" Type="http://schemas.openxmlformats.org/officeDocument/2006/relationships/hyperlink" Target="mailto:a.t.u.ldixit007@gmail.com" TargetMode="External"/><Relationship Id="rId125" Type="http://schemas.openxmlformats.org/officeDocument/2006/relationships/hyperlink" Target="mailto:jaiambeprint2014@gmail.com" TargetMode="External"/><Relationship Id="rId146" Type="http://schemas.openxmlformats.org/officeDocument/2006/relationships/hyperlink" Target="mailto:samsam19782001@gmail.com" TargetMode="External"/><Relationship Id="rId167" Type="http://schemas.openxmlformats.org/officeDocument/2006/relationships/hyperlink" Target="mailto:chindam.hruthik@gmail.com" TargetMode="External"/><Relationship Id="rId188" Type="http://schemas.openxmlformats.org/officeDocument/2006/relationships/hyperlink" Target="mailto:sbelambe@forbesmarshall.com" TargetMode="External"/><Relationship Id="rId311" Type="http://schemas.openxmlformats.org/officeDocument/2006/relationships/hyperlink" Target="mailto:anbarasan010777@gmail.com" TargetMode="External"/><Relationship Id="rId332" Type="http://schemas.openxmlformats.org/officeDocument/2006/relationships/hyperlink" Target="mailto:boraderohit533@gmail.com" TargetMode="External"/><Relationship Id="rId353" Type="http://schemas.openxmlformats.org/officeDocument/2006/relationships/hyperlink" Target="mailto:shreeganeshcraneservices@gmail.com" TargetMode="External"/><Relationship Id="rId374" Type="http://schemas.openxmlformats.org/officeDocument/2006/relationships/hyperlink" Target="mailto:sandypoman99@gmail.com" TargetMode="External"/><Relationship Id="rId395" Type="http://schemas.openxmlformats.org/officeDocument/2006/relationships/hyperlink" Target="mailto:mayurwaghole123@gmail.com" TargetMode="External"/><Relationship Id="rId409" Type="http://schemas.openxmlformats.org/officeDocument/2006/relationships/hyperlink" Target="mailto:srimahalakshmi216@gmail.com" TargetMode="External"/><Relationship Id="rId71" Type="http://schemas.openxmlformats.org/officeDocument/2006/relationships/hyperlink" Target="mailto:sunil.k@nbccindia.com" TargetMode="External"/><Relationship Id="rId92" Type="http://schemas.openxmlformats.org/officeDocument/2006/relationships/hyperlink" Target="mailto:97harjeet97@gmail.com" TargetMode="External"/><Relationship Id="rId213" Type="http://schemas.openxmlformats.org/officeDocument/2006/relationships/hyperlink" Target="mailto:mk.yadav150780@gmail.com" TargetMode="External"/><Relationship Id="rId234" Type="http://schemas.openxmlformats.org/officeDocument/2006/relationships/hyperlink" Target="mailto:at8854028@gmail.com" TargetMode="External"/><Relationship Id="rId420" Type="http://schemas.openxmlformats.org/officeDocument/2006/relationships/hyperlink" Target="mailto:baljeetsainibaljeetkaur5008@gmail.com" TargetMode="External"/><Relationship Id="rId2" Type="http://schemas.openxmlformats.org/officeDocument/2006/relationships/hyperlink" Target="mailto:srikanth@shmrail.com.my" TargetMode="External"/><Relationship Id="rId29" Type="http://schemas.openxmlformats.org/officeDocument/2006/relationships/hyperlink" Target="mailto:mayureshengineers.purchase@gmail.com" TargetMode="External"/><Relationship Id="rId255" Type="http://schemas.openxmlformats.org/officeDocument/2006/relationships/hyperlink" Target="mailto:srikanth@smhrail.com.my" TargetMode="External"/><Relationship Id="rId276" Type="http://schemas.openxmlformats.org/officeDocument/2006/relationships/hyperlink" Target="mailto:farhan.khan@cleantechsystems.in" TargetMode="External"/><Relationship Id="rId297" Type="http://schemas.openxmlformats.org/officeDocument/2006/relationships/hyperlink" Target="mailto:thimmarajuvv@gmail.com" TargetMode="External"/><Relationship Id="rId40" Type="http://schemas.openxmlformats.org/officeDocument/2006/relationships/hyperlink" Target="mailto:santoshkumardas@merinoindia.com" TargetMode="External"/><Relationship Id="rId115" Type="http://schemas.openxmlformats.org/officeDocument/2006/relationships/hyperlink" Target="mailto:shailesh.paithankar@duncanengg.com" TargetMode="External"/><Relationship Id="rId136" Type="http://schemas.openxmlformats.org/officeDocument/2006/relationships/hyperlink" Target="mailto:prasad.desai020@gmail.com" TargetMode="External"/><Relationship Id="rId157" Type="http://schemas.openxmlformats.org/officeDocument/2006/relationships/hyperlink" Target="mailto:adibajaj174@gmail.com" TargetMode="External"/><Relationship Id="rId178" Type="http://schemas.openxmlformats.org/officeDocument/2006/relationships/hyperlink" Target="mailto:sscranesindia@gmail.com" TargetMode="External"/><Relationship Id="rId301" Type="http://schemas.openxmlformats.org/officeDocument/2006/relationships/hyperlink" Target="mailto:pd6217906@gmail.com" TargetMode="External"/><Relationship Id="rId322" Type="http://schemas.openxmlformats.org/officeDocument/2006/relationships/hyperlink" Target="mailto:dmahajan1@unominda.com" TargetMode="External"/><Relationship Id="rId343" Type="http://schemas.openxmlformats.org/officeDocument/2006/relationships/hyperlink" Target="mailto:vishal@ecolifepolymers.com" TargetMode="External"/><Relationship Id="rId364" Type="http://schemas.openxmlformats.org/officeDocument/2006/relationships/hyperlink" Target="mailto:boraderohit533@gmail.com" TargetMode="External"/><Relationship Id="rId61" Type="http://schemas.openxmlformats.org/officeDocument/2006/relationships/hyperlink" Target="mailto:gowri.gowdaiah01@gmail.com" TargetMode="External"/><Relationship Id="rId82" Type="http://schemas.openxmlformats.org/officeDocument/2006/relationships/hyperlink" Target="mailto:lalsk7403@gmail.com" TargetMode="External"/><Relationship Id="rId199" Type="http://schemas.openxmlformats.org/officeDocument/2006/relationships/hyperlink" Target="mailto:pankaj.damare@ekamobility.com" TargetMode="External"/><Relationship Id="rId203" Type="http://schemas.openxmlformats.org/officeDocument/2006/relationships/hyperlink" Target="mailto:claykids.ind@gmail.com" TargetMode="External"/><Relationship Id="rId385" Type="http://schemas.openxmlformats.org/officeDocument/2006/relationships/hyperlink" Target="mailto:empirelifting2023@gmail.com" TargetMode="External"/><Relationship Id="rId19" Type="http://schemas.openxmlformats.org/officeDocument/2006/relationships/hyperlink" Target="mailto:pg_conversions@yahoo.com" TargetMode="External"/><Relationship Id="rId224" Type="http://schemas.openxmlformats.org/officeDocument/2006/relationships/hyperlink" Target="mailto:del.maintenance@duncanengg.com" TargetMode="External"/><Relationship Id="rId245" Type="http://schemas.openxmlformats.org/officeDocument/2006/relationships/hyperlink" Target="mailto:%3cJIDDEWAR.SHASHANK@mahindra.com" TargetMode="External"/><Relationship Id="rId266" Type="http://schemas.openxmlformats.org/officeDocument/2006/relationships/hyperlink" Target="mailto:khan34689@gmail.com" TargetMode="External"/><Relationship Id="rId287" Type="http://schemas.openxmlformats.org/officeDocument/2006/relationships/hyperlink" Target="mailto:nikkyenterprises21@gmail.com" TargetMode="External"/><Relationship Id="rId410" Type="http://schemas.openxmlformats.org/officeDocument/2006/relationships/hyperlink" Target="mailto:andriyashipping@gmail.com" TargetMode="External"/><Relationship Id="rId30" Type="http://schemas.openxmlformats.org/officeDocument/2006/relationships/hyperlink" Target="mailto:srikanth@shmrail.com.my" TargetMode="External"/><Relationship Id="rId105" Type="http://schemas.openxmlformats.org/officeDocument/2006/relationships/hyperlink" Target="mailto:55555kunalpatil@gmail.com" TargetMode="External"/><Relationship Id="rId126" Type="http://schemas.openxmlformats.org/officeDocument/2006/relationships/hyperlink" Target="mailto:honeymehta75@gmail.com" TargetMode="External"/><Relationship Id="rId147" Type="http://schemas.openxmlformats.org/officeDocument/2006/relationships/hyperlink" Target="mailto:vinayak.ik@difacto.com" TargetMode="External"/><Relationship Id="rId168" Type="http://schemas.openxmlformats.org/officeDocument/2006/relationships/hyperlink" Target="mailto:mduvinayakwiremeshindustries@gmail.com" TargetMode="External"/><Relationship Id="rId312" Type="http://schemas.openxmlformats.org/officeDocument/2006/relationships/hyperlink" Target="mailto:ashmita.paul@betterpower.co.in" TargetMode="External"/><Relationship Id="rId333" Type="http://schemas.openxmlformats.org/officeDocument/2006/relationships/hyperlink" Target="mailto:leaforganics19@gmail.com" TargetMode="External"/><Relationship Id="rId354" Type="http://schemas.openxmlformats.org/officeDocument/2006/relationships/hyperlink" Target="mailto:sales@sudarshanenterprisespune.in" TargetMode="External"/><Relationship Id="rId51" Type="http://schemas.openxmlformats.org/officeDocument/2006/relationships/hyperlink" Target="mailto:akshaydsabale@gmail.com" TargetMode="External"/><Relationship Id="rId72" Type="http://schemas.openxmlformats.org/officeDocument/2006/relationships/hyperlink" Target="mailto:sandeep98prajapati@gmail.com" TargetMode="External"/><Relationship Id="rId93" Type="http://schemas.openxmlformats.org/officeDocument/2006/relationships/hyperlink" Target="mailto:ganesh.godambe@jcb.com" TargetMode="External"/><Relationship Id="rId189" Type="http://schemas.openxmlformats.org/officeDocument/2006/relationships/hyperlink" Target="mailto:sales@rimcoindia.com" TargetMode="External"/><Relationship Id="rId375" Type="http://schemas.openxmlformats.org/officeDocument/2006/relationships/hyperlink" Target="mailto:mvemukesh57@gmail.com" TargetMode="External"/><Relationship Id="rId396" Type="http://schemas.openxmlformats.org/officeDocument/2006/relationships/hyperlink" Target="mailto:ansarbelgaum@gmail.com" TargetMode="External"/><Relationship Id="rId3" Type="http://schemas.openxmlformats.org/officeDocument/2006/relationships/hyperlink" Target="mailto:raut.shailendra@gmail.com" TargetMode="External"/><Relationship Id="rId214" Type="http://schemas.openxmlformats.org/officeDocument/2006/relationships/hyperlink" Target="mailto:ammeyasathe17@gmail.com" TargetMode="External"/><Relationship Id="rId235" Type="http://schemas.openxmlformats.org/officeDocument/2006/relationships/hyperlink" Target="mailto:babubmc@icloud.com" TargetMode="External"/><Relationship Id="rId256" Type="http://schemas.openxmlformats.org/officeDocument/2006/relationships/hyperlink" Target="mailto:%3cshravan@dattaenterprises.com" TargetMode="External"/><Relationship Id="rId277" Type="http://schemas.openxmlformats.org/officeDocument/2006/relationships/hyperlink" Target="mailto:jaisingh2801@gmail.com" TargetMode="External"/><Relationship Id="rId298" Type="http://schemas.openxmlformats.org/officeDocument/2006/relationships/hyperlink" Target="mailto:mechghanshyam@yahoo.com" TargetMode="External"/><Relationship Id="rId400" Type="http://schemas.openxmlformats.org/officeDocument/2006/relationships/hyperlink" Target="mailto:sshambhussingh08893@gmail.com" TargetMode="External"/><Relationship Id="rId421" Type="http://schemas.openxmlformats.org/officeDocument/2006/relationships/hyperlink" Target="mailto:purchase@xpertmhe.com" TargetMode="External"/><Relationship Id="rId116" Type="http://schemas.openxmlformats.org/officeDocument/2006/relationships/hyperlink" Target="mailto:mostafamondal098@gmail.com" TargetMode="External"/><Relationship Id="rId137" Type="http://schemas.openxmlformats.org/officeDocument/2006/relationships/hyperlink" Target="mailto:Ayush.Kumar6@vedanta.co.in" TargetMode="External"/><Relationship Id="rId158" Type="http://schemas.openxmlformats.org/officeDocument/2006/relationships/hyperlink" Target="mailto:prabhakarsavulgay@gmail.com" TargetMode="External"/><Relationship Id="rId302" Type="http://schemas.openxmlformats.org/officeDocument/2006/relationships/hyperlink" Target="mailto:senmohit55@gmail.com" TargetMode="External"/><Relationship Id="rId323" Type="http://schemas.openxmlformats.org/officeDocument/2006/relationships/hyperlink" Target="mailto:toolroom_hinj@m-techindia.com" TargetMode="External"/><Relationship Id="rId344" Type="http://schemas.openxmlformats.org/officeDocument/2006/relationships/hyperlink" Target="mailto:jsrmindia@yahoo.com" TargetMode="External"/><Relationship Id="rId20" Type="http://schemas.openxmlformats.org/officeDocument/2006/relationships/hyperlink" Target="mailto:mantrisankum@rediffmail.com" TargetMode="External"/><Relationship Id="rId41" Type="http://schemas.openxmlformats.org/officeDocument/2006/relationships/hyperlink" Target="mailto:yogesh.patil@kirloskar.com" TargetMode="External"/><Relationship Id="rId62" Type="http://schemas.openxmlformats.org/officeDocument/2006/relationships/hyperlink" Target="mailto:suntec.ec@gmail.com" TargetMode="External"/><Relationship Id="rId83" Type="http://schemas.openxmlformats.org/officeDocument/2006/relationships/hyperlink" Target="mailto:globaltechcbe1627@gmail.com" TargetMode="External"/><Relationship Id="rId179" Type="http://schemas.openxmlformats.org/officeDocument/2006/relationships/hyperlink" Target="mailto:anil.m@ekamobility.com" TargetMode="External"/><Relationship Id="rId365" Type="http://schemas.openxmlformats.org/officeDocument/2006/relationships/hyperlink" Target="mailto:ashishgoradia@goradia.in" TargetMode="External"/><Relationship Id="rId386" Type="http://schemas.openxmlformats.org/officeDocument/2006/relationships/hyperlink" Target="mailto:vspnpack2007@yahoo.co.in" TargetMode="External"/><Relationship Id="rId190" Type="http://schemas.openxmlformats.org/officeDocument/2006/relationships/hyperlink" Target="mailto:gk@bwcbah.com" TargetMode="External"/><Relationship Id="rId204" Type="http://schemas.openxmlformats.org/officeDocument/2006/relationships/hyperlink" Target="mailto:ra.engineers.gzb@gmail.com" TargetMode="External"/><Relationship Id="rId225" Type="http://schemas.openxmlformats.org/officeDocument/2006/relationships/hyperlink" Target="mailto:chetan.chavan@modulex.in" TargetMode="External"/><Relationship Id="rId246" Type="http://schemas.openxmlformats.org/officeDocument/2006/relationships/hyperlink" Target="mailto:jugal@bslaluminiumltd.com" TargetMode="External"/><Relationship Id="rId267" Type="http://schemas.openxmlformats.org/officeDocument/2006/relationships/hyperlink" Target="mailto:deepakkumarsharma59@gmail.com" TargetMode="External"/><Relationship Id="rId288" Type="http://schemas.openxmlformats.org/officeDocument/2006/relationships/hyperlink" Target="mailto:manisiva443@gmail.com" TargetMode="External"/><Relationship Id="rId411" Type="http://schemas.openxmlformats.org/officeDocument/2006/relationships/hyperlink" Target="mailto:umsscales@gmail.com" TargetMode="External"/><Relationship Id="rId106" Type="http://schemas.openxmlformats.org/officeDocument/2006/relationships/hyperlink" Target="mailto:rani@bhartiyaispat.com" TargetMode="External"/><Relationship Id="rId127" Type="http://schemas.openxmlformats.org/officeDocument/2006/relationships/hyperlink" Target="mailto:purchase@trizsystems.com" TargetMode="External"/><Relationship Id="rId313" Type="http://schemas.openxmlformats.org/officeDocument/2006/relationships/hyperlink" Target="mailto:dipeshdas8888@gmail.com" TargetMode="External"/><Relationship Id="rId10" Type="http://schemas.openxmlformats.org/officeDocument/2006/relationships/hyperlink" Target="mailto:beskarumar@gmail.com" TargetMode="External"/><Relationship Id="rId31" Type="http://schemas.openxmlformats.org/officeDocument/2006/relationships/hyperlink" Target="mailto:sagarrewatkar908@gmail.com" TargetMode="External"/><Relationship Id="rId52" Type="http://schemas.openxmlformats.org/officeDocument/2006/relationships/hyperlink" Target="mailto:smahesh7662@gmail.com" TargetMode="External"/><Relationship Id="rId73" Type="http://schemas.openxmlformats.org/officeDocument/2006/relationships/hyperlink" Target="mailto:jaytomar0203@gmail.com" TargetMode="External"/><Relationship Id="rId94" Type="http://schemas.openxmlformats.org/officeDocument/2006/relationships/hyperlink" Target="mailto:assembly@arhan.co.in" TargetMode="External"/><Relationship Id="rId148" Type="http://schemas.openxmlformats.org/officeDocument/2006/relationships/hyperlink" Target="mailto:dalwaleanand@hotmail.com" TargetMode="External"/><Relationship Id="rId169" Type="http://schemas.openxmlformats.org/officeDocument/2006/relationships/hyperlink" Target="mailto:vittal.m@radiantcorpn.com" TargetMode="External"/><Relationship Id="rId334" Type="http://schemas.openxmlformats.org/officeDocument/2006/relationships/hyperlink" Target="mailto:vaibhavbhat29@gmail.com" TargetMode="External"/><Relationship Id="rId355" Type="http://schemas.openxmlformats.org/officeDocument/2006/relationships/hyperlink" Target="mailto:vikram.d79@gmail.com" TargetMode="External"/><Relationship Id="rId376" Type="http://schemas.openxmlformats.org/officeDocument/2006/relationships/hyperlink" Target="mailto:rambabuprajapat6@gmail.com" TargetMode="External"/><Relationship Id="rId397" Type="http://schemas.openxmlformats.org/officeDocument/2006/relationships/hyperlink" Target="mailto:sbdhpl@gmail.com" TargetMode="External"/><Relationship Id="rId4" Type="http://schemas.openxmlformats.org/officeDocument/2006/relationships/hyperlink" Target="mailto:vrushalipanels@outlook.com" TargetMode="External"/><Relationship Id="rId180" Type="http://schemas.openxmlformats.org/officeDocument/2006/relationships/hyperlink" Target="mailto:Devendra.Kapade@ksb.com" TargetMode="External"/><Relationship Id="rId215" Type="http://schemas.openxmlformats.org/officeDocument/2006/relationships/hyperlink" Target="mailto:pankajletsbegin@gmail.com" TargetMode="External"/><Relationship Id="rId236" Type="http://schemas.openxmlformats.org/officeDocument/2006/relationships/hyperlink" Target="mailto:kartikey1269@gmail.com" TargetMode="External"/><Relationship Id="rId257" Type="http://schemas.openxmlformats.org/officeDocument/2006/relationships/hyperlink" Target="mailto:nad9876khan@gmail.com" TargetMode="External"/><Relationship Id="rId278" Type="http://schemas.openxmlformats.org/officeDocument/2006/relationships/hyperlink" Target="mailto:mudassarkazi554@gmail.com" TargetMode="External"/><Relationship Id="rId401" Type="http://schemas.openxmlformats.org/officeDocument/2006/relationships/hyperlink" Target="mailto:chetanyelikar@yahoo.in" TargetMode="External"/><Relationship Id="rId422" Type="http://schemas.openxmlformats.org/officeDocument/2006/relationships/hyperlink" Target="mailto:shinde.abhay333@gmail.com" TargetMode="External"/><Relationship Id="rId303" Type="http://schemas.openxmlformats.org/officeDocument/2006/relationships/hyperlink" Target="mailto:regalcranew@gmail.com" TargetMode="External"/><Relationship Id="rId42" Type="http://schemas.openxmlformats.org/officeDocument/2006/relationships/hyperlink" Target="mailto:ojyadav@paranjapeautocast.com" TargetMode="External"/><Relationship Id="rId84" Type="http://schemas.openxmlformats.org/officeDocument/2006/relationships/hyperlink" Target="mailto:gonsalvesjoel2000@gmail.com" TargetMode="External"/><Relationship Id="rId138" Type="http://schemas.openxmlformats.org/officeDocument/2006/relationships/hyperlink" Target="mailto:engineering@alexgrinders.com" TargetMode="External"/><Relationship Id="rId345" Type="http://schemas.openxmlformats.org/officeDocument/2006/relationships/hyperlink" Target="mailto:govardhan.varpe@kirloskar.com" TargetMode="External"/><Relationship Id="rId387" Type="http://schemas.openxmlformats.org/officeDocument/2006/relationships/hyperlink" Target="mailto:shrenik@navbharatbuildcon.com" TargetMode="External"/><Relationship Id="rId191" Type="http://schemas.openxmlformats.org/officeDocument/2006/relationships/hyperlink" Target="mailto:nrk.sbp@gmail.com" TargetMode="External"/><Relationship Id="rId205" Type="http://schemas.openxmlformats.org/officeDocument/2006/relationships/hyperlink" Target="mailto:jkee.dahej@gmail.com" TargetMode="External"/><Relationship Id="rId247" Type="http://schemas.openxmlformats.org/officeDocument/2006/relationships/hyperlink" Target="mailto:%3cniranjan.shimpale@kirloskar.com" TargetMode="External"/><Relationship Id="rId412" Type="http://schemas.openxmlformats.org/officeDocument/2006/relationships/hyperlink" Target="mailto:coolatul1994@gmail.com" TargetMode="External"/><Relationship Id="rId107" Type="http://schemas.openxmlformats.org/officeDocument/2006/relationships/hyperlink" Target="mailto:humayun.mallick@araymond.com" TargetMode="External"/><Relationship Id="rId289" Type="http://schemas.openxmlformats.org/officeDocument/2006/relationships/hyperlink" Target="mailto:dr.eractors@gmail.com" TargetMode="External"/><Relationship Id="rId11" Type="http://schemas.openxmlformats.org/officeDocument/2006/relationships/hyperlink" Target="mailto:mvnn19@gmail.com" TargetMode="External"/><Relationship Id="rId53" Type="http://schemas.openxmlformats.org/officeDocument/2006/relationships/hyperlink" Target="mailto:himank@vistaarsolutions.in" TargetMode="External"/><Relationship Id="rId149" Type="http://schemas.openxmlformats.org/officeDocument/2006/relationships/hyperlink" Target="mailto:edith.24091999@gmail.com" TargetMode="External"/><Relationship Id="rId314" Type="http://schemas.openxmlformats.org/officeDocument/2006/relationships/hyperlink" Target="mailto:kaushik.jagadeshan@gmail.com" TargetMode="External"/><Relationship Id="rId356" Type="http://schemas.openxmlformats.org/officeDocument/2006/relationships/hyperlink" Target="mailto:mkmishra77@rediffmail.com" TargetMode="External"/><Relationship Id="rId398" Type="http://schemas.openxmlformats.org/officeDocument/2006/relationships/hyperlink" Target="mailto:dangat9666@gmail.com" TargetMode="External"/><Relationship Id="rId95" Type="http://schemas.openxmlformats.org/officeDocument/2006/relationships/hyperlink" Target="mailto:navajadhav8@gmail.com" TargetMode="External"/><Relationship Id="rId160" Type="http://schemas.openxmlformats.org/officeDocument/2006/relationships/hyperlink" Target="mailto:unent.pune@gmail.com" TargetMode="External"/><Relationship Id="rId216" Type="http://schemas.openxmlformats.org/officeDocument/2006/relationships/hyperlink" Target="mailto:shibin8689@gmail.com" TargetMode="External"/><Relationship Id="rId423" Type="http://schemas.openxmlformats.org/officeDocument/2006/relationships/hyperlink" Target="mailto:prakashdunge@weichai.com" TargetMode="External"/><Relationship Id="rId258" Type="http://schemas.openxmlformats.org/officeDocument/2006/relationships/hyperlink" Target="mailto:ranjitpradhan787@gmail.com" TargetMode="External"/><Relationship Id="rId22" Type="http://schemas.openxmlformats.org/officeDocument/2006/relationships/hyperlink" Target="mailto:gauravan92@gmail.com" TargetMode="External"/><Relationship Id="rId64" Type="http://schemas.openxmlformats.org/officeDocument/2006/relationships/hyperlink" Target="mailto:reliable.enterprises@ymail.com" TargetMode="External"/><Relationship Id="rId118" Type="http://schemas.openxmlformats.org/officeDocument/2006/relationships/hyperlink" Target="mailto:jk768844@gmail.com" TargetMode="External"/><Relationship Id="rId325" Type="http://schemas.openxmlformats.org/officeDocument/2006/relationships/hyperlink" Target="mailto:commoditypurchase@jyotisolutionsworks.com" TargetMode="External"/><Relationship Id="rId367" Type="http://schemas.openxmlformats.org/officeDocument/2006/relationships/hyperlink" Target="mailto:psr.em.engineeringservices@gmail.com" TargetMode="External"/><Relationship Id="rId171" Type="http://schemas.openxmlformats.org/officeDocument/2006/relationships/hyperlink" Target="mailto:ajitsalunkhe14@gmail.com" TargetMode="External"/><Relationship Id="rId227" Type="http://schemas.openxmlformats.org/officeDocument/2006/relationships/hyperlink" Target="mailto:sutarmahesh71@gmail.com" TargetMode="External"/><Relationship Id="rId269" Type="http://schemas.openxmlformats.org/officeDocument/2006/relationships/hyperlink" Target="mailto:blackberryserver@gmail.com" TargetMode="External"/><Relationship Id="rId33" Type="http://schemas.openxmlformats.org/officeDocument/2006/relationships/hyperlink" Target="mailto:dhiraj_shetkar@rediffmail.com" TargetMode="External"/><Relationship Id="rId129" Type="http://schemas.openxmlformats.org/officeDocument/2006/relationships/hyperlink" Target="mailto:sal143mankhan@gmail.com" TargetMode="External"/><Relationship Id="rId280" Type="http://schemas.openxmlformats.org/officeDocument/2006/relationships/hyperlink" Target="mailto:rititarun@gmail.com" TargetMode="External"/><Relationship Id="rId336" Type="http://schemas.openxmlformats.org/officeDocument/2006/relationships/hyperlink" Target="mailto:nvk@krivel.in" TargetMode="External"/><Relationship Id="rId75" Type="http://schemas.openxmlformats.org/officeDocument/2006/relationships/hyperlink" Target="mailto:prashant.z@instorindia.com" TargetMode="External"/><Relationship Id="rId140" Type="http://schemas.openxmlformats.org/officeDocument/2006/relationships/hyperlink" Target="mailto:imraanabbas1982@gmail.com" TargetMode="External"/><Relationship Id="rId182" Type="http://schemas.openxmlformats.org/officeDocument/2006/relationships/hyperlink" Target="mailto:sganesh1892@gmail.com" TargetMode="External"/><Relationship Id="rId378" Type="http://schemas.openxmlformats.org/officeDocument/2006/relationships/hyperlink" Target="mailto:soham.dalvi@parker.com" TargetMode="External"/><Relationship Id="rId403" Type="http://schemas.openxmlformats.org/officeDocument/2006/relationships/hyperlink" Target="mailto:pmtdel@pmtcoltd.com" TargetMode="External"/><Relationship Id="rId6" Type="http://schemas.openxmlformats.org/officeDocument/2006/relationships/hyperlink" Target="mailto:ajittambe@yahoo.com" TargetMode="External"/><Relationship Id="rId238" Type="http://schemas.openxmlformats.org/officeDocument/2006/relationships/hyperlink" Target="mailto:billing_tippl@rmkinfrastructure.com" TargetMode="External"/><Relationship Id="rId291" Type="http://schemas.openxmlformats.org/officeDocument/2006/relationships/hyperlink" Target="mailto:ssvprecisionenginnering@gmail.com" TargetMode="External"/><Relationship Id="rId305" Type="http://schemas.openxmlformats.org/officeDocument/2006/relationships/hyperlink" Target="mailto:arunetawah01@gmail.com" TargetMode="External"/><Relationship Id="rId347" Type="http://schemas.openxmlformats.org/officeDocument/2006/relationships/hyperlink" Target="mailto:mgr.purchase@arcepolymers.com" TargetMode="External"/><Relationship Id="rId44" Type="http://schemas.openxmlformats.org/officeDocument/2006/relationships/hyperlink" Target="mailto:hanumaneng95@gmail.com" TargetMode="External"/><Relationship Id="rId86" Type="http://schemas.openxmlformats.org/officeDocument/2006/relationships/hyperlink" Target="mailto:nafees52438@gmail.com" TargetMode="External"/><Relationship Id="rId151" Type="http://schemas.openxmlformats.org/officeDocument/2006/relationships/hyperlink" Target="mailto:del.maintenance@duncanengg.com" TargetMode="External"/><Relationship Id="rId389" Type="http://schemas.openxmlformats.org/officeDocument/2006/relationships/hyperlink" Target="mailto:shreemauli8080@gmail.com" TargetMode="External"/><Relationship Id="rId193" Type="http://schemas.openxmlformats.org/officeDocument/2006/relationships/hyperlink" Target="mailto:gk@bwcbah.com" TargetMode="External"/><Relationship Id="rId207" Type="http://schemas.openxmlformats.org/officeDocument/2006/relationships/hyperlink" Target="mailto:dharanikumarsenthil@gmail.com" TargetMode="External"/><Relationship Id="rId249" Type="http://schemas.openxmlformats.org/officeDocument/2006/relationships/hyperlink" Target="mailto:eki1@endo-india.co.in" TargetMode="External"/><Relationship Id="rId414" Type="http://schemas.openxmlformats.org/officeDocument/2006/relationships/hyperlink" Target="mailto:arvinddandwate2@gmail.com" TargetMode="External"/><Relationship Id="rId13" Type="http://schemas.openxmlformats.org/officeDocument/2006/relationships/hyperlink" Target="mailto:jrctradingworkmate@gmail.com" TargetMode="External"/><Relationship Id="rId109" Type="http://schemas.openxmlformats.org/officeDocument/2006/relationships/hyperlink" Target="mailto:pur2@masterhandlers.com" TargetMode="External"/><Relationship Id="rId260" Type="http://schemas.openxmlformats.org/officeDocument/2006/relationships/hyperlink" Target="mailto:info@emraldcure.com" TargetMode="External"/><Relationship Id="rId316" Type="http://schemas.openxmlformats.org/officeDocument/2006/relationships/hyperlink" Target="mailto:vasukthumati@gmail.com" TargetMode="External"/><Relationship Id="rId55" Type="http://schemas.openxmlformats.org/officeDocument/2006/relationships/hyperlink" Target="mailto:paragempire@gmail.com" TargetMode="External"/><Relationship Id="rId97" Type="http://schemas.openxmlformats.org/officeDocument/2006/relationships/hyperlink" Target="mailto:ravisutar24425@gmail.com" TargetMode="External"/><Relationship Id="rId120" Type="http://schemas.openxmlformats.org/officeDocument/2006/relationships/hyperlink" Target="mailto:srindustries77@gmail.com" TargetMode="External"/><Relationship Id="rId358" Type="http://schemas.openxmlformats.org/officeDocument/2006/relationships/hyperlink" Target="mailto:pmpatil844@gmail.com" TargetMode="External"/><Relationship Id="rId162" Type="http://schemas.openxmlformats.org/officeDocument/2006/relationships/hyperlink" Target="mailto:hanumaneng95@gmail.com" TargetMode="External"/><Relationship Id="rId218" Type="http://schemas.openxmlformats.org/officeDocument/2006/relationships/hyperlink" Target="mailto:amesimpex.engg@gmail.com" TargetMode="External"/><Relationship Id="rId425" Type="http://schemas.openxmlformats.org/officeDocument/2006/relationships/hyperlink" Target="mailto:pareshb56@yahoo.co.in" TargetMode="External"/><Relationship Id="rId271" Type="http://schemas.openxmlformats.org/officeDocument/2006/relationships/hyperlink" Target="mailto:%3cgauravarya@jendamark.in" TargetMode="External"/><Relationship Id="rId24" Type="http://schemas.openxmlformats.org/officeDocument/2006/relationships/hyperlink" Target="mailto:kirubataniesh114@gmail.com" TargetMode="External"/><Relationship Id="rId66" Type="http://schemas.openxmlformats.org/officeDocument/2006/relationships/hyperlink" Target="mailto:production.unit1@enggmech.com" TargetMode="External"/><Relationship Id="rId131" Type="http://schemas.openxmlformats.org/officeDocument/2006/relationships/hyperlink" Target="mailto:purchase.flamesolren@gmail.com" TargetMode="External"/><Relationship Id="rId327" Type="http://schemas.openxmlformats.org/officeDocument/2006/relationships/hyperlink" Target="mailto:anand.kulkarni@kamalenvirotech.com" TargetMode="External"/><Relationship Id="rId369" Type="http://schemas.openxmlformats.org/officeDocument/2006/relationships/hyperlink" Target="mailto:factory@leoengineer.com" TargetMode="External"/><Relationship Id="rId173" Type="http://schemas.openxmlformats.org/officeDocument/2006/relationships/hyperlink" Target="mailto:mustafa@qpointsolutions.com" TargetMode="External"/><Relationship Id="rId229" Type="http://schemas.openxmlformats.org/officeDocument/2006/relationships/hyperlink" Target="mailto:info@bestweldingsolutions.in" TargetMode="External"/><Relationship Id="rId380" Type="http://schemas.openxmlformats.org/officeDocument/2006/relationships/hyperlink" Target="mailto:ashoksalgude1818@gmail.com" TargetMode="External"/><Relationship Id="rId240" Type="http://schemas.openxmlformats.org/officeDocument/2006/relationships/hyperlink" Target="mailto:nimbathakare1975@gmail.com" TargetMode="External"/><Relationship Id="rId35" Type="http://schemas.openxmlformats.org/officeDocument/2006/relationships/hyperlink" Target="mailto:prajapatiajay675@gmail.com" TargetMode="External"/><Relationship Id="rId77" Type="http://schemas.openxmlformats.org/officeDocument/2006/relationships/hyperlink" Target="mailto:saravansurya69@gmail.com" TargetMode="External"/><Relationship Id="rId100" Type="http://schemas.openxmlformats.org/officeDocument/2006/relationships/hyperlink" Target="mailto:info@sunrocksynergy.com" TargetMode="External"/><Relationship Id="rId282" Type="http://schemas.openxmlformats.org/officeDocument/2006/relationships/hyperlink" Target="mailto:rash.wi13@gmail.com" TargetMode="External"/><Relationship Id="rId338" Type="http://schemas.openxmlformats.org/officeDocument/2006/relationships/hyperlink" Target="mailto:ppoonthamilanppoonthamilan@gmail.com" TargetMode="External"/><Relationship Id="rId8" Type="http://schemas.openxmlformats.org/officeDocument/2006/relationships/hyperlink" Target="mailto:rajkushwahasm@gmail.com" TargetMode="External"/><Relationship Id="rId142" Type="http://schemas.openxmlformats.org/officeDocument/2006/relationships/hyperlink" Target="mailto:soumyapujari@sammoninfra.com" TargetMode="External"/><Relationship Id="rId184" Type="http://schemas.openxmlformats.org/officeDocument/2006/relationships/hyperlink" Target="mailto:aniketbichkule49@gmail.com" TargetMode="External"/><Relationship Id="rId391" Type="http://schemas.openxmlformats.org/officeDocument/2006/relationships/hyperlink" Target="mailto:%3cJaywant.Sutar@ksb.com" TargetMode="External"/><Relationship Id="rId405" Type="http://schemas.openxmlformats.org/officeDocument/2006/relationships/hyperlink" Target="mailto:gufrankhanjanimeerut@gmail.com" TargetMode="External"/><Relationship Id="rId251" Type="http://schemas.openxmlformats.org/officeDocument/2006/relationships/hyperlink" Target="mailto:soundar2301@gmail.com" TargetMode="External"/><Relationship Id="rId46" Type="http://schemas.openxmlformats.org/officeDocument/2006/relationships/hyperlink" Target="mailto:gautam.4@hotmail.com" TargetMode="External"/><Relationship Id="rId293" Type="http://schemas.openxmlformats.org/officeDocument/2006/relationships/hyperlink" Target="mailto:surajmaske9090@gmail.com" TargetMode="External"/><Relationship Id="rId307" Type="http://schemas.openxmlformats.org/officeDocument/2006/relationships/hyperlink" Target="mailto:krgrajiv@gmail.com" TargetMode="External"/><Relationship Id="rId349" Type="http://schemas.openxmlformats.org/officeDocument/2006/relationships/hyperlink" Target="mailto:ala.narayanan@gmail.com" TargetMode="External"/><Relationship Id="rId88" Type="http://schemas.openxmlformats.org/officeDocument/2006/relationships/hyperlink" Target="mailto:brcmurthy2577@gmail.com" TargetMode="External"/><Relationship Id="rId111" Type="http://schemas.openxmlformats.org/officeDocument/2006/relationships/hyperlink" Target="mailto:skshirsagar@ultracorpotech.com" TargetMode="External"/><Relationship Id="rId153" Type="http://schemas.openxmlformats.org/officeDocument/2006/relationships/hyperlink" Target="mailto:alok.deshmukh@atlascopco.com" TargetMode="External"/><Relationship Id="rId195" Type="http://schemas.openxmlformats.org/officeDocument/2006/relationships/hyperlink" Target="mailto:shubhamfarkade150@gmail.com" TargetMode="External"/><Relationship Id="rId209" Type="http://schemas.openxmlformats.org/officeDocument/2006/relationships/hyperlink" Target="mailto:info.steel@hahgroup.in" TargetMode="External"/><Relationship Id="rId360" Type="http://schemas.openxmlformats.org/officeDocument/2006/relationships/hyperlink" Target="mailto:comfort.craneservice07@gmail.com" TargetMode="External"/><Relationship Id="rId416" Type="http://schemas.openxmlformats.org/officeDocument/2006/relationships/hyperlink" Target="mailto:AVINASHJAIN59@GMAIL.COM" TargetMode="External"/><Relationship Id="rId220" Type="http://schemas.openxmlformats.org/officeDocument/2006/relationships/hyperlink" Target="mailto:application@accurate.co.in" TargetMode="External"/><Relationship Id="rId15" Type="http://schemas.openxmlformats.org/officeDocument/2006/relationships/hyperlink" Target="mailto:sankpal143@gmail.com" TargetMode="External"/><Relationship Id="rId57" Type="http://schemas.openxmlformats.org/officeDocument/2006/relationships/hyperlink" Target="mailto:kishor.agale@kirloskar.com" TargetMode="External"/><Relationship Id="rId262" Type="http://schemas.openxmlformats.org/officeDocument/2006/relationships/hyperlink" Target="mailto:balr24539@gmail.com" TargetMode="External"/><Relationship Id="rId318" Type="http://schemas.openxmlformats.org/officeDocument/2006/relationships/hyperlink" Target="mailto:sri4sriram@yahoo.com" TargetMode="External"/><Relationship Id="rId99" Type="http://schemas.openxmlformats.org/officeDocument/2006/relationships/hyperlink" Target="mailto:sunil.k@amrutaenterprises.com" TargetMode="External"/><Relationship Id="rId122" Type="http://schemas.openxmlformats.org/officeDocument/2006/relationships/hyperlink" Target="mailto:vikaspadalkar@bharatforge.com" TargetMode="External"/><Relationship Id="rId164" Type="http://schemas.openxmlformats.org/officeDocument/2006/relationships/hyperlink" Target="mailto:sbdhpl@gmail.com" TargetMode="External"/><Relationship Id="rId371" Type="http://schemas.openxmlformats.org/officeDocument/2006/relationships/hyperlink" Target="mailto:sandeep.awari@meccalte.in" TargetMode="External"/><Relationship Id="rId26" Type="http://schemas.openxmlformats.org/officeDocument/2006/relationships/hyperlink" Target="mailto:sampangiramh@gmail.com" TargetMode="External"/><Relationship Id="rId231" Type="http://schemas.openxmlformats.org/officeDocument/2006/relationships/hyperlink" Target="mailto:at8854028@gmail.com" TargetMode="External"/><Relationship Id="rId273" Type="http://schemas.openxmlformats.org/officeDocument/2006/relationships/hyperlink" Target="mailto:hoffenplastics@gmail.com" TargetMode="External"/><Relationship Id="rId329" Type="http://schemas.openxmlformats.org/officeDocument/2006/relationships/hyperlink" Target="mailto:mvp@dinex.in" TargetMode="External"/><Relationship Id="rId68" Type="http://schemas.openxmlformats.org/officeDocument/2006/relationships/hyperlink" Target="mailto:project@acebrain.com" TargetMode="External"/><Relationship Id="rId133" Type="http://schemas.openxmlformats.org/officeDocument/2006/relationships/hyperlink" Target="mailto:prasad.desai020@gmail.com" TargetMode="External"/><Relationship Id="rId175" Type="http://schemas.openxmlformats.org/officeDocument/2006/relationships/hyperlink" Target="mailto:Shreeniwasbbh@gmail.com" TargetMode="External"/><Relationship Id="rId340" Type="http://schemas.openxmlformats.org/officeDocument/2006/relationships/hyperlink" Target="mailto:kanhaiyagurjar6377@gmail.com" TargetMode="External"/><Relationship Id="rId200" Type="http://schemas.openxmlformats.org/officeDocument/2006/relationships/hyperlink" Target="mailto:chetn46@gmail.com" TargetMode="External"/><Relationship Id="rId382" Type="http://schemas.openxmlformats.org/officeDocument/2006/relationships/hyperlink" Target="mailto:sandip_51@ymail.com" TargetMode="External"/><Relationship Id="rId242" Type="http://schemas.openxmlformats.org/officeDocument/2006/relationships/hyperlink" Target="mailto:sukhdevprajapati777@gmail.com" TargetMode="External"/><Relationship Id="rId284" Type="http://schemas.openxmlformats.org/officeDocument/2006/relationships/hyperlink" Target="mailto:axisfireservices@gmail.com" TargetMode="External"/><Relationship Id="rId37" Type="http://schemas.openxmlformats.org/officeDocument/2006/relationships/hyperlink" Target="mailto:ajaikulkarni669@gmail.com" TargetMode="External"/><Relationship Id="rId79" Type="http://schemas.openxmlformats.org/officeDocument/2006/relationships/hyperlink" Target="mailto:nayabm035@gmail.com" TargetMode="External"/><Relationship Id="rId102" Type="http://schemas.openxmlformats.org/officeDocument/2006/relationships/hyperlink" Target="mailto:shubham.hydraluic@gmail.com" TargetMode="External"/><Relationship Id="rId144" Type="http://schemas.openxmlformats.org/officeDocument/2006/relationships/hyperlink" Target="mailto:aliraja53@gmail.com" TargetMode="External"/><Relationship Id="rId90" Type="http://schemas.openxmlformats.org/officeDocument/2006/relationships/hyperlink" Target="mailto:sharadpali1980@gmail.com" TargetMode="External"/><Relationship Id="rId186" Type="http://schemas.openxmlformats.org/officeDocument/2006/relationships/hyperlink" Target="mailto:anushainfratech@gmail.com" TargetMode="External"/><Relationship Id="rId351" Type="http://schemas.openxmlformats.org/officeDocument/2006/relationships/hyperlink" Target="mailto:sales@lnbera.com" TargetMode="External"/><Relationship Id="rId393" Type="http://schemas.openxmlformats.org/officeDocument/2006/relationships/hyperlink" Target="mailto:%3csandeep.naikare@cummins.com" TargetMode="External"/><Relationship Id="rId407" Type="http://schemas.openxmlformats.org/officeDocument/2006/relationships/hyperlink" Target="mailto:mohmmad.aslam04@gmail.com" TargetMode="External"/><Relationship Id="rId211" Type="http://schemas.openxmlformats.org/officeDocument/2006/relationships/hyperlink" Target="mailto:jainc0537@gmail.com" TargetMode="External"/><Relationship Id="rId253" Type="http://schemas.openxmlformats.org/officeDocument/2006/relationships/hyperlink" Target="mailto:aryan.engineering2712@gmail.com" TargetMode="External"/><Relationship Id="rId295" Type="http://schemas.openxmlformats.org/officeDocument/2006/relationships/hyperlink" Target="mailto:mpraba958@gmail.com" TargetMode="External"/><Relationship Id="rId309" Type="http://schemas.openxmlformats.org/officeDocument/2006/relationships/hyperlink" Target="mailto:sshambhussingh08893@gmail.com" TargetMode="External"/><Relationship Id="rId48" Type="http://schemas.openxmlformats.org/officeDocument/2006/relationships/hyperlink" Target="mailto:ramyamadhusudhan3@gmail.com" TargetMode="External"/><Relationship Id="rId113" Type="http://schemas.openxmlformats.org/officeDocument/2006/relationships/hyperlink" Target="mailto:vm3304@gmail.com" TargetMode="External"/><Relationship Id="rId320" Type="http://schemas.openxmlformats.org/officeDocument/2006/relationships/hyperlink" Target="mailto:gangkarthik3760@gmail.com" TargetMode="External"/><Relationship Id="rId155" Type="http://schemas.openxmlformats.org/officeDocument/2006/relationships/hyperlink" Target="mailto:vinayak.ik@difacto.com" TargetMode="External"/><Relationship Id="rId197" Type="http://schemas.openxmlformats.org/officeDocument/2006/relationships/hyperlink" Target="mailto:rajinderkang071@gmail.com" TargetMode="External"/><Relationship Id="rId362" Type="http://schemas.openxmlformats.org/officeDocument/2006/relationships/hyperlink" Target="mailto:amar_83277@rediffmail.com" TargetMode="External"/><Relationship Id="rId418" Type="http://schemas.openxmlformats.org/officeDocument/2006/relationships/hyperlink" Target="mailto:support@buildcheminfra.com" TargetMode="External"/><Relationship Id="rId222" Type="http://schemas.openxmlformats.org/officeDocument/2006/relationships/hyperlink" Target="mailto:hidu78600@gmail.com" TargetMode="External"/><Relationship Id="rId264" Type="http://schemas.openxmlformats.org/officeDocument/2006/relationships/hyperlink" Target="mailto:vikram@accurategauging.com" TargetMode="External"/><Relationship Id="rId17" Type="http://schemas.openxmlformats.org/officeDocument/2006/relationships/hyperlink" Target="mailto:vijaypatel.mech08@gmail.com" TargetMode="External"/><Relationship Id="rId59" Type="http://schemas.openxmlformats.org/officeDocument/2006/relationships/hyperlink" Target="mailto:abhinav@swatah.ai" TargetMode="External"/><Relationship Id="rId124" Type="http://schemas.openxmlformats.org/officeDocument/2006/relationships/hyperlink" Target="mailto:brijesh.patel@jsw.i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Relationship Id="rId9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AA1012"/>
  <sheetViews>
    <sheetView tabSelected="1" zoomScale="85" zoomScaleNormal="85" workbookViewId="0">
      <pane xSplit="6" ySplit="1" topLeftCell="G88" activePane="bottomRight" state="frozen"/>
      <selection pane="bottomRight" activeCell="A162" sqref="A162:XFD162"/>
      <selection pane="bottomLeft" activeCell="A2" sqref="A2"/>
      <selection pane="topRight" activeCell="G1" sqref="G1"/>
    </sheetView>
  </sheetViews>
  <sheetFormatPr defaultColWidth="14.42578125" defaultRowHeight="15" customHeight="1"/>
  <cols>
    <col min="1" max="1" width="4.5703125" style="587" customWidth="1"/>
    <col min="2" max="2" width="12" style="469" customWidth="1"/>
    <col min="3" max="3" width="22.28515625" customWidth="1"/>
    <col min="4" max="4" width="10.7109375" customWidth="1"/>
    <col min="5" max="5" width="13.28515625" customWidth="1"/>
    <col min="6" max="6" width="12.28515625" customWidth="1"/>
    <col min="7" max="7" width="27.7109375" customWidth="1"/>
    <col min="8" max="8" width="13.140625" style="224" customWidth="1"/>
    <col min="9" max="9" width="17.85546875" customWidth="1"/>
    <col min="10" max="10" width="20.5703125" style="259" customWidth="1"/>
    <col min="11" max="11" width="12.28515625" customWidth="1"/>
    <col min="12" max="12" width="13.42578125" customWidth="1"/>
    <col min="13" max="13" width="13.140625" customWidth="1"/>
    <col min="14" max="14" width="37.7109375" customWidth="1"/>
    <col min="15" max="15" width="16" customWidth="1"/>
    <col min="16" max="16" width="18.140625" style="259" customWidth="1"/>
    <col min="17" max="17" width="23" customWidth="1"/>
    <col min="18" max="18" width="16" style="252" customWidth="1"/>
    <col min="19" max="19" width="15.5703125" customWidth="1"/>
    <col min="20" max="20" width="22.85546875" customWidth="1"/>
    <col min="21" max="27" width="8.7109375" customWidth="1"/>
  </cols>
  <sheetData>
    <row r="1" spans="1:27" ht="21" customHeight="1">
      <c r="A1" s="244" t="s">
        <v>0</v>
      </c>
      <c r="B1" s="468" t="s">
        <v>1</v>
      </c>
      <c r="C1" s="244" t="s">
        <v>2</v>
      </c>
      <c r="D1" s="245" t="s">
        <v>3</v>
      </c>
      <c r="E1" s="244" t="s">
        <v>4</v>
      </c>
      <c r="F1" s="244" t="s">
        <v>5</v>
      </c>
      <c r="G1" s="244" t="s">
        <v>6</v>
      </c>
      <c r="H1" s="244" t="s">
        <v>7</v>
      </c>
      <c r="I1" s="244" t="s">
        <v>8</v>
      </c>
      <c r="J1" s="244" t="s">
        <v>9</v>
      </c>
      <c r="K1" s="244" t="s">
        <v>10</v>
      </c>
      <c r="L1" s="246" t="s">
        <v>11</v>
      </c>
      <c r="M1" s="244" t="s">
        <v>12</v>
      </c>
      <c r="N1" s="244" t="s">
        <v>13</v>
      </c>
      <c r="O1" s="247" t="s">
        <v>14</v>
      </c>
      <c r="P1" s="579" t="s">
        <v>15</v>
      </c>
      <c r="Q1" s="244" t="s">
        <v>16</v>
      </c>
      <c r="R1" s="250" t="s">
        <v>17</v>
      </c>
      <c r="S1" s="248" t="s">
        <v>18</v>
      </c>
      <c r="T1" s="189" t="s">
        <v>19</v>
      </c>
      <c r="U1" s="263"/>
      <c r="V1" s="263"/>
      <c r="W1" s="263"/>
      <c r="X1" s="263"/>
      <c r="Y1" s="190"/>
      <c r="Z1" s="190"/>
      <c r="AA1" s="190"/>
    </row>
    <row r="2" spans="1:27" ht="14.25" hidden="1" customHeight="1">
      <c r="A2" s="225">
        <f>ROW()-1</f>
        <v>1</v>
      </c>
      <c r="B2" s="628">
        <v>46070</v>
      </c>
      <c r="C2" s="227" t="s">
        <v>20</v>
      </c>
      <c r="D2" s="638" t="s">
        <v>21</v>
      </c>
      <c r="E2" s="226" t="s">
        <v>22</v>
      </c>
      <c r="F2" s="226" t="s">
        <v>23</v>
      </c>
      <c r="G2" s="631" t="s">
        <v>24</v>
      </c>
      <c r="H2" s="657"/>
      <c r="I2" s="661" t="s">
        <v>24</v>
      </c>
      <c r="J2" s="253" t="s">
        <v>25</v>
      </c>
      <c r="K2" s="631" t="s">
        <v>26</v>
      </c>
      <c r="L2" s="705" t="s">
        <v>27</v>
      </c>
      <c r="M2" s="705" t="s">
        <v>28</v>
      </c>
      <c r="N2" s="631" t="s">
        <v>29</v>
      </c>
      <c r="O2" s="711">
        <v>46070</v>
      </c>
      <c r="P2" s="717">
        <v>560000</v>
      </c>
      <c r="Q2" s="226" t="s">
        <v>30</v>
      </c>
      <c r="R2" s="251">
        <v>46162</v>
      </c>
      <c r="S2" s="2"/>
      <c r="T2" s="263"/>
      <c r="U2" s="263"/>
      <c r="V2" s="263"/>
      <c r="W2" s="263"/>
      <c r="X2" s="263"/>
    </row>
    <row r="3" spans="1:27" ht="14.25" hidden="1" customHeight="1">
      <c r="A3" s="225">
        <f>ROW()-1</f>
        <v>2</v>
      </c>
      <c r="B3" s="470">
        <v>46070</v>
      </c>
      <c r="C3" s="227" t="s">
        <v>20</v>
      </c>
      <c r="D3" s="228" t="s">
        <v>31</v>
      </c>
      <c r="E3" s="229" t="s">
        <v>22</v>
      </c>
      <c r="F3" s="229" t="s">
        <v>32</v>
      </c>
      <c r="G3" s="227" t="s">
        <v>33</v>
      </c>
      <c r="H3" s="230"/>
      <c r="I3" s="663" t="s">
        <v>34</v>
      </c>
      <c r="J3" s="616" t="s">
        <v>25</v>
      </c>
      <c r="K3" s="227" t="s">
        <v>26</v>
      </c>
      <c r="L3" s="705" t="s">
        <v>27</v>
      </c>
      <c r="M3" s="705" t="s">
        <v>28</v>
      </c>
      <c r="N3" s="227" t="s">
        <v>29</v>
      </c>
      <c r="O3" s="624">
        <v>46070</v>
      </c>
      <c r="P3" s="588">
        <v>560000</v>
      </c>
      <c r="Q3" s="706" t="s">
        <v>30</v>
      </c>
      <c r="R3" s="251">
        <v>46171</v>
      </c>
      <c r="S3" s="231"/>
      <c r="T3" s="263"/>
      <c r="U3" s="263"/>
      <c r="V3" s="263"/>
      <c r="W3" s="263"/>
      <c r="X3" s="263"/>
    </row>
    <row r="4" spans="1:27" ht="14.25" hidden="1" customHeight="1">
      <c r="A4" s="225">
        <f>ROW()-1</f>
        <v>3</v>
      </c>
      <c r="B4" s="629">
        <v>46076</v>
      </c>
      <c r="C4" s="632" t="s">
        <v>35</v>
      </c>
      <c r="D4" s="639" t="s">
        <v>21</v>
      </c>
      <c r="E4" s="645" t="s">
        <v>22</v>
      </c>
      <c r="F4" s="645" t="s">
        <v>36</v>
      </c>
      <c r="G4" s="632" t="s">
        <v>37</v>
      </c>
      <c r="H4" s="658">
        <v>9637834272</v>
      </c>
      <c r="I4" s="666" t="s">
        <v>38</v>
      </c>
      <c r="J4" s="684" t="s">
        <v>25</v>
      </c>
      <c r="K4" s="699" t="s">
        <v>39</v>
      </c>
      <c r="L4" s="706" t="s">
        <v>27</v>
      </c>
      <c r="M4" s="706" t="s">
        <v>40</v>
      </c>
      <c r="N4" s="632" t="s">
        <v>41</v>
      </c>
      <c r="O4" s="712">
        <v>46076</v>
      </c>
      <c r="P4" s="719">
        <v>243000</v>
      </c>
      <c r="Q4" s="706" t="s">
        <v>30</v>
      </c>
      <c r="R4" s="251">
        <v>46170</v>
      </c>
      <c r="S4" s="728"/>
      <c r="T4" s="263"/>
      <c r="U4" s="263"/>
      <c r="V4" s="263"/>
      <c r="W4" s="263"/>
      <c r="X4" s="263"/>
    </row>
    <row r="5" spans="1:27" ht="14.25" hidden="1" customHeight="1">
      <c r="A5" s="225">
        <f>ROW()-1</f>
        <v>4</v>
      </c>
      <c r="B5" s="470">
        <v>46113</v>
      </c>
      <c r="C5" s="227" t="s">
        <v>42</v>
      </c>
      <c r="D5" s="228" t="s">
        <v>43</v>
      </c>
      <c r="E5" s="229" t="s">
        <v>22</v>
      </c>
      <c r="F5" s="229" t="s">
        <v>44</v>
      </c>
      <c r="G5" s="227" t="s">
        <v>45</v>
      </c>
      <c r="H5" s="230">
        <v>8080534980</v>
      </c>
      <c r="I5" s="667" t="s">
        <v>46</v>
      </c>
      <c r="J5" s="618" t="s">
        <v>47</v>
      </c>
      <c r="K5" s="227" t="s">
        <v>48</v>
      </c>
      <c r="L5" s="707" t="s">
        <v>49</v>
      </c>
      <c r="M5" s="707" t="s">
        <v>50</v>
      </c>
      <c r="N5" s="227"/>
      <c r="O5" s="713"/>
      <c r="P5" s="588"/>
      <c r="Q5" s="229"/>
      <c r="R5" s="249"/>
      <c r="S5" s="231"/>
      <c r="T5" s="263" t="s">
        <v>51</v>
      </c>
      <c r="U5" s="263"/>
      <c r="V5" s="263"/>
      <c r="W5" s="263"/>
      <c r="X5" s="263"/>
    </row>
    <row r="6" spans="1:27" ht="14.25" hidden="1" customHeight="1">
      <c r="A6" s="225">
        <f>ROW()-1</f>
        <v>5</v>
      </c>
      <c r="B6" s="470">
        <v>46113</v>
      </c>
      <c r="C6" s="227" t="s">
        <v>42</v>
      </c>
      <c r="D6" s="228" t="s">
        <v>52</v>
      </c>
      <c r="E6" s="229" t="s">
        <v>22</v>
      </c>
      <c r="F6" s="229" t="s">
        <v>53</v>
      </c>
      <c r="G6" s="227" t="s">
        <v>54</v>
      </c>
      <c r="H6" s="230">
        <v>9324210241</v>
      </c>
      <c r="I6" s="667" t="s">
        <v>55</v>
      </c>
      <c r="J6" s="617" t="s">
        <v>56</v>
      </c>
      <c r="K6" s="227" t="s">
        <v>57</v>
      </c>
      <c r="L6" s="707" t="s">
        <v>58</v>
      </c>
      <c r="M6" s="707" t="s">
        <v>50</v>
      </c>
      <c r="N6" s="227"/>
      <c r="O6" s="713"/>
      <c r="P6" s="588"/>
      <c r="Q6" s="229"/>
      <c r="R6" s="249"/>
      <c r="S6" s="231"/>
      <c r="T6" s="263"/>
      <c r="U6" s="263"/>
      <c r="V6" s="263"/>
      <c r="W6" s="263"/>
      <c r="X6" s="263"/>
    </row>
    <row r="7" spans="1:27" ht="14.25" hidden="1" customHeight="1">
      <c r="A7" s="225">
        <f>ROW()-1</f>
        <v>6</v>
      </c>
      <c r="B7" s="470">
        <v>46113</v>
      </c>
      <c r="C7" s="227" t="s">
        <v>42</v>
      </c>
      <c r="D7" s="228"/>
      <c r="E7" s="229" t="s">
        <v>59</v>
      </c>
      <c r="F7" s="229" t="s">
        <v>60</v>
      </c>
      <c r="G7" s="227" t="s">
        <v>61</v>
      </c>
      <c r="H7" s="230">
        <v>9146215901</v>
      </c>
      <c r="I7" s="667" t="s">
        <v>62</v>
      </c>
      <c r="J7" s="605" t="s">
        <v>63</v>
      </c>
      <c r="K7" s="227" t="s">
        <v>64</v>
      </c>
      <c r="L7" s="707" t="s">
        <v>49</v>
      </c>
      <c r="M7" s="707" t="s">
        <v>40</v>
      </c>
      <c r="N7" s="227"/>
      <c r="O7" s="713"/>
      <c r="P7" s="588"/>
      <c r="Q7" s="229"/>
      <c r="R7" s="249"/>
      <c r="S7" s="231"/>
      <c r="T7" s="263"/>
      <c r="U7" s="263"/>
      <c r="V7" s="263"/>
      <c r="W7" s="263"/>
      <c r="X7" s="263"/>
    </row>
    <row r="8" spans="1:27" ht="14.25" hidden="1" customHeight="1">
      <c r="A8" s="225">
        <f>ROW()-1</f>
        <v>7</v>
      </c>
      <c r="B8" s="628">
        <v>46113</v>
      </c>
      <c r="C8" s="631" t="s">
        <v>65</v>
      </c>
      <c r="D8" s="638"/>
      <c r="E8" s="226"/>
      <c r="F8" s="226" t="s">
        <v>23</v>
      </c>
      <c r="G8" s="631" t="s">
        <v>66</v>
      </c>
      <c r="H8" s="657"/>
      <c r="I8" s="662" t="s">
        <v>67</v>
      </c>
      <c r="J8" s="616" t="s">
        <v>66</v>
      </c>
      <c r="K8" s="698" t="s">
        <v>68</v>
      </c>
      <c r="L8" s="705" t="s">
        <v>27</v>
      </c>
      <c r="M8" s="705" t="s">
        <v>40</v>
      </c>
      <c r="N8" s="631" t="s">
        <v>69</v>
      </c>
      <c r="O8" s="711">
        <v>46113</v>
      </c>
      <c r="P8" s="717">
        <v>205000</v>
      </c>
      <c r="Q8" s="226" t="s">
        <v>70</v>
      </c>
      <c r="R8" s="249"/>
      <c r="S8" s="727"/>
      <c r="T8" s="263"/>
      <c r="U8" s="263"/>
      <c r="V8" s="263"/>
      <c r="W8" s="263"/>
      <c r="X8" s="263"/>
    </row>
    <row r="9" spans="1:27" ht="14.25" hidden="1" customHeight="1">
      <c r="A9" s="225">
        <f>ROW()-1</f>
        <v>8</v>
      </c>
      <c r="B9" s="628">
        <v>46113</v>
      </c>
      <c r="C9" s="631" t="s">
        <v>71</v>
      </c>
      <c r="D9" s="638" t="s">
        <v>72</v>
      </c>
      <c r="E9" s="226" t="s">
        <v>22</v>
      </c>
      <c r="F9" s="226" t="s">
        <v>73</v>
      </c>
      <c r="G9" s="631" t="s">
        <v>74</v>
      </c>
      <c r="H9" s="657">
        <v>9146185214</v>
      </c>
      <c r="I9" s="665" t="s">
        <v>75</v>
      </c>
      <c r="J9" s="616" t="s">
        <v>66</v>
      </c>
      <c r="K9" s="631" t="s">
        <v>76</v>
      </c>
      <c r="L9" s="705" t="s">
        <v>74</v>
      </c>
      <c r="M9" s="705" t="s">
        <v>77</v>
      </c>
      <c r="N9" s="631" t="s">
        <v>78</v>
      </c>
      <c r="O9" s="711">
        <v>46115</v>
      </c>
      <c r="P9" s="717">
        <v>2597001</v>
      </c>
      <c r="Q9" s="226" t="s">
        <v>79</v>
      </c>
      <c r="R9" s="249"/>
      <c r="S9" s="2"/>
      <c r="T9" s="263"/>
      <c r="U9" s="263"/>
      <c r="V9" s="263"/>
      <c r="W9" s="263"/>
      <c r="X9" s="263"/>
    </row>
    <row r="10" spans="1:27" ht="14.25" hidden="1" customHeight="1">
      <c r="A10" s="225">
        <f>ROW()-1</f>
        <v>9</v>
      </c>
      <c r="B10" s="476">
        <v>46113</v>
      </c>
      <c r="C10" s="234" t="s">
        <v>80</v>
      </c>
      <c r="D10" s="242" t="s">
        <v>81</v>
      </c>
      <c r="E10" s="232" t="s">
        <v>82</v>
      </c>
      <c r="F10" s="232" t="s">
        <v>83</v>
      </c>
      <c r="G10" s="234" t="s">
        <v>84</v>
      </c>
      <c r="H10" s="233"/>
      <c r="I10" s="669" t="s">
        <v>85</v>
      </c>
      <c r="J10" s="267" t="s">
        <v>86</v>
      </c>
      <c r="K10" s="234" t="s">
        <v>87</v>
      </c>
      <c r="L10" s="269" t="s">
        <v>74</v>
      </c>
      <c r="M10" s="269" t="s">
        <v>28</v>
      </c>
      <c r="N10" s="234" t="s">
        <v>84</v>
      </c>
      <c r="O10" s="235">
        <v>46116</v>
      </c>
      <c r="P10" s="590">
        <v>6192000</v>
      </c>
      <c r="Q10" s="232" t="s">
        <v>79</v>
      </c>
      <c r="R10" s="478"/>
      <c r="S10" s="232"/>
      <c r="T10" s="731"/>
      <c r="U10" s="731"/>
      <c r="V10" s="263"/>
      <c r="W10" s="263"/>
      <c r="X10" s="263"/>
    </row>
    <row r="11" spans="1:27" ht="14.25" hidden="1" customHeight="1">
      <c r="A11" s="225">
        <f>ROW()-1</f>
        <v>10</v>
      </c>
      <c r="B11" s="476">
        <v>46113</v>
      </c>
      <c r="C11" s="234" t="s">
        <v>88</v>
      </c>
      <c r="D11" s="242" t="s">
        <v>89</v>
      </c>
      <c r="E11" s="232" t="s">
        <v>22</v>
      </c>
      <c r="F11" s="232" t="s">
        <v>73</v>
      </c>
      <c r="G11" s="234" t="s">
        <v>90</v>
      </c>
      <c r="H11" s="233">
        <v>7249020866</v>
      </c>
      <c r="I11" s="266" t="s">
        <v>91</v>
      </c>
      <c r="J11" s="688" t="s">
        <v>63</v>
      </c>
      <c r="K11" s="234" t="s">
        <v>92</v>
      </c>
      <c r="L11" s="269" t="s">
        <v>49</v>
      </c>
      <c r="M11" s="269" t="s">
        <v>50</v>
      </c>
      <c r="N11" s="234"/>
      <c r="O11" s="477"/>
      <c r="P11" s="590"/>
      <c r="Q11" s="232"/>
      <c r="R11" s="475"/>
      <c r="S11" s="232"/>
      <c r="T11" s="731"/>
      <c r="U11" s="731"/>
      <c r="V11" s="263"/>
      <c r="W11" s="263"/>
      <c r="X11" s="263"/>
    </row>
    <row r="12" spans="1:27" ht="18" hidden="1" customHeight="1">
      <c r="A12" s="225">
        <f>ROW()-1</f>
        <v>11</v>
      </c>
      <c r="B12" s="476">
        <v>46113</v>
      </c>
      <c r="C12" s="234" t="s">
        <v>93</v>
      </c>
      <c r="D12" s="242" t="s">
        <v>21</v>
      </c>
      <c r="E12" s="232" t="s">
        <v>22</v>
      </c>
      <c r="F12" s="232" t="s">
        <v>73</v>
      </c>
      <c r="G12" s="234" t="s">
        <v>94</v>
      </c>
      <c r="H12" s="233">
        <v>9765559037</v>
      </c>
      <c r="I12" s="266" t="s">
        <v>95</v>
      </c>
      <c r="J12" s="257" t="s">
        <v>47</v>
      </c>
      <c r="K12" s="234" t="s">
        <v>96</v>
      </c>
      <c r="L12" s="269" t="s">
        <v>74</v>
      </c>
      <c r="M12" s="269" t="s">
        <v>28</v>
      </c>
      <c r="N12" s="234" t="s">
        <v>97</v>
      </c>
      <c r="O12" s="235">
        <v>46115</v>
      </c>
      <c r="P12" s="590">
        <v>1967125.48</v>
      </c>
      <c r="Q12" s="270" t="s">
        <v>98</v>
      </c>
      <c r="R12" s="475"/>
      <c r="S12" s="232" t="s">
        <v>94</v>
      </c>
      <c r="T12" s="731"/>
      <c r="U12" s="731"/>
      <c r="V12" s="263"/>
      <c r="W12" s="263"/>
      <c r="X12" s="263"/>
    </row>
    <row r="13" spans="1:27" ht="14.25" hidden="1" customHeight="1">
      <c r="A13" s="225">
        <f>ROW()-1</f>
        <v>12</v>
      </c>
      <c r="B13" s="471">
        <v>46113</v>
      </c>
      <c r="C13" s="238" t="s">
        <v>99</v>
      </c>
      <c r="D13" s="240" t="s">
        <v>100</v>
      </c>
      <c r="E13" s="236" t="s">
        <v>22</v>
      </c>
      <c r="F13" s="236" t="s">
        <v>73</v>
      </c>
      <c r="G13" s="238" t="s">
        <v>94</v>
      </c>
      <c r="H13" s="237">
        <v>9970951430</v>
      </c>
      <c r="I13" s="472" t="s">
        <v>101</v>
      </c>
      <c r="J13" s="683" t="s">
        <v>47</v>
      </c>
      <c r="K13" s="238" t="s">
        <v>102</v>
      </c>
      <c r="L13" s="473" t="s">
        <v>74</v>
      </c>
      <c r="M13" s="473" t="s">
        <v>28</v>
      </c>
      <c r="N13" s="238" t="s">
        <v>103</v>
      </c>
      <c r="O13" s="239">
        <v>46115</v>
      </c>
      <c r="P13" s="589">
        <v>1971559.78</v>
      </c>
      <c r="Q13" s="236" t="s">
        <v>98</v>
      </c>
      <c r="R13" s="475"/>
      <c r="S13" s="236"/>
      <c r="T13" s="731"/>
      <c r="U13" s="731"/>
      <c r="V13" s="263"/>
      <c r="W13" s="263"/>
      <c r="X13" s="263"/>
    </row>
    <row r="14" spans="1:27" ht="14.25" hidden="1" customHeight="1">
      <c r="A14" s="225">
        <f>ROW()-1</f>
        <v>13</v>
      </c>
      <c r="B14" s="471">
        <v>46113</v>
      </c>
      <c r="C14" s="238" t="s">
        <v>104</v>
      </c>
      <c r="D14" s="240" t="s">
        <v>100</v>
      </c>
      <c r="E14" s="236" t="s">
        <v>22</v>
      </c>
      <c r="F14" s="236" t="s">
        <v>23</v>
      </c>
      <c r="G14" s="238" t="s">
        <v>105</v>
      </c>
      <c r="H14" s="237">
        <v>9970951430</v>
      </c>
      <c r="I14" s="472" t="s">
        <v>101</v>
      </c>
      <c r="J14" s="257" t="s">
        <v>25</v>
      </c>
      <c r="K14" s="238" t="s">
        <v>102</v>
      </c>
      <c r="L14" s="473" t="s">
        <v>74</v>
      </c>
      <c r="M14" s="473" t="s">
        <v>28</v>
      </c>
      <c r="N14" s="238" t="s">
        <v>106</v>
      </c>
      <c r="O14" s="474">
        <v>46113</v>
      </c>
      <c r="P14" s="589">
        <v>560000</v>
      </c>
      <c r="Q14" s="236" t="s">
        <v>30</v>
      </c>
      <c r="R14" s="478">
        <v>46162</v>
      </c>
      <c r="S14" s="236"/>
      <c r="T14" s="731"/>
      <c r="U14" s="731"/>
      <c r="V14" s="263"/>
      <c r="W14" s="263"/>
      <c r="X14" s="263"/>
    </row>
    <row r="15" spans="1:27" ht="14.25" hidden="1" customHeight="1">
      <c r="A15" s="225">
        <f>ROW()-1</f>
        <v>14</v>
      </c>
      <c r="B15" s="476">
        <v>46113</v>
      </c>
      <c r="C15" s="234" t="s">
        <v>107</v>
      </c>
      <c r="D15" s="640" t="s">
        <v>108</v>
      </c>
      <c r="E15" s="232" t="s">
        <v>59</v>
      </c>
      <c r="F15" s="232" t="s">
        <v>73</v>
      </c>
      <c r="G15" s="646" t="s">
        <v>109</v>
      </c>
      <c r="H15" s="233">
        <v>9007847150</v>
      </c>
      <c r="I15" s="646" t="s">
        <v>110</v>
      </c>
      <c r="J15" s="688" t="s">
        <v>63</v>
      </c>
      <c r="K15" s="234" t="s">
        <v>111</v>
      </c>
      <c r="L15" s="269" t="s">
        <v>58</v>
      </c>
      <c r="M15" s="269" t="s">
        <v>50</v>
      </c>
      <c r="N15" s="234"/>
      <c r="O15" s="477"/>
      <c r="P15" s="590"/>
      <c r="Q15" s="232"/>
      <c r="R15" s="475"/>
      <c r="S15" s="232"/>
      <c r="T15" s="731"/>
      <c r="U15" s="731"/>
      <c r="V15" s="263"/>
      <c r="W15" s="263"/>
      <c r="X15" s="263"/>
    </row>
    <row r="16" spans="1:27" ht="14.25" hidden="1" customHeight="1">
      <c r="A16" s="225">
        <f>ROW()-1</f>
        <v>15</v>
      </c>
      <c r="B16" s="471">
        <v>46113</v>
      </c>
      <c r="C16" s="238" t="s">
        <v>112</v>
      </c>
      <c r="D16" s="240" t="s">
        <v>113</v>
      </c>
      <c r="E16" s="236" t="s">
        <v>22</v>
      </c>
      <c r="F16" s="236" t="s">
        <v>59</v>
      </c>
      <c r="G16" s="238" t="s">
        <v>114</v>
      </c>
      <c r="H16" s="237">
        <v>9767350574</v>
      </c>
      <c r="I16" s="472" t="s">
        <v>115</v>
      </c>
      <c r="J16" s="257" t="s">
        <v>66</v>
      </c>
      <c r="K16" s="238" t="s">
        <v>116</v>
      </c>
      <c r="L16" s="473" t="s">
        <v>117</v>
      </c>
      <c r="M16" s="473" t="s">
        <v>77</v>
      </c>
      <c r="N16" s="238" t="s">
        <v>118</v>
      </c>
      <c r="O16" s="239">
        <v>46113</v>
      </c>
      <c r="P16" s="589">
        <v>450000</v>
      </c>
      <c r="Q16" s="236" t="s">
        <v>119</v>
      </c>
      <c r="R16" s="475"/>
      <c r="S16" s="236"/>
      <c r="T16" s="731"/>
      <c r="U16" s="731"/>
      <c r="V16" s="263"/>
      <c r="W16" s="263"/>
      <c r="X16" s="263"/>
    </row>
    <row r="17" spans="1:24" ht="14.25" hidden="1" customHeight="1">
      <c r="A17" s="225">
        <f>ROW()-1</f>
        <v>16</v>
      </c>
      <c r="B17" s="471">
        <v>46114</v>
      </c>
      <c r="C17" s="238" t="s">
        <v>42</v>
      </c>
      <c r="D17" s="240" t="s">
        <v>120</v>
      </c>
      <c r="E17" s="236" t="s">
        <v>59</v>
      </c>
      <c r="F17" s="236" t="s">
        <v>73</v>
      </c>
      <c r="G17" s="238" t="s">
        <v>121</v>
      </c>
      <c r="H17" s="237">
        <v>9883612877</v>
      </c>
      <c r="I17" s="472"/>
      <c r="J17" s="686" t="s">
        <v>122</v>
      </c>
      <c r="K17" s="238" t="s">
        <v>123</v>
      </c>
      <c r="L17" s="473" t="s">
        <v>58</v>
      </c>
      <c r="M17" s="473" t="s">
        <v>50</v>
      </c>
      <c r="N17" s="238"/>
      <c r="O17" s="474"/>
      <c r="P17" s="589"/>
      <c r="Q17" s="236"/>
      <c r="R17" s="475"/>
      <c r="S17" s="236"/>
      <c r="T17" s="731"/>
      <c r="U17" s="731"/>
      <c r="V17" s="263"/>
      <c r="W17" s="263"/>
      <c r="X17" s="263"/>
    </row>
    <row r="18" spans="1:24" ht="14.25" hidden="1" customHeight="1">
      <c r="A18" s="225">
        <f>ROW()-1</f>
        <v>17</v>
      </c>
      <c r="B18" s="476">
        <v>46114</v>
      </c>
      <c r="C18" s="234" t="s">
        <v>124</v>
      </c>
      <c r="D18" s="242" t="s">
        <v>125</v>
      </c>
      <c r="E18" s="232" t="s">
        <v>126</v>
      </c>
      <c r="F18" s="232" t="s">
        <v>23</v>
      </c>
      <c r="G18" s="234" t="s">
        <v>127</v>
      </c>
      <c r="H18" s="233">
        <v>9212084932</v>
      </c>
      <c r="I18" s="266"/>
      <c r="J18" s="683" t="s">
        <v>47</v>
      </c>
      <c r="K18" s="234" t="s">
        <v>128</v>
      </c>
      <c r="L18" s="269" t="s">
        <v>58</v>
      </c>
      <c r="M18" s="269" t="s">
        <v>50</v>
      </c>
      <c r="N18" s="234" t="s">
        <v>129</v>
      </c>
      <c r="O18" s="235">
        <v>46125</v>
      </c>
      <c r="P18" s="590">
        <v>995000</v>
      </c>
      <c r="Q18" s="232" t="s">
        <v>98</v>
      </c>
      <c r="R18" s="475"/>
      <c r="S18" s="232"/>
      <c r="T18" s="731"/>
      <c r="U18" s="731"/>
      <c r="V18" s="263"/>
      <c r="W18" s="263"/>
      <c r="X18" s="263"/>
    </row>
    <row r="19" spans="1:24" ht="20.25" hidden="1" customHeight="1">
      <c r="A19" s="225">
        <f>ROW()-1</f>
        <v>18</v>
      </c>
      <c r="B19" s="476">
        <v>46114</v>
      </c>
      <c r="C19" s="234" t="s">
        <v>130</v>
      </c>
      <c r="D19" s="242" t="s">
        <v>131</v>
      </c>
      <c r="E19" s="232" t="s">
        <v>22</v>
      </c>
      <c r="F19" s="232" t="s">
        <v>73</v>
      </c>
      <c r="G19" s="234" t="s">
        <v>132</v>
      </c>
      <c r="H19" s="233">
        <v>7385604099</v>
      </c>
      <c r="I19" s="266"/>
      <c r="J19" s="686" t="s">
        <v>122</v>
      </c>
      <c r="K19" s="234" t="s">
        <v>133</v>
      </c>
      <c r="L19" s="269" t="s">
        <v>58</v>
      </c>
      <c r="M19" s="269" t="s">
        <v>50</v>
      </c>
      <c r="N19" s="234"/>
      <c r="O19" s="477"/>
      <c r="P19" s="590"/>
      <c r="Q19" s="232"/>
      <c r="R19" s="475"/>
      <c r="S19" s="232"/>
      <c r="T19" s="731"/>
      <c r="U19" s="731"/>
      <c r="V19" s="263"/>
      <c r="W19" s="263"/>
      <c r="X19" s="263"/>
    </row>
    <row r="20" spans="1:24" ht="23.25" hidden="1" customHeight="1">
      <c r="A20" s="225">
        <f>ROW()-1</f>
        <v>19</v>
      </c>
      <c r="B20" s="471">
        <v>46114</v>
      </c>
      <c r="C20" s="238" t="s">
        <v>134</v>
      </c>
      <c r="D20" s="240" t="s">
        <v>131</v>
      </c>
      <c r="E20" s="236" t="s">
        <v>22</v>
      </c>
      <c r="F20" s="236" t="s">
        <v>60</v>
      </c>
      <c r="G20" s="238" t="s">
        <v>135</v>
      </c>
      <c r="H20" s="237">
        <v>8766460470</v>
      </c>
      <c r="I20" s="472" t="s">
        <v>136</v>
      </c>
      <c r="J20" s="689" t="s">
        <v>47</v>
      </c>
      <c r="K20" s="238" t="s">
        <v>137</v>
      </c>
      <c r="L20" s="473" t="s">
        <v>49</v>
      </c>
      <c r="M20" s="473" t="s">
        <v>40</v>
      </c>
      <c r="N20" s="238"/>
      <c r="O20" s="474"/>
      <c r="P20" s="589"/>
      <c r="Q20" s="236"/>
      <c r="R20" s="475"/>
      <c r="S20" s="236"/>
      <c r="T20" s="731"/>
      <c r="U20" s="731"/>
      <c r="V20" s="263"/>
      <c r="W20" s="263"/>
      <c r="X20" s="263"/>
    </row>
    <row r="21" spans="1:24" ht="14.25" hidden="1" customHeight="1">
      <c r="A21" s="225">
        <f>ROW()-1</f>
        <v>20</v>
      </c>
      <c r="B21" s="476">
        <v>46115</v>
      </c>
      <c r="C21" s="234" t="s">
        <v>42</v>
      </c>
      <c r="D21" s="242" t="s">
        <v>21</v>
      </c>
      <c r="E21" s="232" t="s">
        <v>22</v>
      </c>
      <c r="F21" s="232" t="s">
        <v>60</v>
      </c>
      <c r="G21" s="234" t="s">
        <v>138</v>
      </c>
      <c r="H21" s="233">
        <v>8591226468</v>
      </c>
      <c r="I21" s="480" t="s">
        <v>139</v>
      </c>
      <c r="J21" s="687" t="s">
        <v>63</v>
      </c>
      <c r="K21" s="234" t="s">
        <v>140</v>
      </c>
      <c r="L21" s="269" t="s">
        <v>49</v>
      </c>
      <c r="M21" s="269" t="s">
        <v>40</v>
      </c>
      <c r="N21" s="234"/>
      <c r="O21" s="477"/>
      <c r="P21" s="590"/>
      <c r="Q21" s="232"/>
      <c r="R21" s="475"/>
      <c r="S21" s="232"/>
      <c r="T21" s="731"/>
      <c r="U21" s="731"/>
      <c r="V21" s="263"/>
      <c r="W21" s="263"/>
      <c r="X21" s="263"/>
    </row>
    <row r="22" spans="1:24" ht="14.25" hidden="1" customHeight="1">
      <c r="A22" s="225">
        <f>ROW()-1</f>
        <v>21</v>
      </c>
      <c r="B22" s="471">
        <v>46115</v>
      </c>
      <c r="C22" s="238" t="s">
        <v>141</v>
      </c>
      <c r="D22" s="240" t="s">
        <v>142</v>
      </c>
      <c r="E22" s="236" t="s">
        <v>143</v>
      </c>
      <c r="F22" s="236" t="s">
        <v>73</v>
      </c>
      <c r="G22" s="238" t="s">
        <v>144</v>
      </c>
      <c r="H22" s="237">
        <v>9997306071</v>
      </c>
      <c r="I22" s="472" t="s">
        <v>145</v>
      </c>
      <c r="J22" s="683" t="s">
        <v>47</v>
      </c>
      <c r="K22" s="607" t="s">
        <v>146</v>
      </c>
      <c r="L22" s="473" t="s">
        <v>49</v>
      </c>
      <c r="M22" s="473" t="s">
        <v>50</v>
      </c>
      <c r="N22" s="238"/>
      <c r="O22" s="474"/>
      <c r="P22" s="589"/>
      <c r="Q22" s="236"/>
      <c r="R22" s="475"/>
      <c r="S22" s="236"/>
      <c r="T22" s="731"/>
      <c r="U22" s="731"/>
      <c r="V22" s="263"/>
      <c r="W22" s="263"/>
      <c r="X22" s="263"/>
    </row>
    <row r="23" spans="1:24" ht="14.25" hidden="1" customHeight="1">
      <c r="A23" s="225">
        <f>ROW()-1</f>
        <v>22</v>
      </c>
      <c r="B23" s="471">
        <v>46115</v>
      </c>
      <c r="C23" s="238" t="s">
        <v>147</v>
      </c>
      <c r="D23" s="240" t="s">
        <v>148</v>
      </c>
      <c r="E23" s="236" t="s">
        <v>22</v>
      </c>
      <c r="F23" s="236" t="s">
        <v>73</v>
      </c>
      <c r="G23" s="238" t="s">
        <v>149</v>
      </c>
      <c r="H23" s="237"/>
      <c r="I23" s="472" t="s">
        <v>150</v>
      </c>
      <c r="J23" s="257" t="s">
        <v>47</v>
      </c>
      <c r="K23" s="238" t="s">
        <v>151</v>
      </c>
      <c r="L23" s="473" t="s">
        <v>117</v>
      </c>
      <c r="M23" s="473" t="s">
        <v>50</v>
      </c>
      <c r="N23" s="238" t="s">
        <v>152</v>
      </c>
      <c r="O23" s="239">
        <v>46117</v>
      </c>
      <c r="P23" s="589">
        <v>2029583.81</v>
      </c>
      <c r="Q23" s="236" t="s">
        <v>70</v>
      </c>
      <c r="R23" s="475"/>
      <c r="S23" s="236"/>
      <c r="T23" s="731"/>
      <c r="U23" s="731"/>
      <c r="V23" s="263"/>
      <c r="W23" s="263"/>
      <c r="X23" s="263"/>
    </row>
    <row r="24" spans="1:24" s="464" customFormat="1" ht="14.25" hidden="1" customHeight="1">
      <c r="A24" s="225">
        <f>ROW()-1</f>
        <v>23</v>
      </c>
      <c r="B24" s="476">
        <v>46115</v>
      </c>
      <c r="C24" s="234" t="s">
        <v>153</v>
      </c>
      <c r="D24" s="242" t="s">
        <v>154</v>
      </c>
      <c r="E24" s="232" t="s">
        <v>22</v>
      </c>
      <c r="F24" s="232" t="s">
        <v>44</v>
      </c>
      <c r="G24" s="234" t="s">
        <v>149</v>
      </c>
      <c r="H24" s="233">
        <v>9960238973</v>
      </c>
      <c r="I24" s="266" t="s">
        <v>155</v>
      </c>
      <c r="J24" s="688" t="s">
        <v>63</v>
      </c>
      <c r="K24" s="701" t="s">
        <v>156</v>
      </c>
      <c r="L24" s="269" t="s">
        <v>49</v>
      </c>
      <c r="M24" s="269" t="s">
        <v>50</v>
      </c>
      <c r="N24" s="234"/>
      <c r="O24" s="477"/>
      <c r="P24" s="590"/>
      <c r="Q24" s="232"/>
      <c r="R24" s="475"/>
      <c r="S24" s="232"/>
      <c r="T24" s="479"/>
      <c r="U24" s="479"/>
      <c r="V24" s="8"/>
      <c r="W24" s="8"/>
      <c r="X24" s="8"/>
    </row>
    <row r="25" spans="1:24" s="464" customFormat="1" ht="14.25" hidden="1" customHeight="1">
      <c r="A25" s="225">
        <f>ROW()-1</f>
        <v>24</v>
      </c>
      <c r="B25" s="471">
        <v>46115</v>
      </c>
      <c r="C25" s="238" t="s">
        <v>157</v>
      </c>
      <c r="D25" s="240" t="s">
        <v>158</v>
      </c>
      <c r="E25" s="236" t="s">
        <v>22</v>
      </c>
      <c r="F25" s="236" t="s">
        <v>59</v>
      </c>
      <c r="G25" s="238" t="s">
        <v>159</v>
      </c>
      <c r="H25" s="237"/>
      <c r="I25" s="472" t="s">
        <v>160</v>
      </c>
      <c r="J25" s="257" t="s">
        <v>66</v>
      </c>
      <c r="K25" s="700"/>
      <c r="L25" s="473" t="s">
        <v>117</v>
      </c>
      <c r="M25" s="473" t="s">
        <v>50</v>
      </c>
      <c r="N25" s="238" t="s">
        <v>161</v>
      </c>
      <c r="O25" s="239">
        <v>46116</v>
      </c>
      <c r="P25" s="589">
        <v>807957</v>
      </c>
      <c r="Q25" s="236" t="s">
        <v>70</v>
      </c>
      <c r="R25" s="475"/>
      <c r="S25" s="236"/>
      <c r="T25" s="479"/>
      <c r="U25" s="479"/>
      <c r="V25" s="8"/>
      <c r="W25" s="8"/>
      <c r="X25" s="8"/>
    </row>
    <row r="26" spans="1:24" ht="14.25" hidden="1" customHeight="1">
      <c r="A26" s="225">
        <f>ROW()-1</f>
        <v>25</v>
      </c>
      <c r="B26" s="471">
        <v>46115</v>
      </c>
      <c r="C26" s="238" t="s">
        <v>20</v>
      </c>
      <c r="D26" s="240" t="s">
        <v>81</v>
      </c>
      <c r="E26" s="236" t="s">
        <v>162</v>
      </c>
      <c r="F26" s="236" t="s">
        <v>73</v>
      </c>
      <c r="G26" s="238" t="s">
        <v>163</v>
      </c>
      <c r="H26" s="237"/>
      <c r="I26" s="480"/>
      <c r="J26" s="257" t="s">
        <v>25</v>
      </c>
      <c r="K26" s="238"/>
      <c r="L26" s="232" t="s">
        <v>27</v>
      </c>
      <c r="M26" s="232" t="s">
        <v>28</v>
      </c>
      <c r="N26" s="238" t="s">
        <v>164</v>
      </c>
      <c r="O26" s="239"/>
      <c r="P26" s="589">
        <v>7060392</v>
      </c>
      <c r="Q26" s="236" t="s">
        <v>30</v>
      </c>
      <c r="R26" s="478">
        <v>46174</v>
      </c>
      <c r="S26" s="236"/>
      <c r="T26" s="731"/>
      <c r="U26" s="731"/>
      <c r="V26" s="263"/>
      <c r="W26" s="263"/>
      <c r="X26" s="263"/>
    </row>
    <row r="27" spans="1:24" ht="14.25" hidden="1" customHeight="1">
      <c r="A27" s="225">
        <f>ROW()-1</f>
        <v>26</v>
      </c>
      <c r="B27" s="476">
        <v>46115</v>
      </c>
      <c r="C27" s="234" t="s">
        <v>165</v>
      </c>
      <c r="D27" s="242"/>
      <c r="E27" s="232" t="s">
        <v>22</v>
      </c>
      <c r="F27" s="232" t="s">
        <v>59</v>
      </c>
      <c r="G27" s="234" t="s">
        <v>166</v>
      </c>
      <c r="H27" s="233"/>
      <c r="I27" s="602" t="s">
        <v>167</v>
      </c>
      <c r="J27" s="257" t="s">
        <v>66</v>
      </c>
      <c r="K27" s="234" t="s">
        <v>139</v>
      </c>
      <c r="L27" s="269" t="s">
        <v>49</v>
      </c>
      <c r="M27" s="269" t="s">
        <v>50</v>
      </c>
      <c r="N27" s="234" t="s">
        <v>159</v>
      </c>
      <c r="O27" s="235">
        <v>46116</v>
      </c>
      <c r="P27" s="590">
        <v>684000</v>
      </c>
      <c r="Q27" s="232" t="s">
        <v>70</v>
      </c>
      <c r="R27" s="475"/>
      <c r="S27" s="232"/>
      <c r="T27" s="731"/>
      <c r="U27" s="731"/>
      <c r="V27" s="263"/>
      <c r="W27" s="263"/>
      <c r="X27" s="263"/>
    </row>
    <row r="28" spans="1:24" ht="16.5" hidden="1" customHeight="1">
      <c r="A28" s="225">
        <f>ROW()-1</f>
        <v>27</v>
      </c>
      <c r="B28" s="471">
        <v>46115</v>
      </c>
      <c r="C28" s="238" t="s">
        <v>168</v>
      </c>
      <c r="D28" s="240" t="s">
        <v>169</v>
      </c>
      <c r="E28" s="236" t="s">
        <v>22</v>
      </c>
      <c r="F28" s="236" t="s">
        <v>60</v>
      </c>
      <c r="G28" s="238" t="s">
        <v>170</v>
      </c>
      <c r="H28" s="237">
        <v>9923625798</v>
      </c>
      <c r="I28" s="472" t="s">
        <v>163</v>
      </c>
      <c r="J28" s="690" t="s">
        <v>171</v>
      </c>
      <c r="K28" s="238" t="s">
        <v>172</v>
      </c>
      <c r="L28" s="473" t="s">
        <v>49</v>
      </c>
      <c r="M28" s="473" t="s">
        <v>40</v>
      </c>
      <c r="N28" s="238"/>
      <c r="O28" s="474"/>
      <c r="P28" s="589"/>
      <c r="Q28" s="236"/>
      <c r="R28" s="475"/>
      <c r="S28" s="236"/>
      <c r="T28" s="731"/>
      <c r="U28" s="731"/>
      <c r="V28" s="263"/>
      <c r="W28" s="263"/>
      <c r="X28" s="263"/>
    </row>
    <row r="29" spans="1:24" ht="14.25" hidden="1" customHeight="1">
      <c r="A29" s="225">
        <f>ROW()-1</f>
        <v>28</v>
      </c>
      <c r="B29" s="476">
        <v>46115</v>
      </c>
      <c r="C29" s="234" t="s">
        <v>166</v>
      </c>
      <c r="D29" s="242" t="s">
        <v>173</v>
      </c>
      <c r="E29" s="232" t="s">
        <v>143</v>
      </c>
      <c r="F29" s="232" t="s">
        <v>83</v>
      </c>
      <c r="G29" s="234" t="s">
        <v>174</v>
      </c>
      <c r="H29" s="233">
        <v>9370556327</v>
      </c>
      <c r="I29" s="266" t="s">
        <v>175</v>
      </c>
      <c r="J29" s="685" t="s">
        <v>56</v>
      </c>
      <c r="K29" s="234" t="s">
        <v>176</v>
      </c>
      <c r="L29" s="269" t="s">
        <v>49</v>
      </c>
      <c r="M29" s="269" t="s">
        <v>28</v>
      </c>
      <c r="N29" s="234"/>
      <c r="O29" s="477"/>
      <c r="P29" s="590"/>
      <c r="Q29" s="232"/>
      <c r="R29" s="475"/>
      <c r="S29" s="232"/>
      <c r="T29" s="731"/>
      <c r="U29" s="731"/>
      <c r="V29" s="263"/>
      <c r="W29" s="263"/>
      <c r="X29" s="263"/>
    </row>
    <row r="30" spans="1:24" ht="14.25" hidden="1" customHeight="1">
      <c r="A30" s="225">
        <f>ROW()-1</f>
        <v>29</v>
      </c>
      <c r="B30" s="471">
        <v>46115</v>
      </c>
      <c r="C30" s="238"/>
      <c r="D30" s="240" t="s">
        <v>177</v>
      </c>
      <c r="E30" s="236" t="s">
        <v>82</v>
      </c>
      <c r="F30" s="236" t="s">
        <v>60</v>
      </c>
      <c r="G30" s="238" t="s">
        <v>61</v>
      </c>
      <c r="H30" s="237">
        <v>7708636022</v>
      </c>
      <c r="I30" s="472" t="s">
        <v>178</v>
      </c>
      <c r="J30" s="687" t="s">
        <v>63</v>
      </c>
      <c r="K30" s="238" t="s">
        <v>179</v>
      </c>
      <c r="L30" s="473" t="s">
        <v>49</v>
      </c>
      <c r="M30" s="473" t="s">
        <v>40</v>
      </c>
      <c r="N30" s="238"/>
      <c r="O30" s="474"/>
      <c r="P30" s="589"/>
      <c r="Q30" s="236"/>
      <c r="R30" s="475"/>
      <c r="S30" s="236"/>
      <c r="T30" s="731"/>
      <c r="U30" s="731"/>
      <c r="V30" s="263"/>
      <c r="W30" s="263"/>
      <c r="X30" s="263"/>
    </row>
    <row r="31" spans="1:24" ht="14.25" hidden="1" customHeight="1">
      <c r="A31" s="225">
        <f>ROW()-1</f>
        <v>30</v>
      </c>
      <c r="B31" s="476">
        <v>46116</v>
      </c>
      <c r="C31" s="234" t="s">
        <v>42</v>
      </c>
      <c r="D31" s="242"/>
      <c r="E31" s="232" t="s">
        <v>143</v>
      </c>
      <c r="F31" s="232" t="s">
        <v>60</v>
      </c>
      <c r="G31" s="234" t="s">
        <v>180</v>
      </c>
      <c r="H31" s="233">
        <v>9850103500</v>
      </c>
      <c r="I31" s="266" t="s">
        <v>181</v>
      </c>
      <c r="J31" s="687" t="s">
        <v>63</v>
      </c>
      <c r="K31" s="701" t="s">
        <v>182</v>
      </c>
      <c r="L31" s="269" t="s">
        <v>49</v>
      </c>
      <c r="M31" s="269" t="s">
        <v>40</v>
      </c>
      <c r="N31" s="234"/>
      <c r="O31" s="477"/>
      <c r="P31" s="590"/>
      <c r="Q31" s="232"/>
      <c r="R31" s="475"/>
      <c r="S31" s="232"/>
      <c r="T31" s="731"/>
      <c r="U31" s="731"/>
      <c r="V31" s="263"/>
      <c r="W31" s="263"/>
      <c r="X31" s="263"/>
    </row>
    <row r="32" spans="1:24" ht="14.25" hidden="1" customHeight="1">
      <c r="A32" s="225">
        <f>ROW()-1</f>
        <v>31</v>
      </c>
      <c r="B32" s="471">
        <v>46116</v>
      </c>
      <c r="C32" s="238" t="s">
        <v>42</v>
      </c>
      <c r="D32" s="240" t="s">
        <v>183</v>
      </c>
      <c r="E32" s="236" t="s">
        <v>143</v>
      </c>
      <c r="F32" s="236" t="s">
        <v>60</v>
      </c>
      <c r="G32" s="238" t="s">
        <v>135</v>
      </c>
      <c r="H32" s="237">
        <v>9561900219</v>
      </c>
      <c r="I32" s="472" t="s">
        <v>184</v>
      </c>
      <c r="J32" s="687" t="s">
        <v>63</v>
      </c>
      <c r="K32" s="700" t="s">
        <v>185</v>
      </c>
      <c r="L32" s="473" t="s">
        <v>49</v>
      </c>
      <c r="M32" s="473" t="s">
        <v>40</v>
      </c>
      <c r="N32" s="238"/>
      <c r="O32" s="474"/>
      <c r="P32" s="589"/>
      <c r="Q32" s="236"/>
      <c r="R32" s="475"/>
      <c r="S32" s="236"/>
      <c r="T32" s="731"/>
      <c r="U32" s="731"/>
      <c r="V32" s="263"/>
      <c r="W32" s="263"/>
      <c r="X32" s="263"/>
    </row>
    <row r="33" spans="1:24" ht="14.25" hidden="1" customHeight="1">
      <c r="A33" s="225">
        <f>ROW()-1</f>
        <v>32</v>
      </c>
      <c r="B33" s="476">
        <v>46116</v>
      </c>
      <c r="C33" s="234" t="s">
        <v>186</v>
      </c>
      <c r="D33" s="242" t="s">
        <v>187</v>
      </c>
      <c r="E33" s="232" t="s">
        <v>82</v>
      </c>
      <c r="F33" s="232" t="s">
        <v>23</v>
      </c>
      <c r="G33" s="234" t="s">
        <v>188</v>
      </c>
      <c r="H33" s="233">
        <v>7397256036</v>
      </c>
      <c r="I33" s="266" t="s">
        <v>189</v>
      </c>
      <c r="J33" s="686" t="s">
        <v>122</v>
      </c>
      <c r="K33" s="701" t="s">
        <v>190</v>
      </c>
      <c r="L33" s="269" t="s">
        <v>49</v>
      </c>
      <c r="M33" s="269" t="s">
        <v>50</v>
      </c>
      <c r="N33" s="234"/>
      <c r="O33" s="477"/>
      <c r="P33" s="590"/>
      <c r="Q33" s="232"/>
      <c r="R33" s="475"/>
      <c r="S33" s="232"/>
      <c r="T33" s="731"/>
      <c r="U33" s="731"/>
      <c r="V33" s="263"/>
      <c r="W33" s="263"/>
      <c r="X33" s="263"/>
    </row>
    <row r="34" spans="1:24" ht="14.25" hidden="1" customHeight="1">
      <c r="A34" s="225">
        <f>ROW()-1</f>
        <v>33</v>
      </c>
      <c r="B34" s="471">
        <v>46116</v>
      </c>
      <c r="C34" s="238" t="s">
        <v>191</v>
      </c>
      <c r="D34" s="240" t="s">
        <v>192</v>
      </c>
      <c r="E34" s="236" t="s">
        <v>193</v>
      </c>
      <c r="F34" s="236" t="s">
        <v>73</v>
      </c>
      <c r="G34" s="238" t="s">
        <v>194</v>
      </c>
      <c r="H34" s="237">
        <v>6351590630</v>
      </c>
      <c r="I34" s="472" t="s">
        <v>195</v>
      </c>
      <c r="J34" s="688" t="s">
        <v>63</v>
      </c>
      <c r="K34" s="700" t="s">
        <v>196</v>
      </c>
      <c r="L34" s="473" t="s">
        <v>49</v>
      </c>
      <c r="M34" s="473" t="s">
        <v>50</v>
      </c>
      <c r="N34" s="238"/>
      <c r="O34" s="474"/>
      <c r="P34" s="589"/>
      <c r="Q34" s="236"/>
      <c r="R34" s="475"/>
      <c r="S34" s="236"/>
      <c r="T34" s="731"/>
      <c r="U34" s="731"/>
      <c r="V34" s="263"/>
      <c r="W34" s="263"/>
      <c r="X34" s="263"/>
    </row>
    <row r="35" spans="1:24" ht="14.25" hidden="1" customHeight="1">
      <c r="A35" s="225">
        <f>ROW()-1</f>
        <v>34</v>
      </c>
      <c r="B35" s="476">
        <v>46116</v>
      </c>
      <c r="C35" s="234" t="s">
        <v>197</v>
      </c>
      <c r="D35" s="242" t="s">
        <v>198</v>
      </c>
      <c r="E35" s="232" t="s">
        <v>199</v>
      </c>
      <c r="F35" s="232" t="s">
        <v>83</v>
      </c>
      <c r="G35" s="234" t="s">
        <v>200</v>
      </c>
      <c r="H35" s="233">
        <v>9694664945</v>
      </c>
      <c r="I35" s="266" t="s">
        <v>201</v>
      </c>
      <c r="J35" s="686" t="s">
        <v>122</v>
      </c>
      <c r="K35" s="701" t="s">
        <v>202</v>
      </c>
      <c r="L35" s="269" t="s">
        <v>49</v>
      </c>
      <c r="M35" s="269" t="s">
        <v>50</v>
      </c>
      <c r="N35" s="234"/>
      <c r="O35" s="477"/>
      <c r="P35" s="590"/>
      <c r="Q35" s="232"/>
      <c r="R35" s="475"/>
      <c r="S35" s="232"/>
      <c r="T35" s="731"/>
      <c r="U35" s="731"/>
      <c r="V35" s="263"/>
      <c r="W35" s="263"/>
      <c r="X35" s="263"/>
    </row>
    <row r="36" spans="1:24" ht="14.25" hidden="1" customHeight="1">
      <c r="A36" s="225">
        <f>ROW()-1</f>
        <v>35</v>
      </c>
      <c r="B36" s="471">
        <v>46116</v>
      </c>
      <c r="C36" s="238" t="s">
        <v>203</v>
      </c>
      <c r="D36" s="240" t="s">
        <v>204</v>
      </c>
      <c r="E36" s="236" t="s">
        <v>205</v>
      </c>
      <c r="F36" s="236" t="s">
        <v>60</v>
      </c>
      <c r="G36" s="238" t="s">
        <v>170</v>
      </c>
      <c r="H36" s="237">
        <v>9606739416</v>
      </c>
      <c r="I36" s="472" t="s">
        <v>206</v>
      </c>
      <c r="J36" s="687" t="s">
        <v>63</v>
      </c>
      <c r="K36" s="700" t="s">
        <v>207</v>
      </c>
      <c r="L36" s="473" t="s">
        <v>49</v>
      </c>
      <c r="M36" s="473" t="s">
        <v>40</v>
      </c>
      <c r="N36" s="238"/>
      <c r="O36" s="474"/>
      <c r="P36" s="589"/>
      <c r="Q36" s="236"/>
      <c r="R36" s="475"/>
      <c r="S36" s="236"/>
      <c r="T36" s="731"/>
      <c r="U36" s="731"/>
      <c r="V36" s="263"/>
      <c r="W36" s="263"/>
      <c r="X36" s="263"/>
    </row>
    <row r="37" spans="1:24" ht="14.25" hidden="1" customHeight="1">
      <c r="A37" s="225">
        <f>ROW()-1</f>
        <v>36</v>
      </c>
      <c r="B37" s="476">
        <v>46116</v>
      </c>
      <c r="C37" s="234" t="s">
        <v>208</v>
      </c>
      <c r="D37" s="242"/>
      <c r="E37" s="232" t="s">
        <v>22</v>
      </c>
      <c r="F37" s="232" t="s">
        <v>60</v>
      </c>
      <c r="G37" s="234" t="s">
        <v>209</v>
      </c>
      <c r="H37" s="233">
        <v>9158772627</v>
      </c>
      <c r="I37" s="266" t="s">
        <v>210</v>
      </c>
      <c r="J37" s="267" t="s">
        <v>122</v>
      </c>
      <c r="K37" s="701" t="s">
        <v>211</v>
      </c>
      <c r="L37" s="269" t="s">
        <v>49</v>
      </c>
      <c r="M37" s="269" t="s">
        <v>40</v>
      </c>
      <c r="N37" s="234"/>
      <c r="O37" s="477"/>
      <c r="P37" s="590"/>
      <c r="Q37" s="232"/>
      <c r="R37" s="475"/>
      <c r="S37" s="232"/>
      <c r="T37" s="731"/>
      <c r="U37" s="731"/>
      <c r="V37" s="263"/>
      <c r="W37" s="263"/>
      <c r="X37" s="263"/>
    </row>
    <row r="38" spans="1:24" ht="14.25" hidden="1" customHeight="1">
      <c r="A38" s="225">
        <f>ROW()-1</f>
        <v>37</v>
      </c>
      <c r="B38" s="476">
        <v>46116</v>
      </c>
      <c r="C38" s="234" t="s">
        <v>212</v>
      </c>
      <c r="D38" s="242" t="s">
        <v>213</v>
      </c>
      <c r="E38" s="232" t="s">
        <v>214</v>
      </c>
      <c r="F38" s="232" t="s">
        <v>60</v>
      </c>
      <c r="G38" s="234" t="s">
        <v>215</v>
      </c>
      <c r="H38" s="233">
        <v>9440860225</v>
      </c>
      <c r="I38" s="266" t="s">
        <v>216</v>
      </c>
      <c r="J38" s="687" t="s">
        <v>63</v>
      </c>
      <c r="K38" s="701" t="s">
        <v>217</v>
      </c>
      <c r="L38" s="269" t="s">
        <v>49</v>
      </c>
      <c r="M38" s="269" t="s">
        <v>40</v>
      </c>
      <c r="N38" s="234"/>
      <c r="O38" s="477"/>
      <c r="P38" s="590"/>
      <c r="Q38" s="232"/>
      <c r="R38" s="475"/>
      <c r="S38" s="232"/>
      <c r="T38" s="731" t="s">
        <v>218</v>
      </c>
      <c r="U38" s="731"/>
      <c r="V38" s="263"/>
      <c r="W38" s="263"/>
      <c r="X38" s="263"/>
    </row>
    <row r="39" spans="1:24" ht="14.25" hidden="1" customHeight="1">
      <c r="A39" s="225">
        <f>ROW()-1</f>
        <v>38</v>
      </c>
      <c r="B39" s="471">
        <v>46116</v>
      </c>
      <c r="C39" s="238" t="s">
        <v>219</v>
      </c>
      <c r="D39" s="240"/>
      <c r="E39" s="236" t="s">
        <v>143</v>
      </c>
      <c r="F39" s="236" t="s">
        <v>60</v>
      </c>
      <c r="G39" s="238" t="s">
        <v>220</v>
      </c>
      <c r="H39" s="237">
        <v>9443114544</v>
      </c>
      <c r="I39" s="472" t="s">
        <v>221</v>
      </c>
      <c r="J39" s="687" t="s">
        <v>63</v>
      </c>
      <c r="K39" s="700" t="s">
        <v>222</v>
      </c>
      <c r="L39" s="473" t="s">
        <v>49</v>
      </c>
      <c r="M39" s="473" t="s">
        <v>40</v>
      </c>
      <c r="N39" s="238"/>
      <c r="O39" s="474"/>
      <c r="P39" s="589"/>
      <c r="Q39" s="236"/>
      <c r="R39" s="475"/>
      <c r="S39" s="236"/>
      <c r="T39" s="731"/>
      <c r="U39" s="731"/>
      <c r="V39" s="263"/>
      <c r="W39" s="263"/>
      <c r="X39" s="263"/>
    </row>
    <row r="40" spans="1:24" ht="14.25" hidden="1" customHeight="1">
      <c r="A40" s="225">
        <f>ROW()-1</f>
        <v>39</v>
      </c>
      <c r="B40" s="471">
        <v>46117</v>
      </c>
      <c r="C40" s="238" t="s">
        <v>223</v>
      </c>
      <c r="D40" s="240" t="s">
        <v>131</v>
      </c>
      <c r="E40" s="236" t="s">
        <v>22</v>
      </c>
      <c r="F40" s="236" t="s">
        <v>73</v>
      </c>
      <c r="G40" s="238" t="s">
        <v>224</v>
      </c>
      <c r="H40" s="237"/>
      <c r="I40" s="472" t="s">
        <v>225</v>
      </c>
      <c r="J40" s="257" t="s">
        <v>47</v>
      </c>
      <c r="K40" s="700"/>
      <c r="L40" s="473" t="s">
        <v>117</v>
      </c>
      <c r="M40" s="473" t="s">
        <v>77</v>
      </c>
      <c r="N40" s="238" t="s">
        <v>226</v>
      </c>
      <c r="O40" s="239">
        <v>46117</v>
      </c>
      <c r="P40" s="589">
        <v>6820905.0199999996</v>
      </c>
      <c r="Q40" s="236" t="s">
        <v>98</v>
      </c>
      <c r="R40" s="475"/>
      <c r="S40" s="236"/>
      <c r="T40" s="731"/>
      <c r="U40" s="731"/>
      <c r="V40" s="263"/>
      <c r="W40" s="263"/>
      <c r="X40" s="263"/>
    </row>
    <row r="41" spans="1:24" ht="14.25" hidden="1" customHeight="1">
      <c r="A41" s="225">
        <f>ROW()-1</f>
        <v>40</v>
      </c>
      <c r="B41" s="476">
        <v>46118</v>
      </c>
      <c r="C41" s="234" t="s">
        <v>227</v>
      </c>
      <c r="D41" s="242" t="s">
        <v>228</v>
      </c>
      <c r="E41" s="232" t="s">
        <v>22</v>
      </c>
      <c r="F41" s="232" t="s">
        <v>44</v>
      </c>
      <c r="G41" s="234" t="s">
        <v>45</v>
      </c>
      <c r="H41" s="233">
        <v>9324811919</v>
      </c>
      <c r="I41" s="266" t="s">
        <v>229</v>
      </c>
      <c r="J41" s="686" t="s">
        <v>122</v>
      </c>
      <c r="K41" s="701" t="s">
        <v>230</v>
      </c>
      <c r="L41" s="269" t="s">
        <v>49</v>
      </c>
      <c r="M41" s="269" t="s">
        <v>50</v>
      </c>
      <c r="N41" s="234"/>
      <c r="O41" s="477"/>
      <c r="P41" s="590"/>
      <c r="Q41" s="232"/>
      <c r="R41" s="475"/>
      <c r="S41" s="232"/>
      <c r="T41" s="731"/>
      <c r="U41" s="731"/>
      <c r="V41" s="263"/>
      <c r="W41" s="263"/>
      <c r="X41" s="263"/>
    </row>
    <row r="42" spans="1:24" ht="14.25" hidden="1" customHeight="1">
      <c r="A42" s="225">
        <f>ROW()-1</f>
        <v>41</v>
      </c>
      <c r="B42" s="476">
        <v>46118</v>
      </c>
      <c r="C42" s="234" t="s">
        <v>231</v>
      </c>
      <c r="D42" s="242" t="s">
        <v>232</v>
      </c>
      <c r="E42" s="232" t="s">
        <v>22</v>
      </c>
      <c r="F42" s="232" t="s">
        <v>60</v>
      </c>
      <c r="G42" s="234" t="s">
        <v>233</v>
      </c>
      <c r="H42" s="233">
        <v>9637320354</v>
      </c>
      <c r="I42" s="266" t="s">
        <v>234</v>
      </c>
      <c r="J42" s="257" t="s">
        <v>25</v>
      </c>
      <c r="K42" s="701" t="s">
        <v>224</v>
      </c>
      <c r="L42" s="269" t="s">
        <v>49</v>
      </c>
      <c r="M42" s="269" t="s">
        <v>40</v>
      </c>
      <c r="N42" s="234" t="s">
        <v>235</v>
      </c>
      <c r="O42" s="477">
        <v>46119</v>
      </c>
      <c r="P42" s="590">
        <v>440800</v>
      </c>
      <c r="Q42" s="232" t="s">
        <v>30</v>
      </c>
      <c r="R42" s="478">
        <v>46162</v>
      </c>
      <c r="S42" s="232"/>
      <c r="T42" s="731"/>
      <c r="U42" s="731"/>
      <c r="V42" s="263"/>
      <c r="W42" s="263"/>
      <c r="X42" s="263"/>
    </row>
    <row r="43" spans="1:24" ht="14.25" hidden="1" customHeight="1">
      <c r="A43" s="225">
        <f>ROW()-1</f>
        <v>42</v>
      </c>
      <c r="B43" s="471">
        <v>46118</v>
      </c>
      <c r="C43" s="238" t="s">
        <v>236</v>
      </c>
      <c r="D43" s="240" t="s">
        <v>237</v>
      </c>
      <c r="E43" s="236" t="s">
        <v>143</v>
      </c>
      <c r="F43" s="236" t="s">
        <v>23</v>
      </c>
      <c r="G43" s="238" t="s">
        <v>188</v>
      </c>
      <c r="H43" s="237">
        <v>8130300040</v>
      </c>
      <c r="I43" s="472" t="s">
        <v>238</v>
      </c>
      <c r="J43" s="481" t="s">
        <v>122</v>
      </c>
      <c r="K43" s="238" t="s">
        <v>239</v>
      </c>
      <c r="L43" s="236" t="s">
        <v>49</v>
      </c>
      <c r="M43" s="236" t="s">
        <v>50</v>
      </c>
      <c r="N43" s="238"/>
      <c r="O43" s="474"/>
      <c r="P43" s="589"/>
      <c r="Q43" s="236"/>
      <c r="R43" s="475"/>
      <c r="S43" s="236"/>
      <c r="T43" s="731"/>
      <c r="U43" s="731"/>
      <c r="V43" s="263"/>
      <c r="W43" s="263"/>
      <c r="X43" s="263"/>
    </row>
    <row r="44" spans="1:24" ht="14.25" hidden="1" customHeight="1">
      <c r="A44" s="225">
        <f>ROW()-1</f>
        <v>43</v>
      </c>
      <c r="B44" s="471">
        <v>46118</v>
      </c>
      <c r="C44" s="238" t="s">
        <v>240</v>
      </c>
      <c r="D44" s="240" t="s">
        <v>131</v>
      </c>
      <c r="E44" s="236" t="s">
        <v>22</v>
      </c>
      <c r="F44" s="236" t="s">
        <v>23</v>
      </c>
      <c r="G44" s="238" t="s">
        <v>188</v>
      </c>
      <c r="H44" s="237">
        <v>9158899611</v>
      </c>
      <c r="I44" s="472" t="s">
        <v>241</v>
      </c>
      <c r="J44" s="683" t="s">
        <v>47</v>
      </c>
      <c r="K44" s="700" t="s">
        <v>242</v>
      </c>
      <c r="L44" s="473" t="s">
        <v>49</v>
      </c>
      <c r="M44" s="473" t="s">
        <v>50</v>
      </c>
      <c r="N44" s="238"/>
      <c r="O44" s="474"/>
      <c r="P44" s="589"/>
      <c r="Q44" s="236"/>
      <c r="R44" s="475"/>
      <c r="S44" s="236"/>
      <c r="T44" s="731"/>
      <c r="U44" s="731"/>
      <c r="V44" s="263"/>
      <c r="W44" s="263"/>
      <c r="X44" s="263"/>
    </row>
    <row r="45" spans="1:24" ht="14.25" hidden="1" customHeight="1">
      <c r="A45" s="225">
        <f>ROW()-1</f>
        <v>44</v>
      </c>
      <c r="B45" s="471">
        <v>46118</v>
      </c>
      <c r="C45" s="238" t="s">
        <v>233</v>
      </c>
      <c r="D45" s="240" t="s">
        <v>243</v>
      </c>
      <c r="E45" s="236" t="s">
        <v>22</v>
      </c>
      <c r="F45" s="236" t="s">
        <v>60</v>
      </c>
      <c r="G45" s="238" t="s">
        <v>244</v>
      </c>
      <c r="H45" s="237">
        <v>9765356786</v>
      </c>
      <c r="I45" s="599" t="s">
        <v>245</v>
      </c>
      <c r="J45" s="687" t="s">
        <v>63</v>
      </c>
      <c r="K45" s="700" t="s">
        <v>246</v>
      </c>
      <c r="L45" s="473" t="s">
        <v>49</v>
      </c>
      <c r="M45" s="473" t="s">
        <v>40</v>
      </c>
      <c r="N45" s="238"/>
      <c r="O45" s="474"/>
      <c r="P45" s="589"/>
      <c r="Q45" s="236"/>
      <c r="R45" s="475"/>
      <c r="S45" s="236"/>
      <c r="T45" s="731"/>
      <c r="U45" s="731"/>
      <c r="V45" s="263"/>
      <c r="W45" s="263"/>
      <c r="X45" s="263"/>
    </row>
    <row r="46" spans="1:24" ht="14.25" hidden="1" customHeight="1">
      <c r="A46" s="225">
        <f>ROW()-1</f>
        <v>45</v>
      </c>
      <c r="B46" s="476">
        <v>46118</v>
      </c>
      <c r="C46" s="234" t="s">
        <v>247</v>
      </c>
      <c r="D46" s="242" t="s">
        <v>131</v>
      </c>
      <c r="E46" s="232" t="s">
        <v>22</v>
      </c>
      <c r="F46" s="232" t="s">
        <v>60</v>
      </c>
      <c r="G46" s="234" t="s">
        <v>180</v>
      </c>
      <c r="H46" s="233">
        <v>7776076665</v>
      </c>
      <c r="I46" s="480" t="s">
        <v>139</v>
      </c>
      <c r="J46" s="689" t="s">
        <v>47</v>
      </c>
      <c r="K46" s="701" t="s">
        <v>248</v>
      </c>
      <c r="L46" s="269" t="s">
        <v>49</v>
      </c>
      <c r="M46" s="269" t="s">
        <v>40</v>
      </c>
      <c r="N46" s="234"/>
      <c r="O46" s="477"/>
      <c r="P46" s="590"/>
      <c r="Q46" s="232"/>
      <c r="R46" s="475"/>
      <c r="S46" s="232"/>
      <c r="T46" s="731"/>
      <c r="U46" s="731"/>
      <c r="V46" s="263"/>
      <c r="W46" s="263"/>
      <c r="X46" s="263"/>
    </row>
    <row r="47" spans="1:24" ht="14.25" hidden="1" customHeight="1">
      <c r="A47" s="225">
        <f>ROW()-1</f>
        <v>46</v>
      </c>
      <c r="B47" s="476">
        <v>46119</v>
      </c>
      <c r="C47" s="234" t="s">
        <v>249</v>
      </c>
      <c r="D47" s="242" t="s">
        <v>131</v>
      </c>
      <c r="E47" s="232" t="s">
        <v>22</v>
      </c>
      <c r="F47" s="232" t="s">
        <v>59</v>
      </c>
      <c r="G47" s="234" t="s">
        <v>250</v>
      </c>
      <c r="H47" s="233">
        <v>8956613645</v>
      </c>
      <c r="I47" s="266" t="s">
        <v>251</v>
      </c>
      <c r="J47" s="257" t="s">
        <v>47</v>
      </c>
      <c r="K47" s="234" t="s">
        <v>252</v>
      </c>
      <c r="L47" s="232" t="s">
        <v>74</v>
      </c>
      <c r="M47" s="232" t="s">
        <v>28</v>
      </c>
      <c r="N47" s="234" t="s">
        <v>253</v>
      </c>
      <c r="O47" s="235">
        <v>46120</v>
      </c>
      <c r="P47" s="590">
        <v>415000</v>
      </c>
      <c r="Q47" s="232" t="s">
        <v>98</v>
      </c>
      <c r="R47" s="475"/>
      <c r="S47" s="232"/>
      <c r="T47" s="731"/>
      <c r="U47" s="731"/>
      <c r="V47" s="263"/>
      <c r="W47" s="263"/>
      <c r="X47" s="263"/>
    </row>
    <row r="48" spans="1:24" ht="14.25" hidden="1" customHeight="1">
      <c r="A48" s="225">
        <f>ROW()-1</f>
        <v>47</v>
      </c>
      <c r="B48" s="476">
        <v>46119</v>
      </c>
      <c r="C48" s="234" t="s">
        <v>254</v>
      </c>
      <c r="D48" s="242" t="s">
        <v>131</v>
      </c>
      <c r="E48" s="232" t="s">
        <v>22</v>
      </c>
      <c r="F48" s="232" t="s">
        <v>60</v>
      </c>
      <c r="G48" s="234" t="s">
        <v>255</v>
      </c>
      <c r="H48" s="233">
        <v>7722050915</v>
      </c>
      <c r="I48" s="234" t="s">
        <v>256</v>
      </c>
      <c r="J48" s="257" t="s">
        <v>66</v>
      </c>
      <c r="K48" s="234" t="s">
        <v>257</v>
      </c>
      <c r="L48" s="232" t="s">
        <v>27</v>
      </c>
      <c r="M48" s="232" t="s">
        <v>40</v>
      </c>
      <c r="N48" s="234" t="s">
        <v>258</v>
      </c>
      <c r="O48" s="235">
        <v>46120</v>
      </c>
      <c r="P48" s="590">
        <v>132594</v>
      </c>
      <c r="Q48" s="232" t="s">
        <v>70</v>
      </c>
      <c r="R48" s="475"/>
      <c r="S48" s="232"/>
      <c r="T48" s="731"/>
      <c r="U48" s="731"/>
      <c r="V48" s="263"/>
      <c r="W48" s="263"/>
      <c r="X48" s="263"/>
    </row>
    <row r="49" spans="1:24" ht="14.25" hidden="1" customHeight="1">
      <c r="A49" s="225">
        <f>ROW()-1</f>
        <v>48</v>
      </c>
      <c r="B49" s="471">
        <v>46119</v>
      </c>
      <c r="C49" s="238" t="s">
        <v>254</v>
      </c>
      <c r="D49" s="240" t="s">
        <v>131</v>
      </c>
      <c r="E49" s="236" t="s">
        <v>22</v>
      </c>
      <c r="F49" s="236" t="s">
        <v>60</v>
      </c>
      <c r="G49" s="238" t="s">
        <v>259</v>
      </c>
      <c r="H49" s="237">
        <v>7758036720</v>
      </c>
      <c r="I49" s="238" t="s">
        <v>260</v>
      </c>
      <c r="J49" s="257" t="s">
        <v>25</v>
      </c>
      <c r="K49" s="238" t="s">
        <v>261</v>
      </c>
      <c r="L49" s="236" t="s">
        <v>74</v>
      </c>
      <c r="M49" s="236" t="s">
        <v>40</v>
      </c>
      <c r="N49" s="238" t="s">
        <v>250</v>
      </c>
      <c r="O49" s="474">
        <v>46119</v>
      </c>
      <c r="P49" s="589">
        <v>126280</v>
      </c>
      <c r="Q49" s="236" t="s">
        <v>30</v>
      </c>
      <c r="R49" s="478">
        <v>46162</v>
      </c>
      <c r="S49" s="236"/>
      <c r="T49" s="731"/>
      <c r="U49" s="731"/>
      <c r="V49" s="263"/>
      <c r="W49" s="263"/>
      <c r="X49" s="263"/>
    </row>
    <row r="50" spans="1:24" ht="14.25" hidden="1" customHeight="1">
      <c r="A50" s="225">
        <f>ROW()-1</f>
        <v>49</v>
      </c>
      <c r="B50" s="476">
        <v>46119</v>
      </c>
      <c r="C50" s="234" t="s">
        <v>262</v>
      </c>
      <c r="D50" s="242" t="s">
        <v>131</v>
      </c>
      <c r="E50" s="232" t="s">
        <v>22</v>
      </c>
      <c r="F50" s="232" t="s">
        <v>23</v>
      </c>
      <c r="G50" s="234" t="s">
        <v>263</v>
      </c>
      <c r="H50" s="233">
        <v>8600120115</v>
      </c>
      <c r="I50" s="266" t="s">
        <v>264</v>
      </c>
      <c r="J50" s="257" t="s">
        <v>66</v>
      </c>
      <c r="K50" s="234" t="s">
        <v>265</v>
      </c>
      <c r="L50" s="232" t="s">
        <v>27</v>
      </c>
      <c r="M50" s="232" t="s">
        <v>28</v>
      </c>
      <c r="N50" s="234" t="s">
        <v>266</v>
      </c>
      <c r="O50" s="235">
        <v>46120</v>
      </c>
      <c r="P50" s="590">
        <v>414000</v>
      </c>
      <c r="Q50" s="232" t="s">
        <v>70</v>
      </c>
      <c r="R50" s="475"/>
      <c r="S50" s="232"/>
      <c r="T50" s="731"/>
      <c r="U50" s="731"/>
      <c r="V50" s="263"/>
      <c r="W50" s="263"/>
      <c r="X50" s="263"/>
    </row>
    <row r="51" spans="1:24" ht="14.25" hidden="1" customHeight="1">
      <c r="A51" s="225">
        <f>ROW()-1</f>
        <v>50</v>
      </c>
      <c r="B51" s="471">
        <v>46119</v>
      </c>
      <c r="C51" s="238" t="s">
        <v>255</v>
      </c>
      <c r="D51" s="240" t="s">
        <v>255</v>
      </c>
      <c r="E51" s="236" t="s">
        <v>22</v>
      </c>
      <c r="F51" s="236" t="s">
        <v>23</v>
      </c>
      <c r="G51" s="238" t="s">
        <v>267</v>
      </c>
      <c r="H51" s="237">
        <v>8857033592</v>
      </c>
      <c r="I51" s="599" t="s">
        <v>268</v>
      </c>
      <c r="J51" s="483" t="s">
        <v>63</v>
      </c>
      <c r="K51" s="238" t="s">
        <v>269</v>
      </c>
      <c r="L51" s="236" t="s">
        <v>49</v>
      </c>
      <c r="M51" s="236" t="s">
        <v>50</v>
      </c>
      <c r="N51" s="238"/>
      <c r="O51" s="474"/>
      <c r="P51" s="589"/>
      <c r="Q51" s="236"/>
      <c r="R51" s="475"/>
      <c r="S51" s="236"/>
      <c r="T51" s="731"/>
      <c r="U51" s="731"/>
      <c r="V51" s="263"/>
      <c r="W51" s="263"/>
      <c r="X51" s="263"/>
    </row>
    <row r="52" spans="1:24" ht="14.25" hidden="1" customHeight="1">
      <c r="A52" s="225">
        <f>ROW()-1</f>
        <v>51</v>
      </c>
      <c r="B52" s="476">
        <v>46119</v>
      </c>
      <c r="C52" s="234" t="s">
        <v>270</v>
      </c>
      <c r="D52" s="242" t="s">
        <v>271</v>
      </c>
      <c r="E52" s="232" t="s">
        <v>272</v>
      </c>
      <c r="F52" s="232" t="s">
        <v>73</v>
      </c>
      <c r="G52" s="234" t="s">
        <v>273</v>
      </c>
      <c r="H52" s="233">
        <v>9780400793</v>
      </c>
      <c r="I52" s="234"/>
      <c r="J52" s="483" t="s">
        <v>63</v>
      </c>
      <c r="K52" s="234" t="s">
        <v>274</v>
      </c>
      <c r="L52" s="232" t="s">
        <v>58</v>
      </c>
      <c r="M52" s="232" t="s">
        <v>50</v>
      </c>
      <c r="N52" s="234"/>
      <c r="O52" s="477"/>
      <c r="P52" s="590"/>
      <c r="Q52" s="232"/>
      <c r="R52" s="475"/>
      <c r="S52" s="232"/>
      <c r="T52" s="731"/>
      <c r="U52" s="731"/>
      <c r="V52" s="263"/>
      <c r="W52" s="263"/>
      <c r="X52" s="263"/>
    </row>
    <row r="53" spans="1:24" ht="14.25" hidden="1" customHeight="1">
      <c r="A53" s="225">
        <f>ROW()-1</f>
        <v>52</v>
      </c>
      <c r="B53" s="476">
        <v>46119</v>
      </c>
      <c r="C53" s="234" t="s">
        <v>275</v>
      </c>
      <c r="D53" s="242" t="s">
        <v>131</v>
      </c>
      <c r="E53" s="232" t="s">
        <v>22</v>
      </c>
      <c r="F53" s="232" t="s">
        <v>23</v>
      </c>
      <c r="G53" s="234" t="s">
        <v>276</v>
      </c>
      <c r="H53" s="233"/>
      <c r="I53" s="266" t="s">
        <v>277</v>
      </c>
      <c r="J53" s="257" t="s">
        <v>66</v>
      </c>
      <c r="K53" s="234" t="s">
        <v>278</v>
      </c>
      <c r="L53" s="269" t="s">
        <v>49</v>
      </c>
      <c r="M53" s="232" t="s">
        <v>50</v>
      </c>
      <c r="N53" s="234" t="s">
        <v>279</v>
      </c>
      <c r="O53" s="235">
        <v>46119</v>
      </c>
      <c r="P53" s="590">
        <v>555000</v>
      </c>
      <c r="Q53" s="232" t="s">
        <v>70</v>
      </c>
      <c r="R53" s="475"/>
      <c r="S53" s="232"/>
      <c r="T53" s="731"/>
      <c r="U53" s="731"/>
      <c r="V53" s="263"/>
      <c r="W53" s="263"/>
      <c r="X53" s="263"/>
    </row>
    <row r="54" spans="1:24" ht="14.25" hidden="1" customHeight="1">
      <c r="A54" s="225">
        <f>ROW()-1</f>
        <v>53</v>
      </c>
      <c r="B54" s="471">
        <v>46119</v>
      </c>
      <c r="C54" s="238" t="s">
        <v>280</v>
      </c>
      <c r="D54" s="240" t="s">
        <v>281</v>
      </c>
      <c r="E54" s="236" t="s">
        <v>126</v>
      </c>
      <c r="F54" s="236" t="s">
        <v>73</v>
      </c>
      <c r="G54" s="238"/>
      <c r="H54" s="237">
        <v>8968593098</v>
      </c>
      <c r="I54" s="472" t="s">
        <v>282</v>
      </c>
      <c r="J54" s="258" t="s">
        <v>47</v>
      </c>
      <c r="K54" s="549"/>
      <c r="L54" s="236" t="s">
        <v>58</v>
      </c>
      <c r="M54" s="236"/>
      <c r="N54" s="238"/>
      <c r="O54" s="474"/>
      <c r="P54" s="589"/>
      <c r="Q54" s="236"/>
      <c r="R54" s="475"/>
      <c r="S54" s="236"/>
      <c r="T54" s="731"/>
      <c r="U54" s="731"/>
      <c r="V54" s="263"/>
      <c r="W54" s="263"/>
      <c r="X54" s="263"/>
    </row>
    <row r="55" spans="1:24" ht="14.25" hidden="1" customHeight="1">
      <c r="A55" s="225">
        <f>ROW()-1</f>
        <v>54</v>
      </c>
      <c r="B55" s="471">
        <v>46119</v>
      </c>
      <c r="C55" s="238" t="s">
        <v>283</v>
      </c>
      <c r="D55" s="240" t="s">
        <v>131</v>
      </c>
      <c r="E55" s="236" t="s">
        <v>22</v>
      </c>
      <c r="F55" s="236" t="s">
        <v>32</v>
      </c>
      <c r="G55" s="238" t="s">
        <v>284</v>
      </c>
      <c r="H55" s="237">
        <v>9637320354</v>
      </c>
      <c r="I55" s="599" t="s">
        <v>285</v>
      </c>
      <c r="J55" s="257" t="s">
        <v>66</v>
      </c>
      <c r="K55" s="549" t="s">
        <v>224</v>
      </c>
      <c r="L55" s="236" t="s">
        <v>49</v>
      </c>
      <c r="M55" s="236" t="s">
        <v>50</v>
      </c>
      <c r="N55" s="238" t="s">
        <v>286</v>
      </c>
      <c r="O55" s="239">
        <v>46119</v>
      </c>
      <c r="P55" s="589">
        <v>311316.59999999998</v>
      </c>
      <c r="Q55" s="236" t="s">
        <v>70</v>
      </c>
      <c r="R55" s="475"/>
      <c r="S55" s="236"/>
      <c r="T55" s="731"/>
      <c r="U55" s="731"/>
      <c r="V55" s="263"/>
      <c r="W55" s="263"/>
      <c r="X55" s="263"/>
    </row>
    <row r="56" spans="1:24" ht="14.25" hidden="1" customHeight="1">
      <c r="A56" s="225">
        <f>ROW()-1</f>
        <v>55</v>
      </c>
      <c r="B56" s="471">
        <v>46119</v>
      </c>
      <c r="C56" s="238" t="s">
        <v>287</v>
      </c>
      <c r="D56" s="240" t="s">
        <v>131</v>
      </c>
      <c r="E56" s="236" t="s">
        <v>22</v>
      </c>
      <c r="F56" s="236" t="s">
        <v>32</v>
      </c>
      <c r="G56" s="238" t="s">
        <v>288</v>
      </c>
      <c r="H56" s="237">
        <v>9503218504</v>
      </c>
      <c r="I56" s="472" t="s">
        <v>289</v>
      </c>
      <c r="J56" s="257" t="s">
        <v>66</v>
      </c>
      <c r="K56" s="238" t="s">
        <v>290</v>
      </c>
      <c r="L56" s="236" t="s">
        <v>27</v>
      </c>
      <c r="M56" s="236" t="s">
        <v>28</v>
      </c>
      <c r="N56" s="238" t="s">
        <v>291</v>
      </c>
      <c r="O56" s="239">
        <v>46119</v>
      </c>
      <c r="P56" s="589">
        <v>1672022.1</v>
      </c>
      <c r="Q56" s="270" t="s">
        <v>292</v>
      </c>
      <c r="R56" s="475"/>
      <c r="S56" s="236"/>
      <c r="T56" s="731"/>
      <c r="U56" s="731"/>
      <c r="V56" s="263"/>
      <c r="W56" s="263"/>
      <c r="X56" s="263"/>
    </row>
    <row r="57" spans="1:24" ht="14.25" hidden="1" customHeight="1">
      <c r="A57" s="225">
        <f>ROW()-1</f>
        <v>56</v>
      </c>
      <c r="B57" s="476">
        <v>46119</v>
      </c>
      <c r="C57" s="234" t="s">
        <v>276</v>
      </c>
      <c r="D57" s="242" t="s">
        <v>293</v>
      </c>
      <c r="E57" s="232" t="s">
        <v>22</v>
      </c>
      <c r="F57" s="232" t="s">
        <v>83</v>
      </c>
      <c r="G57" s="234" t="s">
        <v>294</v>
      </c>
      <c r="H57" s="233"/>
      <c r="I57" s="480" t="s">
        <v>139</v>
      </c>
      <c r="J57" s="691" t="s">
        <v>56</v>
      </c>
      <c r="K57" s="234" t="s">
        <v>295</v>
      </c>
      <c r="L57" s="232" t="s">
        <v>49</v>
      </c>
      <c r="M57" s="232" t="s">
        <v>28</v>
      </c>
      <c r="N57" s="234"/>
      <c r="O57" s="477"/>
      <c r="P57" s="590"/>
      <c r="Q57" s="232"/>
      <c r="R57" s="475"/>
      <c r="S57" s="232"/>
      <c r="T57" s="731"/>
      <c r="U57" s="731"/>
      <c r="V57" s="263"/>
      <c r="W57" s="263"/>
      <c r="X57" s="263"/>
    </row>
    <row r="58" spans="1:24" ht="14.25" hidden="1" customHeight="1">
      <c r="A58" s="225">
        <f>ROW()-1</f>
        <v>57</v>
      </c>
      <c r="B58" s="476">
        <v>46119</v>
      </c>
      <c r="C58" s="234" t="s">
        <v>296</v>
      </c>
      <c r="D58" s="242" t="s">
        <v>131</v>
      </c>
      <c r="E58" s="232" t="s">
        <v>22</v>
      </c>
      <c r="F58" s="232" t="s">
        <v>73</v>
      </c>
      <c r="G58" s="234" t="s">
        <v>90</v>
      </c>
      <c r="H58" s="233"/>
      <c r="I58" s="480" t="s">
        <v>139</v>
      </c>
      <c r="J58" s="481" t="s">
        <v>122</v>
      </c>
      <c r="K58" s="234" t="s">
        <v>297</v>
      </c>
      <c r="L58" s="232" t="s">
        <v>49</v>
      </c>
      <c r="M58" s="232" t="s">
        <v>50</v>
      </c>
      <c r="N58" s="234"/>
      <c r="O58" s="477"/>
      <c r="P58" s="590"/>
      <c r="Q58" s="232"/>
      <c r="R58" s="475"/>
      <c r="S58" s="232"/>
      <c r="T58" s="731"/>
      <c r="U58" s="731"/>
      <c r="V58" s="263"/>
      <c r="W58" s="263"/>
      <c r="X58" s="263"/>
    </row>
    <row r="59" spans="1:24" ht="14.25" hidden="1" customHeight="1">
      <c r="A59" s="225">
        <f>ROW()-1</f>
        <v>58</v>
      </c>
      <c r="B59" s="471">
        <v>46119</v>
      </c>
      <c r="C59" s="238" t="s">
        <v>298</v>
      </c>
      <c r="D59" s="240" t="s">
        <v>131</v>
      </c>
      <c r="E59" s="236" t="s">
        <v>22</v>
      </c>
      <c r="F59" s="236" t="s">
        <v>60</v>
      </c>
      <c r="G59" s="238" t="s">
        <v>299</v>
      </c>
      <c r="H59" s="237">
        <v>7769969765</v>
      </c>
      <c r="I59" s="472" t="s">
        <v>284</v>
      </c>
      <c r="J59" s="482" t="s">
        <v>47</v>
      </c>
      <c r="K59" s="238" t="s">
        <v>300</v>
      </c>
      <c r="L59" s="236" t="s">
        <v>49</v>
      </c>
      <c r="M59" s="236" t="s">
        <v>40</v>
      </c>
      <c r="N59" s="238" t="s">
        <v>301</v>
      </c>
      <c r="O59" s="239">
        <v>46138</v>
      </c>
      <c r="P59" s="589">
        <v>197742</v>
      </c>
      <c r="Q59" s="236" t="s">
        <v>302</v>
      </c>
      <c r="R59" s="478"/>
      <c r="S59" s="236"/>
      <c r="T59" s="731"/>
      <c r="U59" s="731"/>
      <c r="V59" s="263"/>
      <c r="W59" s="263"/>
      <c r="X59" s="263"/>
    </row>
    <row r="60" spans="1:24" ht="14.25" hidden="1" customHeight="1">
      <c r="A60" s="225">
        <f>ROW()-1</f>
        <v>59</v>
      </c>
      <c r="B60" s="471">
        <v>46119</v>
      </c>
      <c r="C60" s="238"/>
      <c r="D60" s="240" t="s">
        <v>288</v>
      </c>
      <c r="E60" s="236" t="s">
        <v>272</v>
      </c>
      <c r="F60" s="236" t="s">
        <v>60</v>
      </c>
      <c r="G60" s="238" t="s">
        <v>180</v>
      </c>
      <c r="H60" s="237"/>
      <c r="I60" s="472" t="s">
        <v>303</v>
      </c>
      <c r="J60" s="692" t="s">
        <v>122</v>
      </c>
      <c r="K60" s="234" t="s">
        <v>139</v>
      </c>
      <c r="L60" s="236" t="s">
        <v>49</v>
      </c>
      <c r="M60" s="236" t="s">
        <v>40</v>
      </c>
      <c r="N60" s="238"/>
      <c r="O60" s="474"/>
      <c r="P60" s="589"/>
      <c r="Q60" s="236"/>
      <c r="R60" s="475"/>
      <c r="S60" s="236"/>
      <c r="T60" s="731"/>
      <c r="U60" s="731"/>
      <c r="V60" s="263"/>
      <c r="W60" s="263"/>
      <c r="X60" s="263"/>
    </row>
    <row r="61" spans="1:24" ht="14.25" hidden="1" customHeight="1">
      <c r="A61" s="225">
        <f>ROW()-1</f>
        <v>60</v>
      </c>
      <c r="B61" s="476">
        <v>46119</v>
      </c>
      <c r="C61" s="234"/>
      <c r="D61" s="242" t="s">
        <v>304</v>
      </c>
      <c r="E61" s="232" t="s">
        <v>82</v>
      </c>
      <c r="F61" s="232" t="s">
        <v>60</v>
      </c>
      <c r="G61" s="234" t="s">
        <v>305</v>
      </c>
      <c r="H61" s="233">
        <v>9842020245</v>
      </c>
      <c r="I61" s="558" t="s">
        <v>139</v>
      </c>
      <c r="J61" s="482" t="s">
        <v>47</v>
      </c>
      <c r="K61" s="234" t="s">
        <v>139</v>
      </c>
      <c r="L61" s="232" t="s">
        <v>49</v>
      </c>
      <c r="M61" s="232" t="s">
        <v>40</v>
      </c>
      <c r="N61" s="234"/>
      <c r="O61" s="477"/>
      <c r="P61" s="590"/>
      <c r="Q61" s="232"/>
      <c r="R61" s="475"/>
      <c r="S61" s="232"/>
      <c r="T61" s="731"/>
      <c r="U61" s="731"/>
      <c r="V61" s="263"/>
      <c r="W61" s="263"/>
      <c r="X61" s="263"/>
    </row>
    <row r="62" spans="1:24" ht="14.25" hidden="1" customHeight="1">
      <c r="A62" s="225">
        <f>ROW()-1</f>
        <v>61</v>
      </c>
      <c r="B62" s="471">
        <v>46120</v>
      </c>
      <c r="C62" s="238" t="s">
        <v>306</v>
      </c>
      <c r="D62" s="240" t="s">
        <v>307</v>
      </c>
      <c r="E62" s="236" t="s">
        <v>162</v>
      </c>
      <c r="F62" s="236" t="s">
        <v>59</v>
      </c>
      <c r="G62" s="238" t="s">
        <v>308</v>
      </c>
      <c r="H62" s="237">
        <v>7020865996</v>
      </c>
      <c r="I62" s="236" t="s">
        <v>309</v>
      </c>
      <c r="J62" s="257" t="s">
        <v>66</v>
      </c>
      <c r="K62" s="236" t="s">
        <v>310</v>
      </c>
      <c r="L62" s="236" t="s">
        <v>74</v>
      </c>
      <c r="M62" s="236" t="s">
        <v>77</v>
      </c>
      <c r="N62" s="238" t="s">
        <v>311</v>
      </c>
      <c r="O62" s="239">
        <v>46136</v>
      </c>
      <c r="P62" s="589">
        <v>475000</v>
      </c>
      <c r="Q62" s="270" t="s">
        <v>79</v>
      </c>
      <c r="R62" s="475"/>
      <c r="S62" s="236"/>
      <c r="T62" s="731"/>
      <c r="U62" s="731"/>
      <c r="V62" s="263"/>
      <c r="W62" s="263"/>
      <c r="X62" s="263"/>
    </row>
    <row r="63" spans="1:24" ht="14.25" hidden="1" customHeight="1">
      <c r="A63" s="225">
        <f>ROW()-1</f>
        <v>62</v>
      </c>
      <c r="B63" s="471">
        <v>46120</v>
      </c>
      <c r="C63" s="238" t="s">
        <v>312</v>
      </c>
      <c r="D63" s="240" t="s">
        <v>313</v>
      </c>
      <c r="E63" s="236" t="s">
        <v>22</v>
      </c>
      <c r="F63" s="236" t="s">
        <v>23</v>
      </c>
      <c r="G63" s="238" t="s">
        <v>127</v>
      </c>
      <c r="H63" s="237">
        <v>9370694025</v>
      </c>
      <c r="I63" s="238" t="s">
        <v>314</v>
      </c>
      <c r="J63" s="691" t="s">
        <v>56</v>
      </c>
      <c r="K63" s="238" t="s">
        <v>315</v>
      </c>
      <c r="L63" s="236" t="s">
        <v>58</v>
      </c>
      <c r="M63" s="236" t="s">
        <v>50</v>
      </c>
      <c r="N63" s="238"/>
      <c r="O63" s="474"/>
      <c r="P63" s="589"/>
      <c r="Q63" s="236"/>
      <c r="R63" s="475"/>
      <c r="S63" s="236"/>
      <c r="T63" s="731"/>
      <c r="U63" s="731"/>
      <c r="V63" s="263"/>
      <c r="W63" s="263"/>
      <c r="X63" s="263"/>
    </row>
    <row r="64" spans="1:24" ht="14.25" hidden="1" customHeight="1">
      <c r="A64" s="225">
        <f>ROW()-1</f>
        <v>63</v>
      </c>
      <c r="B64" s="476">
        <v>46120</v>
      </c>
      <c r="C64" s="234" t="s">
        <v>316</v>
      </c>
      <c r="D64" s="242" t="s">
        <v>317</v>
      </c>
      <c r="E64" s="232" t="s">
        <v>22</v>
      </c>
      <c r="F64" s="232" t="s">
        <v>60</v>
      </c>
      <c r="G64" s="234" t="s">
        <v>255</v>
      </c>
      <c r="H64" s="233"/>
      <c r="I64" s="560"/>
      <c r="J64" s="257" t="s">
        <v>66</v>
      </c>
      <c r="K64" s="234"/>
      <c r="L64" s="232" t="s">
        <v>117</v>
      </c>
      <c r="M64" s="232" t="s">
        <v>50</v>
      </c>
      <c r="N64" s="234" t="s">
        <v>318</v>
      </c>
      <c r="O64" s="235">
        <v>46121</v>
      </c>
      <c r="P64" s="590">
        <v>390000</v>
      </c>
      <c r="Q64" s="232" t="s">
        <v>119</v>
      </c>
      <c r="R64" s="475"/>
      <c r="S64" s="232"/>
      <c r="T64" s="731" t="s">
        <v>319</v>
      </c>
      <c r="U64" s="731"/>
      <c r="V64" s="263"/>
      <c r="W64" s="263"/>
      <c r="X64" s="263"/>
    </row>
    <row r="65" spans="1:24" ht="14.25" hidden="1" customHeight="1">
      <c r="A65" s="225">
        <f>ROW()-1</f>
        <v>64</v>
      </c>
      <c r="B65" s="476">
        <v>46120</v>
      </c>
      <c r="C65" s="234" t="s">
        <v>320</v>
      </c>
      <c r="D65" s="242" t="s">
        <v>131</v>
      </c>
      <c r="E65" s="232" t="s">
        <v>22</v>
      </c>
      <c r="F65" s="232" t="s">
        <v>73</v>
      </c>
      <c r="G65" s="234" t="s">
        <v>321</v>
      </c>
      <c r="H65" s="233">
        <v>9764000241</v>
      </c>
      <c r="I65" s="480" t="s">
        <v>139</v>
      </c>
      <c r="J65" s="483" t="s">
        <v>63</v>
      </c>
      <c r="K65" s="234" t="s">
        <v>322</v>
      </c>
      <c r="L65" s="232" t="s">
        <v>49</v>
      </c>
      <c r="M65" s="232" t="s">
        <v>50</v>
      </c>
      <c r="N65" s="234"/>
      <c r="O65" s="477"/>
      <c r="P65" s="590"/>
      <c r="Q65" s="232"/>
      <c r="R65" s="475"/>
      <c r="S65" s="232"/>
      <c r="T65" s="731"/>
      <c r="U65" s="731"/>
      <c r="V65" s="263"/>
      <c r="W65" s="263"/>
      <c r="X65" s="263"/>
    </row>
    <row r="66" spans="1:24" ht="14.25" hidden="1" customHeight="1">
      <c r="A66" s="225">
        <f>ROW()-1</f>
        <v>65</v>
      </c>
      <c r="B66" s="471">
        <v>46120</v>
      </c>
      <c r="C66" s="238" t="s">
        <v>323</v>
      </c>
      <c r="D66" s="240" t="s">
        <v>324</v>
      </c>
      <c r="E66" s="236" t="s">
        <v>214</v>
      </c>
      <c r="F66" s="236" t="s">
        <v>60</v>
      </c>
      <c r="G66" s="238" t="s">
        <v>308</v>
      </c>
      <c r="H66" s="237">
        <v>9567698052</v>
      </c>
      <c r="I66" s="238" t="s">
        <v>325</v>
      </c>
      <c r="J66" s="257" t="s">
        <v>66</v>
      </c>
      <c r="K66" s="238" t="s">
        <v>326</v>
      </c>
      <c r="L66" s="236" t="s">
        <v>27</v>
      </c>
      <c r="M66" s="236" t="s">
        <v>40</v>
      </c>
      <c r="N66" s="238" t="s">
        <v>327</v>
      </c>
      <c r="O66" s="239">
        <v>46118</v>
      </c>
      <c r="P66" s="589">
        <v>1450000</v>
      </c>
      <c r="Q66" s="236"/>
      <c r="R66" s="475"/>
      <c r="S66" s="236"/>
      <c r="T66" s="731"/>
      <c r="U66" s="731"/>
      <c r="V66" s="263"/>
      <c r="W66" s="263"/>
      <c r="X66" s="263"/>
    </row>
    <row r="67" spans="1:24" ht="14.25" hidden="1" customHeight="1">
      <c r="A67" s="225">
        <f>ROW()-1</f>
        <v>66</v>
      </c>
      <c r="B67" s="471">
        <v>46120</v>
      </c>
      <c r="C67" s="238" t="s">
        <v>328</v>
      </c>
      <c r="D67" s="240" t="s">
        <v>328</v>
      </c>
      <c r="E67" s="236" t="s">
        <v>22</v>
      </c>
      <c r="F67" s="236" t="s">
        <v>73</v>
      </c>
      <c r="G67" s="238" t="s">
        <v>329</v>
      </c>
      <c r="H67" s="237">
        <v>9730558867</v>
      </c>
      <c r="I67" s="472" t="s">
        <v>330</v>
      </c>
      <c r="J67" s="691" t="s">
        <v>56</v>
      </c>
      <c r="K67" s="238" t="s">
        <v>331</v>
      </c>
      <c r="L67" s="236" t="s">
        <v>49</v>
      </c>
      <c r="M67" s="236" t="s">
        <v>50</v>
      </c>
      <c r="N67" s="238"/>
      <c r="O67" s="474"/>
      <c r="P67" s="589"/>
      <c r="Q67" s="236"/>
      <c r="R67" s="475"/>
      <c r="S67" s="236"/>
      <c r="T67" s="731"/>
      <c r="U67" s="731"/>
      <c r="V67" s="263"/>
      <c r="W67" s="263"/>
      <c r="X67" s="263"/>
    </row>
    <row r="68" spans="1:24" ht="14.25" hidden="1" customHeight="1">
      <c r="A68" s="225">
        <f>ROW()-1</f>
        <v>67</v>
      </c>
      <c r="B68" s="476">
        <v>46120</v>
      </c>
      <c r="C68" s="234" t="s">
        <v>332</v>
      </c>
      <c r="D68" s="242" t="s">
        <v>131</v>
      </c>
      <c r="E68" s="232" t="s">
        <v>22</v>
      </c>
      <c r="F68" s="232" t="s">
        <v>59</v>
      </c>
      <c r="G68" s="234" t="s">
        <v>333</v>
      </c>
      <c r="H68" s="233"/>
      <c r="I68" s="266" t="s">
        <v>334</v>
      </c>
      <c r="J68" s="692" t="s">
        <v>66</v>
      </c>
      <c r="K68" s="234" t="s">
        <v>335</v>
      </c>
      <c r="L68" s="232" t="s">
        <v>27</v>
      </c>
      <c r="M68" s="232" t="s">
        <v>40</v>
      </c>
      <c r="N68" s="234" t="s">
        <v>336</v>
      </c>
      <c r="O68" s="235">
        <v>46120</v>
      </c>
      <c r="P68" s="590">
        <v>550000</v>
      </c>
      <c r="Q68" s="232" t="s">
        <v>292</v>
      </c>
      <c r="R68" s="475"/>
      <c r="S68" s="232"/>
      <c r="T68" s="731"/>
      <c r="U68" s="731"/>
      <c r="V68" s="263"/>
      <c r="W68" s="263"/>
      <c r="X68" s="263"/>
    </row>
    <row r="69" spans="1:24" ht="14.25" hidden="1" customHeight="1">
      <c r="A69" s="225">
        <f>ROW()-1</f>
        <v>68</v>
      </c>
      <c r="B69" s="471">
        <v>46120</v>
      </c>
      <c r="C69" s="238" t="s">
        <v>337</v>
      </c>
      <c r="D69" s="240" t="s">
        <v>131</v>
      </c>
      <c r="E69" s="236" t="s">
        <v>22</v>
      </c>
      <c r="F69" s="236" t="s">
        <v>32</v>
      </c>
      <c r="G69" s="238" t="s">
        <v>338</v>
      </c>
      <c r="H69" s="237">
        <v>9890039131</v>
      </c>
      <c r="I69" s="255" t="s">
        <v>339</v>
      </c>
      <c r="J69" s="257" t="s">
        <v>47</v>
      </c>
      <c r="K69" s="238" t="s">
        <v>340</v>
      </c>
      <c r="L69" s="236" t="s">
        <v>27</v>
      </c>
      <c r="M69" s="236" t="s">
        <v>40</v>
      </c>
      <c r="N69" s="238" t="s">
        <v>341</v>
      </c>
      <c r="O69" s="239">
        <v>46120</v>
      </c>
      <c r="P69" s="589">
        <v>913101.8</v>
      </c>
      <c r="Q69" s="236" t="s">
        <v>98</v>
      </c>
      <c r="R69" s="475"/>
      <c r="S69" s="236"/>
      <c r="T69" s="731"/>
      <c r="U69" s="731"/>
      <c r="V69" s="263"/>
      <c r="W69" s="263"/>
      <c r="X69" s="263"/>
    </row>
    <row r="70" spans="1:24" ht="14.25" hidden="1" customHeight="1">
      <c r="A70" s="225">
        <f>ROW()-1</f>
        <v>69</v>
      </c>
      <c r="B70" s="476">
        <v>46120</v>
      </c>
      <c r="C70" s="234"/>
      <c r="D70" s="242"/>
      <c r="E70" s="232" t="s">
        <v>59</v>
      </c>
      <c r="F70" s="232" t="s">
        <v>73</v>
      </c>
      <c r="G70" s="234" t="s">
        <v>342</v>
      </c>
      <c r="H70" s="233">
        <v>7373390090</v>
      </c>
      <c r="I70" s="234"/>
      <c r="J70" s="481" t="s">
        <v>122</v>
      </c>
      <c r="K70" s="234" t="s">
        <v>343</v>
      </c>
      <c r="L70" s="232" t="s">
        <v>58</v>
      </c>
      <c r="M70" s="232" t="s">
        <v>50</v>
      </c>
      <c r="N70" s="234"/>
      <c r="O70" s="477"/>
      <c r="P70" s="590"/>
      <c r="Q70" s="232"/>
      <c r="R70" s="475"/>
      <c r="S70" s="232"/>
      <c r="T70" s="232" t="s">
        <v>292</v>
      </c>
      <c r="U70" s="731"/>
      <c r="V70" s="263"/>
      <c r="W70" s="263"/>
      <c r="X70" s="263"/>
    </row>
    <row r="71" spans="1:24" ht="14.25" hidden="1" customHeight="1">
      <c r="A71" s="225">
        <f>ROW()-1</f>
        <v>70</v>
      </c>
      <c r="B71" s="476">
        <v>46121</v>
      </c>
      <c r="C71" s="234" t="s">
        <v>344</v>
      </c>
      <c r="D71" s="242" t="s">
        <v>131</v>
      </c>
      <c r="E71" s="232" t="s">
        <v>22</v>
      </c>
      <c r="F71" s="232" t="s">
        <v>32</v>
      </c>
      <c r="G71" s="234"/>
      <c r="H71" s="233"/>
      <c r="I71" s="234"/>
      <c r="J71" s="257" t="s">
        <v>66</v>
      </c>
      <c r="K71" s="234"/>
      <c r="L71" s="232" t="s">
        <v>27</v>
      </c>
      <c r="M71" s="232" t="s">
        <v>28</v>
      </c>
      <c r="N71" s="234" t="s">
        <v>345</v>
      </c>
      <c r="O71" s="235">
        <v>46122</v>
      </c>
      <c r="P71" s="590">
        <v>635000</v>
      </c>
      <c r="Q71" s="232" t="s">
        <v>292</v>
      </c>
      <c r="R71" s="475"/>
      <c r="S71" s="232"/>
      <c r="T71" s="731"/>
      <c r="U71" s="731"/>
      <c r="V71" s="263"/>
      <c r="W71" s="263"/>
      <c r="X71" s="263"/>
    </row>
    <row r="72" spans="1:24" ht="14.25" hidden="1" customHeight="1">
      <c r="A72" s="225">
        <f>ROW()-1</f>
        <v>71</v>
      </c>
      <c r="B72" s="476">
        <v>46121</v>
      </c>
      <c r="C72" s="234" t="s">
        <v>346</v>
      </c>
      <c r="D72" s="242" t="s">
        <v>347</v>
      </c>
      <c r="E72" s="232" t="s">
        <v>22</v>
      </c>
      <c r="F72" s="232" t="s">
        <v>60</v>
      </c>
      <c r="G72" s="234" t="s">
        <v>135</v>
      </c>
      <c r="H72" s="233">
        <v>9403565656</v>
      </c>
      <c r="I72" s="266" t="s">
        <v>348</v>
      </c>
      <c r="J72" s="482" t="s">
        <v>47</v>
      </c>
      <c r="K72" s="234" t="s">
        <v>349</v>
      </c>
      <c r="L72" s="232" t="s">
        <v>49</v>
      </c>
      <c r="M72" s="232" t="s">
        <v>40</v>
      </c>
      <c r="N72" s="234"/>
      <c r="O72" s="477"/>
      <c r="P72" s="590"/>
      <c r="Q72" s="232"/>
      <c r="R72" s="475"/>
      <c r="S72" s="232"/>
      <c r="T72" s="731"/>
      <c r="U72" s="731"/>
      <c r="V72" s="263"/>
      <c r="W72" s="263"/>
      <c r="X72" s="263"/>
    </row>
    <row r="73" spans="1:24" ht="14.25" hidden="1" customHeight="1">
      <c r="A73" s="225">
        <f>ROW()-1</f>
        <v>72</v>
      </c>
      <c r="B73" s="476">
        <v>46121</v>
      </c>
      <c r="C73" s="234" t="s">
        <v>350</v>
      </c>
      <c r="D73" s="242" t="s">
        <v>131</v>
      </c>
      <c r="E73" s="232" t="s">
        <v>22</v>
      </c>
      <c r="F73" s="232" t="s">
        <v>32</v>
      </c>
      <c r="G73" s="234" t="s">
        <v>32</v>
      </c>
      <c r="H73" s="233"/>
      <c r="I73" s="234" t="s">
        <v>351</v>
      </c>
      <c r="J73" s="257" t="s">
        <v>66</v>
      </c>
      <c r="K73" s="234"/>
      <c r="L73" s="232" t="s">
        <v>27</v>
      </c>
      <c r="M73" s="232" t="s">
        <v>28</v>
      </c>
      <c r="N73" s="234" t="s">
        <v>333</v>
      </c>
      <c r="O73" s="235">
        <v>46124</v>
      </c>
      <c r="P73" s="590">
        <v>2112645.7000000002</v>
      </c>
      <c r="Q73" s="232"/>
      <c r="R73" s="475"/>
      <c r="S73" s="232"/>
      <c r="T73" s="731"/>
      <c r="U73" s="731"/>
      <c r="V73" s="263"/>
      <c r="W73" s="263"/>
      <c r="X73" s="263"/>
    </row>
    <row r="74" spans="1:24" ht="14.25" hidden="1" customHeight="1">
      <c r="A74" s="225">
        <f>ROW()-1</f>
        <v>73</v>
      </c>
      <c r="B74" s="471">
        <v>46121</v>
      </c>
      <c r="C74" s="238" t="s">
        <v>352</v>
      </c>
      <c r="D74" s="240" t="s">
        <v>353</v>
      </c>
      <c r="E74" s="236" t="s">
        <v>22</v>
      </c>
      <c r="F74" s="236" t="s">
        <v>60</v>
      </c>
      <c r="G74" s="238" t="s">
        <v>354</v>
      </c>
      <c r="H74" s="237" t="s">
        <v>355</v>
      </c>
      <c r="I74" s="238" t="s">
        <v>356</v>
      </c>
      <c r="J74" s="257" t="s">
        <v>66</v>
      </c>
      <c r="K74" s="238" t="s">
        <v>338</v>
      </c>
      <c r="L74" s="236" t="s">
        <v>27</v>
      </c>
      <c r="M74" s="236" t="s">
        <v>77</v>
      </c>
      <c r="N74" s="238" t="s">
        <v>357</v>
      </c>
      <c r="O74" s="239">
        <v>46122</v>
      </c>
      <c r="P74" s="589">
        <v>155284</v>
      </c>
      <c r="Q74" s="270" t="s">
        <v>70</v>
      </c>
      <c r="R74" s="475"/>
      <c r="S74" s="236" t="s">
        <v>358</v>
      </c>
      <c r="T74" s="731"/>
      <c r="U74" s="731"/>
      <c r="V74" s="263"/>
      <c r="W74" s="263"/>
      <c r="X74" s="263"/>
    </row>
    <row r="75" spans="1:24" ht="14.25" hidden="1" customHeight="1">
      <c r="A75" s="225">
        <f>ROW()-1</f>
        <v>74</v>
      </c>
      <c r="B75" s="471">
        <v>46121</v>
      </c>
      <c r="C75" s="238"/>
      <c r="D75" s="240" t="s">
        <v>359</v>
      </c>
      <c r="E75" s="236" t="s">
        <v>193</v>
      </c>
      <c r="F75" s="236" t="s">
        <v>73</v>
      </c>
      <c r="G75" s="238" t="s">
        <v>360</v>
      </c>
      <c r="H75" s="237">
        <v>9924546462</v>
      </c>
      <c r="I75" s="549" t="s">
        <v>361</v>
      </c>
      <c r="J75" s="483" t="s">
        <v>63</v>
      </c>
      <c r="K75" s="549"/>
      <c r="L75" s="236" t="s">
        <v>58</v>
      </c>
      <c r="M75" s="236" t="s">
        <v>50</v>
      </c>
      <c r="N75" s="238"/>
      <c r="O75" s="474"/>
      <c r="P75" s="589"/>
      <c r="Q75" s="236"/>
      <c r="R75" s="475"/>
      <c r="S75" s="236"/>
      <c r="T75" s="731"/>
      <c r="U75" s="731"/>
      <c r="V75" s="263"/>
      <c r="W75" s="263"/>
      <c r="X75" s="263"/>
    </row>
    <row r="76" spans="1:24" ht="14.25" hidden="1" customHeight="1">
      <c r="A76" s="225">
        <f>ROW()-1</f>
        <v>75</v>
      </c>
      <c r="B76" s="471">
        <v>46121</v>
      </c>
      <c r="C76" s="238"/>
      <c r="D76" s="240" t="s">
        <v>362</v>
      </c>
      <c r="E76" s="236" t="s">
        <v>143</v>
      </c>
      <c r="F76" s="236" t="s">
        <v>83</v>
      </c>
      <c r="G76" s="238" t="s">
        <v>363</v>
      </c>
      <c r="H76" s="237">
        <v>7835907263</v>
      </c>
      <c r="I76" s="480" t="s">
        <v>139</v>
      </c>
      <c r="J76" s="691" t="s">
        <v>56</v>
      </c>
      <c r="K76" s="234" t="s">
        <v>139</v>
      </c>
      <c r="L76" s="236" t="s">
        <v>49</v>
      </c>
      <c r="M76" s="236" t="s">
        <v>28</v>
      </c>
      <c r="N76" s="238"/>
      <c r="O76" s="474"/>
      <c r="P76" s="589"/>
      <c r="Q76" s="236"/>
      <c r="R76" s="475"/>
      <c r="S76" s="236"/>
      <c r="T76" s="731"/>
      <c r="U76" s="731"/>
      <c r="V76" s="263"/>
      <c r="W76" s="263"/>
      <c r="X76" s="263"/>
    </row>
    <row r="77" spans="1:24" ht="14.25" hidden="1" customHeight="1">
      <c r="A77" s="225">
        <f>ROW()-1</f>
        <v>76</v>
      </c>
      <c r="B77" s="471">
        <v>46122</v>
      </c>
      <c r="C77" s="238" t="s">
        <v>80</v>
      </c>
      <c r="D77" s="240" t="s">
        <v>364</v>
      </c>
      <c r="E77" s="236" t="s">
        <v>22</v>
      </c>
      <c r="F77" s="236" t="s">
        <v>32</v>
      </c>
      <c r="G77" s="238" t="s">
        <v>365</v>
      </c>
      <c r="H77" s="237"/>
      <c r="I77" s="255" t="s">
        <v>366</v>
      </c>
      <c r="J77" s="692" t="s">
        <v>86</v>
      </c>
      <c r="K77" s="238" t="s">
        <v>367</v>
      </c>
      <c r="L77" s="236" t="s">
        <v>27</v>
      </c>
      <c r="M77" s="236" t="s">
        <v>28</v>
      </c>
      <c r="N77" s="238" t="s">
        <v>368</v>
      </c>
      <c r="O77" s="239">
        <v>46122</v>
      </c>
      <c r="P77" s="589">
        <v>1070000</v>
      </c>
      <c r="Q77" s="236" t="s">
        <v>70</v>
      </c>
      <c r="R77" s="475"/>
      <c r="S77" s="236"/>
      <c r="T77" s="731"/>
      <c r="U77" s="731"/>
      <c r="V77" s="263"/>
      <c r="W77" s="263"/>
      <c r="X77" s="263"/>
    </row>
    <row r="78" spans="1:24" ht="14.25" hidden="1" customHeight="1">
      <c r="A78" s="225">
        <f>ROW()-1</f>
        <v>77</v>
      </c>
      <c r="B78" s="476">
        <v>46122</v>
      </c>
      <c r="C78" s="234" t="s">
        <v>369</v>
      </c>
      <c r="D78" s="242" t="s">
        <v>370</v>
      </c>
      <c r="E78" s="232" t="s">
        <v>205</v>
      </c>
      <c r="F78" s="232" t="s">
        <v>60</v>
      </c>
      <c r="G78" s="234" t="s">
        <v>371</v>
      </c>
      <c r="H78" s="233"/>
      <c r="I78" s="602" t="s">
        <v>372</v>
      </c>
      <c r="J78" s="692" t="s">
        <v>122</v>
      </c>
      <c r="K78" s="560" t="s">
        <v>139</v>
      </c>
      <c r="L78" s="232" t="s">
        <v>49</v>
      </c>
      <c r="M78" s="232" t="s">
        <v>40</v>
      </c>
      <c r="N78" s="234"/>
      <c r="O78" s="477"/>
      <c r="P78" s="590"/>
      <c r="Q78" s="232"/>
      <c r="R78" s="475"/>
      <c r="S78" s="232"/>
      <c r="T78" s="731"/>
      <c r="U78" s="731"/>
      <c r="V78" s="263"/>
      <c r="W78" s="263"/>
      <c r="X78" s="263"/>
    </row>
    <row r="79" spans="1:24" ht="14.25" hidden="1" customHeight="1">
      <c r="A79" s="225">
        <f>ROW()-1</f>
        <v>78</v>
      </c>
      <c r="B79" s="471">
        <v>46122</v>
      </c>
      <c r="C79" s="236" t="s">
        <v>373</v>
      </c>
      <c r="D79" s="240" t="s">
        <v>131</v>
      </c>
      <c r="E79" s="236" t="s">
        <v>22</v>
      </c>
      <c r="F79" s="236" t="s">
        <v>73</v>
      </c>
      <c r="G79" s="238"/>
      <c r="H79" s="237">
        <v>9702282453</v>
      </c>
      <c r="I79" s="255"/>
      <c r="J79" s="485" t="s">
        <v>171</v>
      </c>
      <c r="K79" s="236" t="s">
        <v>354</v>
      </c>
      <c r="L79" s="236" t="s">
        <v>58</v>
      </c>
      <c r="M79" s="236" t="s">
        <v>50</v>
      </c>
      <c r="N79" s="238"/>
      <c r="O79" s="474"/>
      <c r="P79" s="589"/>
      <c r="Q79" s="236"/>
      <c r="R79" s="475"/>
      <c r="S79" s="236"/>
      <c r="T79" s="731"/>
      <c r="U79" s="731"/>
      <c r="V79" s="263"/>
      <c r="W79" s="263"/>
      <c r="X79" s="263"/>
    </row>
    <row r="80" spans="1:24" ht="14.25" hidden="1" customHeight="1">
      <c r="A80" s="225">
        <f>ROW()-1</f>
        <v>79</v>
      </c>
      <c r="B80" s="476">
        <v>46122</v>
      </c>
      <c r="C80" s="232" t="s">
        <v>374</v>
      </c>
      <c r="D80" s="484"/>
      <c r="E80" s="232" t="s">
        <v>59</v>
      </c>
      <c r="F80" s="232" t="s">
        <v>73</v>
      </c>
      <c r="G80" s="234"/>
      <c r="H80" s="233">
        <v>9767035430</v>
      </c>
      <c r="I80" s="264"/>
      <c r="J80" s="481" t="s">
        <v>122</v>
      </c>
      <c r="K80" s="232"/>
      <c r="L80" s="232" t="s">
        <v>58</v>
      </c>
      <c r="M80" s="232" t="s">
        <v>50</v>
      </c>
      <c r="N80" s="234"/>
      <c r="O80" s="477"/>
      <c r="P80" s="590"/>
      <c r="Q80" s="232"/>
      <c r="R80" s="475"/>
      <c r="S80" s="232"/>
      <c r="T80" s="731"/>
      <c r="U80" s="731"/>
      <c r="V80" s="263"/>
      <c r="W80" s="263"/>
      <c r="X80" s="263"/>
    </row>
    <row r="81" spans="1:27" ht="14.25" hidden="1" customHeight="1">
      <c r="A81" s="225">
        <f>ROW()-1</f>
        <v>80</v>
      </c>
      <c r="B81" s="476">
        <v>46122</v>
      </c>
      <c r="C81" s="232" t="s">
        <v>375</v>
      </c>
      <c r="D81" s="484"/>
      <c r="E81" s="232" t="s">
        <v>59</v>
      </c>
      <c r="F81" s="232" t="s">
        <v>73</v>
      </c>
      <c r="G81" s="234"/>
      <c r="H81" s="233">
        <v>8866146055</v>
      </c>
      <c r="I81" s="266"/>
      <c r="J81" s="481" t="s">
        <v>122</v>
      </c>
      <c r="K81" s="232"/>
      <c r="L81" s="232" t="s">
        <v>58</v>
      </c>
      <c r="M81" s="232" t="s">
        <v>50</v>
      </c>
      <c r="N81" s="234"/>
      <c r="O81" s="477"/>
      <c r="P81" s="590"/>
      <c r="Q81" s="232"/>
      <c r="R81" s="475"/>
      <c r="S81" s="232"/>
      <c r="T81" s="731"/>
      <c r="U81" s="731"/>
      <c r="V81" s="263"/>
      <c r="W81" s="263"/>
      <c r="X81" s="263"/>
    </row>
    <row r="82" spans="1:27" ht="14.25" hidden="1" customHeight="1">
      <c r="A82" s="225">
        <f>ROW()-1</f>
        <v>81</v>
      </c>
      <c r="B82" s="476">
        <v>46122</v>
      </c>
      <c r="C82" s="234" t="s">
        <v>376</v>
      </c>
      <c r="D82" s="242" t="s">
        <v>377</v>
      </c>
      <c r="E82" s="232" t="s">
        <v>22</v>
      </c>
      <c r="F82" s="232" t="s">
        <v>32</v>
      </c>
      <c r="G82" s="234" t="s">
        <v>378</v>
      </c>
      <c r="H82" s="233"/>
      <c r="I82" s="264" t="s">
        <v>379</v>
      </c>
      <c r="J82" s="257" t="s">
        <v>56</v>
      </c>
      <c r="K82" s="560" t="s">
        <v>380</v>
      </c>
      <c r="L82" s="269" t="s">
        <v>49</v>
      </c>
      <c r="M82" s="232" t="s">
        <v>50</v>
      </c>
      <c r="N82" s="234" t="s">
        <v>381</v>
      </c>
      <c r="O82" s="235">
        <v>46122</v>
      </c>
      <c r="P82" s="590">
        <v>673124.25</v>
      </c>
      <c r="Q82" s="232" t="s">
        <v>70</v>
      </c>
      <c r="R82" s="475"/>
      <c r="S82" s="232"/>
      <c r="T82" s="731"/>
      <c r="U82" s="731"/>
      <c r="V82" s="263"/>
      <c r="W82" s="263"/>
      <c r="X82" s="263"/>
    </row>
    <row r="83" spans="1:27" ht="14.25" hidden="1" customHeight="1">
      <c r="A83" s="225">
        <f>ROW()-1</f>
        <v>82</v>
      </c>
      <c r="B83" s="471">
        <v>46122</v>
      </c>
      <c r="C83" s="238" t="s">
        <v>382</v>
      </c>
      <c r="D83" s="240" t="s">
        <v>131</v>
      </c>
      <c r="E83" s="236" t="s">
        <v>22</v>
      </c>
      <c r="F83" s="236" t="s">
        <v>44</v>
      </c>
      <c r="G83" s="238" t="s">
        <v>45</v>
      </c>
      <c r="H83" s="237">
        <v>9921993346</v>
      </c>
      <c r="I83" s="480" t="s">
        <v>139</v>
      </c>
      <c r="J83" s="481" t="s">
        <v>122</v>
      </c>
      <c r="K83" s="234" t="s">
        <v>139</v>
      </c>
      <c r="L83" s="236" t="s">
        <v>49</v>
      </c>
      <c r="M83" s="236" t="s">
        <v>50</v>
      </c>
      <c r="N83" s="238"/>
      <c r="O83" s="474"/>
      <c r="P83" s="589"/>
      <c r="Q83" s="236"/>
      <c r="R83" s="475"/>
      <c r="S83" s="236"/>
      <c r="T83" s="731"/>
      <c r="U83" s="731"/>
      <c r="V83" s="263"/>
      <c r="W83" s="263"/>
      <c r="X83" s="263"/>
      <c r="Y83" s="191"/>
      <c r="Z83" s="191"/>
      <c r="AA83" s="191"/>
    </row>
    <row r="84" spans="1:27" ht="14.25" hidden="1" customHeight="1">
      <c r="A84" s="225">
        <f>ROW()-1</f>
        <v>83</v>
      </c>
      <c r="B84" s="471">
        <v>46123</v>
      </c>
      <c r="C84" s="238" t="s">
        <v>383</v>
      </c>
      <c r="D84" s="240" t="s">
        <v>384</v>
      </c>
      <c r="E84" s="236" t="s">
        <v>385</v>
      </c>
      <c r="F84" s="236" t="s">
        <v>23</v>
      </c>
      <c r="G84" s="238" t="s">
        <v>386</v>
      </c>
      <c r="H84" s="237">
        <v>9826697787</v>
      </c>
      <c r="I84" s="472" t="s">
        <v>365</v>
      </c>
      <c r="J84" s="483" t="s">
        <v>63</v>
      </c>
      <c r="K84" s="238" t="s">
        <v>387</v>
      </c>
      <c r="L84" s="236" t="s">
        <v>49</v>
      </c>
      <c r="M84" s="236" t="s">
        <v>50</v>
      </c>
      <c r="N84" s="238"/>
      <c r="O84" s="474"/>
      <c r="P84" s="589"/>
      <c r="Q84" s="236"/>
      <c r="R84" s="475"/>
      <c r="S84" s="236"/>
      <c r="T84" s="731"/>
      <c r="U84" s="731"/>
      <c r="V84" s="263"/>
      <c r="W84" s="263"/>
      <c r="X84" s="263"/>
    </row>
    <row r="85" spans="1:27" ht="14.25" hidden="1" customHeight="1">
      <c r="A85" s="225">
        <f>ROW()-1</f>
        <v>84</v>
      </c>
      <c r="B85" s="476">
        <v>46123</v>
      </c>
      <c r="C85" s="232" t="s">
        <v>388</v>
      </c>
      <c r="D85" s="484" t="s">
        <v>389</v>
      </c>
      <c r="E85" s="232" t="s">
        <v>390</v>
      </c>
      <c r="F85" s="232" t="s">
        <v>73</v>
      </c>
      <c r="G85" s="234"/>
      <c r="H85" s="233">
        <v>9494154547</v>
      </c>
      <c r="I85" s="266" t="s">
        <v>391</v>
      </c>
      <c r="J85" s="483" t="s">
        <v>63</v>
      </c>
      <c r="K85" s="232" t="s">
        <v>392</v>
      </c>
      <c r="L85" s="232" t="s">
        <v>58</v>
      </c>
      <c r="M85" s="232" t="s">
        <v>50</v>
      </c>
      <c r="N85" s="234"/>
      <c r="O85" s="234"/>
      <c r="P85" s="590"/>
      <c r="Q85" s="232"/>
      <c r="R85" s="475"/>
      <c r="S85" s="232"/>
      <c r="T85" s="731"/>
      <c r="U85" s="731"/>
      <c r="V85" s="263"/>
      <c r="W85" s="263"/>
      <c r="X85" s="263"/>
    </row>
    <row r="86" spans="1:27" ht="14.25" hidden="1" customHeight="1">
      <c r="A86" s="225">
        <f>ROW()-1</f>
        <v>85</v>
      </c>
      <c r="B86" s="476">
        <v>46124</v>
      </c>
      <c r="C86" s="234" t="s">
        <v>393</v>
      </c>
      <c r="D86" s="242" t="s">
        <v>394</v>
      </c>
      <c r="E86" s="232" t="s">
        <v>22</v>
      </c>
      <c r="F86" s="232" t="s">
        <v>23</v>
      </c>
      <c r="G86" s="234" t="s">
        <v>395</v>
      </c>
      <c r="H86" s="233">
        <v>9422225589</v>
      </c>
      <c r="I86" s="264"/>
      <c r="J86" s="258" t="s">
        <v>47</v>
      </c>
      <c r="K86" s="234" t="s">
        <v>396</v>
      </c>
      <c r="L86" s="232" t="s">
        <v>117</v>
      </c>
      <c r="M86" s="232" t="s">
        <v>77</v>
      </c>
      <c r="N86" s="234"/>
      <c r="O86" s="477"/>
      <c r="P86" s="590"/>
      <c r="Q86" s="232"/>
      <c r="R86" s="475"/>
      <c r="S86" s="232"/>
      <c r="T86" s="731"/>
      <c r="U86" s="731"/>
      <c r="V86" s="263"/>
      <c r="W86" s="263"/>
      <c r="X86" s="263"/>
    </row>
    <row r="87" spans="1:27" ht="14.25" hidden="1" customHeight="1">
      <c r="A87" s="225">
        <f>ROW()-1</f>
        <v>86</v>
      </c>
      <c r="B87" s="471">
        <v>46124</v>
      </c>
      <c r="C87" s="238" t="s">
        <v>80</v>
      </c>
      <c r="D87" s="240" t="s">
        <v>81</v>
      </c>
      <c r="E87" s="236" t="s">
        <v>82</v>
      </c>
      <c r="F87" s="236" t="s">
        <v>83</v>
      </c>
      <c r="G87" s="238" t="s">
        <v>397</v>
      </c>
      <c r="H87" s="237"/>
      <c r="I87" s="255" t="s">
        <v>398</v>
      </c>
      <c r="J87" s="692" t="s">
        <v>86</v>
      </c>
      <c r="K87" s="238" t="s">
        <v>399</v>
      </c>
      <c r="L87" s="236" t="s">
        <v>27</v>
      </c>
      <c r="M87" s="236" t="s">
        <v>28</v>
      </c>
      <c r="N87" s="238" t="s">
        <v>400</v>
      </c>
      <c r="O87" s="239">
        <v>46124</v>
      </c>
      <c r="P87" s="589">
        <v>37771073</v>
      </c>
      <c r="Q87" s="236" t="s">
        <v>70</v>
      </c>
      <c r="R87" s="478"/>
      <c r="S87" s="236"/>
      <c r="T87" s="731"/>
      <c r="U87" s="731"/>
      <c r="V87" s="263"/>
      <c r="W87" s="263"/>
      <c r="X87" s="263"/>
    </row>
    <row r="88" spans="1:27" ht="14.25" hidden="1" customHeight="1">
      <c r="A88" s="225">
        <f>ROW()-1</f>
        <v>87</v>
      </c>
      <c r="B88" s="476">
        <v>46125</v>
      </c>
      <c r="C88" s="234" t="s">
        <v>401</v>
      </c>
      <c r="D88" s="242" t="s">
        <v>131</v>
      </c>
      <c r="E88" s="232" t="s">
        <v>22</v>
      </c>
      <c r="F88" s="232" t="s">
        <v>59</v>
      </c>
      <c r="G88" s="234" t="s">
        <v>402</v>
      </c>
      <c r="H88" s="233">
        <v>9881717449</v>
      </c>
      <c r="I88" s="264" t="s">
        <v>378</v>
      </c>
      <c r="J88" s="257" t="s">
        <v>66</v>
      </c>
      <c r="K88" s="234" t="s">
        <v>403</v>
      </c>
      <c r="L88" s="232" t="s">
        <v>27</v>
      </c>
      <c r="M88" s="232" t="s">
        <v>77</v>
      </c>
      <c r="N88" s="234" t="s">
        <v>404</v>
      </c>
      <c r="O88" s="235">
        <v>46125</v>
      </c>
      <c r="P88" s="590">
        <v>130640</v>
      </c>
      <c r="Q88" s="232" t="s">
        <v>70</v>
      </c>
      <c r="R88" s="475"/>
      <c r="S88" s="232"/>
      <c r="T88" s="731"/>
      <c r="U88" s="731"/>
      <c r="V88" s="263"/>
      <c r="W88" s="263"/>
      <c r="X88" s="263"/>
    </row>
    <row r="89" spans="1:27" ht="14.25" hidden="1" customHeight="1">
      <c r="A89" s="225">
        <f>ROW()-1</f>
        <v>88</v>
      </c>
      <c r="B89" s="471">
        <v>46125</v>
      </c>
      <c r="C89" s="238" t="s">
        <v>405</v>
      </c>
      <c r="D89" s="240" t="s">
        <v>131</v>
      </c>
      <c r="E89" s="236" t="s">
        <v>22</v>
      </c>
      <c r="F89" s="236" t="s">
        <v>44</v>
      </c>
      <c r="G89" s="238" t="s">
        <v>406</v>
      </c>
      <c r="H89" s="237">
        <v>9112920002</v>
      </c>
      <c r="I89" s="472" t="s">
        <v>407</v>
      </c>
      <c r="J89" s="483" t="s">
        <v>63</v>
      </c>
      <c r="K89" s="238" t="s">
        <v>408</v>
      </c>
      <c r="L89" s="236" t="s">
        <v>49</v>
      </c>
      <c r="M89" s="236" t="s">
        <v>50</v>
      </c>
      <c r="N89" s="238"/>
      <c r="O89" s="474"/>
      <c r="P89" s="589"/>
      <c r="Q89" s="236"/>
      <c r="R89" s="475"/>
      <c r="S89" s="236"/>
      <c r="T89" s="731"/>
      <c r="U89" s="731"/>
      <c r="V89" s="263"/>
      <c r="W89" s="263"/>
      <c r="X89" s="263"/>
    </row>
    <row r="90" spans="1:27" ht="14.25" hidden="1" customHeight="1">
      <c r="A90" s="225">
        <f>ROW()-1</f>
        <v>89</v>
      </c>
      <c r="B90" s="476">
        <v>46125</v>
      </c>
      <c r="C90" s="234" t="s">
        <v>409</v>
      </c>
      <c r="D90" s="242" t="s">
        <v>410</v>
      </c>
      <c r="E90" s="232" t="s">
        <v>22</v>
      </c>
      <c r="F90" s="232" t="s">
        <v>73</v>
      </c>
      <c r="G90" s="234"/>
      <c r="H90" s="233">
        <v>9765444390</v>
      </c>
      <c r="I90" s="264" t="s">
        <v>386</v>
      </c>
      <c r="J90" s="257" t="s">
        <v>86</v>
      </c>
      <c r="K90" s="234" t="s">
        <v>411</v>
      </c>
      <c r="L90" s="232" t="s">
        <v>27</v>
      </c>
      <c r="M90" s="232" t="s">
        <v>28</v>
      </c>
      <c r="N90" s="234" t="s">
        <v>412</v>
      </c>
      <c r="O90" s="235">
        <v>46125</v>
      </c>
      <c r="P90" s="590">
        <v>1591413.23</v>
      </c>
      <c r="Q90" s="232" t="s">
        <v>70</v>
      </c>
      <c r="R90" s="475"/>
      <c r="S90" s="232"/>
      <c r="T90" s="731"/>
      <c r="U90" s="731"/>
      <c r="V90" s="263"/>
      <c r="W90" s="263"/>
      <c r="X90" s="263"/>
    </row>
    <row r="91" spans="1:27" ht="14.25" hidden="1" customHeight="1">
      <c r="A91" s="225">
        <f>ROW()-1</f>
        <v>90</v>
      </c>
      <c r="B91" s="471">
        <v>46125</v>
      </c>
      <c r="C91" s="238" t="s">
        <v>409</v>
      </c>
      <c r="D91" s="240" t="s">
        <v>410</v>
      </c>
      <c r="E91" s="236" t="s">
        <v>22</v>
      </c>
      <c r="F91" s="236" t="s">
        <v>60</v>
      </c>
      <c r="G91" s="238"/>
      <c r="H91" s="237">
        <v>9765444391</v>
      </c>
      <c r="I91" s="255" t="s">
        <v>386</v>
      </c>
      <c r="J91" s="257" t="s">
        <v>86</v>
      </c>
      <c r="K91" s="238" t="s">
        <v>411</v>
      </c>
      <c r="L91" s="236" t="s">
        <v>27</v>
      </c>
      <c r="M91" s="236" t="s">
        <v>28</v>
      </c>
      <c r="N91" s="238" t="s">
        <v>413</v>
      </c>
      <c r="O91" s="239">
        <v>46125</v>
      </c>
      <c r="P91" s="589">
        <v>412985</v>
      </c>
      <c r="Q91" s="236" t="s">
        <v>70</v>
      </c>
      <c r="R91" s="475"/>
      <c r="S91" s="236"/>
      <c r="T91" s="731"/>
      <c r="U91" s="731"/>
      <c r="V91" s="263"/>
      <c r="W91" s="263"/>
      <c r="X91" s="263"/>
    </row>
    <row r="92" spans="1:27" ht="14.25" hidden="1" customHeight="1">
      <c r="A92" s="225">
        <f>ROW()-1</f>
        <v>91</v>
      </c>
      <c r="B92" s="471">
        <v>46125</v>
      </c>
      <c r="C92" s="238" t="s">
        <v>414</v>
      </c>
      <c r="D92" s="240" t="s">
        <v>415</v>
      </c>
      <c r="E92" s="236" t="s">
        <v>416</v>
      </c>
      <c r="F92" s="236" t="s">
        <v>23</v>
      </c>
      <c r="G92" s="238"/>
      <c r="H92" s="237">
        <v>7896329983</v>
      </c>
      <c r="I92" s="472"/>
      <c r="J92" s="483" t="s">
        <v>63</v>
      </c>
      <c r="K92" s="236" t="s">
        <v>417</v>
      </c>
      <c r="L92" s="236" t="s">
        <v>58</v>
      </c>
      <c r="M92" s="236" t="s">
        <v>50</v>
      </c>
      <c r="N92" s="238"/>
      <c r="O92" s="474"/>
      <c r="P92" s="589"/>
      <c r="Q92" s="236"/>
      <c r="R92" s="475"/>
      <c r="S92" s="236"/>
      <c r="T92" s="731"/>
      <c r="U92" s="731"/>
      <c r="V92" s="263"/>
      <c r="W92" s="263"/>
      <c r="X92" s="263"/>
    </row>
    <row r="93" spans="1:27" ht="14.25" hidden="1" customHeight="1">
      <c r="A93" s="225">
        <f>ROW()-1</f>
        <v>92</v>
      </c>
      <c r="B93" s="476">
        <v>46125</v>
      </c>
      <c r="C93" s="234" t="s">
        <v>414</v>
      </c>
      <c r="D93" s="242" t="s">
        <v>418</v>
      </c>
      <c r="E93" s="232" t="s">
        <v>416</v>
      </c>
      <c r="F93" s="232" t="s">
        <v>23</v>
      </c>
      <c r="G93" s="234"/>
      <c r="H93" s="233">
        <v>7896329983</v>
      </c>
      <c r="I93" s="266"/>
      <c r="J93" s="481" t="s">
        <v>122</v>
      </c>
      <c r="K93" s="234" t="s">
        <v>417</v>
      </c>
      <c r="L93" s="232" t="s">
        <v>58</v>
      </c>
      <c r="M93" s="232" t="s">
        <v>50</v>
      </c>
      <c r="N93" s="234"/>
      <c r="O93" s="477"/>
      <c r="P93" s="590"/>
      <c r="Q93" s="232"/>
      <c r="R93" s="475"/>
      <c r="S93" s="232"/>
      <c r="T93" s="731"/>
      <c r="U93" s="731"/>
      <c r="V93" s="263"/>
      <c r="W93" s="263"/>
      <c r="X93" s="263"/>
    </row>
    <row r="94" spans="1:27" ht="14.25" hidden="1" customHeight="1">
      <c r="A94" s="225">
        <f>ROW()-1</f>
        <v>93</v>
      </c>
      <c r="B94" s="476">
        <v>46125</v>
      </c>
      <c r="C94" s="234" t="s">
        <v>419</v>
      </c>
      <c r="D94" s="242" t="s">
        <v>131</v>
      </c>
      <c r="E94" s="232" t="s">
        <v>22</v>
      </c>
      <c r="F94" s="232" t="s">
        <v>60</v>
      </c>
      <c r="G94" s="234" t="s">
        <v>420</v>
      </c>
      <c r="H94" s="233">
        <v>9380727062</v>
      </c>
      <c r="I94" s="266"/>
      <c r="J94" s="737" t="s">
        <v>171</v>
      </c>
      <c r="K94" s="234" t="s">
        <v>395</v>
      </c>
      <c r="L94" s="232" t="s">
        <v>58</v>
      </c>
      <c r="M94" s="232" t="s">
        <v>40</v>
      </c>
      <c r="N94" s="234"/>
      <c r="O94" s="477"/>
      <c r="P94" s="590"/>
      <c r="Q94" s="232"/>
      <c r="R94" s="475"/>
      <c r="S94" s="232"/>
      <c r="T94" s="731"/>
      <c r="U94" s="731"/>
      <c r="V94" s="263"/>
      <c r="W94" s="263"/>
      <c r="X94" s="263"/>
    </row>
    <row r="95" spans="1:27" ht="14.25" hidden="1" customHeight="1">
      <c r="A95" s="225">
        <f>ROW()-1</f>
        <v>94</v>
      </c>
      <c r="B95" s="471">
        <v>46125</v>
      </c>
      <c r="C95" s="238" t="s">
        <v>376</v>
      </c>
      <c r="D95" s="240" t="s">
        <v>377</v>
      </c>
      <c r="E95" s="236" t="s">
        <v>22</v>
      </c>
      <c r="F95" s="236" t="s">
        <v>23</v>
      </c>
      <c r="G95" s="238" t="s">
        <v>421</v>
      </c>
      <c r="H95" s="237"/>
      <c r="I95" s="255" t="s">
        <v>397</v>
      </c>
      <c r="J95" s="257" t="s">
        <v>56</v>
      </c>
      <c r="K95" s="238" t="s">
        <v>380</v>
      </c>
      <c r="L95" s="269" t="s">
        <v>49</v>
      </c>
      <c r="M95" s="236" t="s">
        <v>50</v>
      </c>
      <c r="N95" s="238" t="s">
        <v>422</v>
      </c>
      <c r="O95" s="239">
        <v>46125</v>
      </c>
      <c r="P95" s="589">
        <v>335789</v>
      </c>
      <c r="Q95" s="236" t="s">
        <v>70</v>
      </c>
      <c r="R95" s="475"/>
      <c r="S95" s="236"/>
      <c r="T95" s="731"/>
      <c r="U95" s="731"/>
      <c r="V95" s="263"/>
      <c r="W95" s="263"/>
      <c r="X95" s="263"/>
    </row>
    <row r="96" spans="1:27" ht="14.25" hidden="1" customHeight="1">
      <c r="A96" s="225">
        <f>ROW()-1</f>
        <v>95</v>
      </c>
      <c r="B96" s="471">
        <v>46125</v>
      </c>
      <c r="C96" s="238" t="s">
        <v>423</v>
      </c>
      <c r="D96" s="240" t="s">
        <v>424</v>
      </c>
      <c r="E96" s="236" t="s">
        <v>22</v>
      </c>
      <c r="F96" s="236" t="s">
        <v>60</v>
      </c>
      <c r="G96" s="238" t="s">
        <v>425</v>
      </c>
      <c r="H96" s="237">
        <v>7350928634</v>
      </c>
      <c r="I96" s="255" t="s">
        <v>426</v>
      </c>
      <c r="J96" s="738" t="s">
        <v>63</v>
      </c>
      <c r="K96" s="238" t="s">
        <v>423</v>
      </c>
      <c r="L96" s="236" t="s">
        <v>49</v>
      </c>
      <c r="M96" s="236" t="s">
        <v>40</v>
      </c>
      <c r="N96" s="238"/>
      <c r="O96" s="474"/>
      <c r="P96" s="589"/>
      <c r="Q96" s="236"/>
      <c r="R96" s="475"/>
      <c r="S96" s="236"/>
      <c r="T96" s="731"/>
      <c r="U96" s="731"/>
      <c r="V96" s="263"/>
      <c r="W96" s="263"/>
      <c r="X96" s="263"/>
    </row>
    <row r="97" spans="1:24" ht="14.25" hidden="1" customHeight="1">
      <c r="A97" s="225">
        <f>ROW()-1</f>
        <v>96</v>
      </c>
      <c r="B97" s="471">
        <v>46125</v>
      </c>
      <c r="C97" s="238" t="s">
        <v>402</v>
      </c>
      <c r="D97" s="240" t="s">
        <v>81</v>
      </c>
      <c r="E97" s="236" t="s">
        <v>162</v>
      </c>
      <c r="F97" s="236" t="s">
        <v>73</v>
      </c>
      <c r="G97" s="238" t="s">
        <v>427</v>
      </c>
      <c r="H97" s="237">
        <v>9109211469</v>
      </c>
      <c r="I97" s="472" t="s">
        <v>428</v>
      </c>
      <c r="J97" s="483" t="s">
        <v>63</v>
      </c>
      <c r="K97" s="238" t="s">
        <v>429</v>
      </c>
      <c r="L97" s="236" t="s">
        <v>49</v>
      </c>
      <c r="M97" s="236" t="s">
        <v>50</v>
      </c>
      <c r="N97" s="238"/>
      <c r="O97" s="474"/>
      <c r="P97" s="589"/>
      <c r="Q97" s="236"/>
      <c r="R97" s="475"/>
      <c r="S97" s="236"/>
      <c r="T97" s="731"/>
      <c r="U97" s="731"/>
      <c r="V97" s="263"/>
      <c r="W97" s="263"/>
      <c r="X97" s="263"/>
    </row>
    <row r="98" spans="1:24" ht="14.25" hidden="1" customHeight="1">
      <c r="A98" s="225">
        <f>ROW()-1</f>
        <v>97</v>
      </c>
      <c r="B98" s="476">
        <v>46125</v>
      </c>
      <c r="C98" s="232" t="s">
        <v>430</v>
      </c>
      <c r="D98" s="242" t="s">
        <v>362</v>
      </c>
      <c r="E98" s="232" t="s">
        <v>143</v>
      </c>
      <c r="F98" s="232" t="s">
        <v>23</v>
      </c>
      <c r="G98" s="234"/>
      <c r="H98" s="233">
        <v>9955331208</v>
      </c>
      <c r="I98" s="266" t="s">
        <v>431</v>
      </c>
      <c r="J98" s="485" t="s">
        <v>171</v>
      </c>
      <c r="K98" s="234" t="s">
        <v>406</v>
      </c>
      <c r="L98" s="232" t="s">
        <v>58</v>
      </c>
      <c r="M98" s="232" t="s">
        <v>50</v>
      </c>
      <c r="N98" s="234"/>
      <c r="O98" s="477"/>
      <c r="P98" s="590"/>
      <c r="Q98" s="232"/>
      <c r="R98" s="475"/>
      <c r="S98" s="232"/>
      <c r="T98" s="731"/>
      <c r="U98" s="731"/>
      <c r="V98" s="263"/>
      <c r="W98" s="263"/>
      <c r="X98" s="263"/>
    </row>
    <row r="99" spans="1:24" ht="14.25" hidden="1" customHeight="1">
      <c r="A99" s="225">
        <f>ROW()-1</f>
        <v>98</v>
      </c>
      <c r="B99" s="476">
        <v>46125</v>
      </c>
      <c r="C99" s="234" t="s">
        <v>432</v>
      </c>
      <c r="D99" s="242" t="s">
        <v>433</v>
      </c>
      <c r="E99" s="232" t="s">
        <v>143</v>
      </c>
      <c r="F99" s="232" t="s">
        <v>73</v>
      </c>
      <c r="G99" s="234" t="s">
        <v>386</v>
      </c>
      <c r="H99" s="233">
        <v>9927244404</v>
      </c>
      <c r="I99" s="266" t="s">
        <v>434</v>
      </c>
      <c r="J99" s="483" t="s">
        <v>63</v>
      </c>
      <c r="K99" s="234" t="s">
        <v>435</v>
      </c>
      <c r="L99" s="232" t="s">
        <v>49</v>
      </c>
      <c r="M99" s="232" t="s">
        <v>50</v>
      </c>
      <c r="N99" s="234"/>
      <c r="O99" s="477"/>
      <c r="P99" s="590"/>
      <c r="Q99" s="232"/>
      <c r="R99" s="475"/>
      <c r="S99" s="232"/>
      <c r="T99" s="731"/>
      <c r="U99" s="731"/>
      <c r="V99" s="263"/>
      <c r="W99" s="263"/>
      <c r="X99" s="263"/>
    </row>
    <row r="100" spans="1:24" ht="14.25" hidden="1" customHeight="1">
      <c r="A100" s="225">
        <f>ROW()-1</f>
        <v>99</v>
      </c>
      <c r="B100" s="471">
        <v>46126</v>
      </c>
      <c r="C100" s="238" t="s">
        <v>436</v>
      </c>
      <c r="D100" s="240" t="s">
        <v>437</v>
      </c>
      <c r="E100" s="236" t="s">
        <v>22</v>
      </c>
      <c r="F100" s="236" t="s">
        <v>60</v>
      </c>
      <c r="G100" s="238"/>
      <c r="H100" s="237">
        <v>9665511982</v>
      </c>
      <c r="I100" s="255" t="s">
        <v>438</v>
      </c>
      <c r="J100" s="257" t="s">
        <v>66</v>
      </c>
      <c r="K100" s="238" t="s">
        <v>439</v>
      </c>
      <c r="L100" s="236" t="s">
        <v>27</v>
      </c>
      <c r="M100" s="236" t="s">
        <v>77</v>
      </c>
      <c r="N100" s="238" t="s">
        <v>440</v>
      </c>
      <c r="O100" s="239">
        <v>46133</v>
      </c>
      <c r="P100" s="589">
        <v>1545834</v>
      </c>
      <c r="Q100" s="236" t="s">
        <v>70</v>
      </c>
      <c r="R100" s="475"/>
      <c r="S100" s="236"/>
      <c r="T100" s="731" t="s">
        <v>441</v>
      </c>
      <c r="U100" s="731"/>
      <c r="V100" s="263"/>
      <c r="W100" s="263"/>
      <c r="X100" s="263"/>
    </row>
    <row r="101" spans="1:24" ht="14.25" hidden="1" customHeight="1">
      <c r="A101" s="225">
        <f>ROW()-1</f>
        <v>100</v>
      </c>
      <c r="B101" s="471">
        <v>46126</v>
      </c>
      <c r="C101" s="238" t="s">
        <v>262</v>
      </c>
      <c r="D101" s="240" t="s">
        <v>293</v>
      </c>
      <c r="E101" s="236" t="s">
        <v>22</v>
      </c>
      <c r="F101" s="236" t="s">
        <v>73</v>
      </c>
      <c r="G101" s="238" t="s">
        <v>442</v>
      </c>
      <c r="H101" s="237">
        <v>8600120115</v>
      </c>
      <c r="I101" s="472" t="s">
        <v>264</v>
      </c>
      <c r="J101" s="485" t="s">
        <v>171</v>
      </c>
      <c r="K101" s="549" t="s">
        <v>265</v>
      </c>
      <c r="L101" s="236" t="s">
        <v>27</v>
      </c>
      <c r="M101" s="236" t="s">
        <v>28</v>
      </c>
      <c r="N101" s="238"/>
      <c r="O101" s="474"/>
      <c r="P101" s="589"/>
      <c r="Q101" s="236"/>
      <c r="R101" s="475"/>
      <c r="S101" s="236"/>
      <c r="T101" s="731"/>
      <c r="U101" s="731"/>
      <c r="V101" s="263"/>
      <c r="W101" s="263"/>
      <c r="X101" s="263"/>
    </row>
    <row r="102" spans="1:24" ht="14.25" hidden="1" customHeight="1">
      <c r="A102" s="225">
        <f>ROW()-1</f>
        <v>101</v>
      </c>
      <c r="B102" s="471">
        <v>46126</v>
      </c>
      <c r="C102" s="238" t="s">
        <v>443</v>
      </c>
      <c r="D102" s="240" t="s">
        <v>444</v>
      </c>
      <c r="E102" s="236" t="s">
        <v>22</v>
      </c>
      <c r="F102" s="236" t="s">
        <v>23</v>
      </c>
      <c r="G102" s="238" t="s">
        <v>445</v>
      </c>
      <c r="H102" s="237">
        <v>9373127716</v>
      </c>
      <c r="I102" s="255" t="s">
        <v>446</v>
      </c>
      <c r="J102" s="483" t="s">
        <v>63</v>
      </c>
      <c r="K102" s="238" t="s">
        <v>447</v>
      </c>
      <c r="L102" s="236" t="s">
        <v>49</v>
      </c>
      <c r="M102" s="236" t="s">
        <v>50</v>
      </c>
      <c r="N102" s="238"/>
      <c r="O102" s="474"/>
      <c r="P102" s="589"/>
      <c r="Q102" s="236"/>
      <c r="R102" s="475"/>
      <c r="S102" s="236"/>
      <c r="T102" s="731"/>
      <c r="U102" s="731"/>
      <c r="V102" s="263"/>
      <c r="W102" s="263"/>
      <c r="X102" s="263"/>
    </row>
    <row r="103" spans="1:24" ht="14.25" hidden="1" customHeight="1">
      <c r="A103" s="225">
        <f>ROW()-1</f>
        <v>102</v>
      </c>
      <c r="B103" s="476">
        <v>46126</v>
      </c>
      <c r="C103" s="234" t="s">
        <v>448</v>
      </c>
      <c r="D103" s="242" t="s">
        <v>293</v>
      </c>
      <c r="E103" s="232" t="s">
        <v>22</v>
      </c>
      <c r="F103" s="232" t="s">
        <v>73</v>
      </c>
      <c r="G103" s="234" t="s">
        <v>449</v>
      </c>
      <c r="H103" s="233">
        <v>8689894020</v>
      </c>
      <c r="I103" s="264" t="s">
        <v>420</v>
      </c>
      <c r="J103" s="481" t="s">
        <v>122</v>
      </c>
      <c r="K103" s="234" t="s">
        <v>450</v>
      </c>
      <c r="L103" s="232" t="s">
        <v>58</v>
      </c>
      <c r="M103" s="232" t="s">
        <v>50</v>
      </c>
      <c r="N103" s="234"/>
      <c r="O103" s="477"/>
      <c r="P103" s="590"/>
      <c r="Q103" s="232"/>
      <c r="R103" s="475"/>
      <c r="S103" s="232"/>
      <c r="T103" s="731"/>
      <c r="U103" s="731"/>
      <c r="V103" s="263"/>
      <c r="W103" s="263"/>
      <c r="X103" s="263"/>
    </row>
    <row r="104" spans="1:24" ht="14.25" hidden="1" customHeight="1">
      <c r="A104" s="225">
        <f>ROW()-1</f>
        <v>103</v>
      </c>
      <c r="B104" s="476">
        <v>46126</v>
      </c>
      <c r="C104" s="234" t="s">
        <v>451</v>
      </c>
      <c r="D104" s="242" t="s">
        <v>452</v>
      </c>
      <c r="E104" s="232" t="s">
        <v>22</v>
      </c>
      <c r="F104" s="232" t="s">
        <v>23</v>
      </c>
      <c r="G104" s="234" t="s">
        <v>453</v>
      </c>
      <c r="H104" s="233">
        <v>9013295927</v>
      </c>
      <c r="I104" s="264" t="s">
        <v>454</v>
      </c>
      <c r="J104" s="267" t="s">
        <v>47</v>
      </c>
      <c r="K104" s="234" t="s">
        <v>455</v>
      </c>
      <c r="L104" s="232" t="s">
        <v>27</v>
      </c>
      <c r="M104" s="232" t="s">
        <v>28</v>
      </c>
      <c r="N104" s="234" t="s">
        <v>456</v>
      </c>
      <c r="O104" s="235">
        <v>46132</v>
      </c>
      <c r="P104" s="590">
        <v>709579</v>
      </c>
      <c r="Q104" s="232" t="s">
        <v>98</v>
      </c>
      <c r="R104" s="478"/>
      <c r="S104" s="232"/>
      <c r="T104" s="731"/>
      <c r="U104" s="731"/>
      <c r="V104" s="263"/>
      <c r="W104" s="263"/>
      <c r="X104" s="263"/>
    </row>
    <row r="105" spans="1:24" ht="14.25" hidden="1" customHeight="1">
      <c r="A105" s="225">
        <f>ROW()-1</f>
        <v>104</v>
      </c>
      <c r="B105" s="476">
        <v>46126</v>
      </c>
      <c r="C105" s="234" t="s">
        <v>425</v>
      </c>
      <c r="D105" s="242" t="s">
        <v>131</v>
      </c>
      <c r="E105" s="232" t="s">
        <v>22</v>
      </c>
      <c r="F105" s="232" t="s">
        <v>60</v>
      </c>
      <c r="G105" s="234"/>
      <c r="H105" s="233">
        <v>9987274888</v>
      </c>
      <c r="I105" s="264" t="s">
        <v>457</v>
      </c>
      <c r="J105" s="257" t="s">
        <v>86</v>
      </c>
      <c r="K105" s="234" t="s">
        <v>458</v>
      </c>
      <c r="L105" s="232" t="s">
        <v>27</v>
      </c>
      <c r="M105" s="232" t="s">
        <v>28</v>
      </c>
      <c r="N105" s="234" t="s">
        <v>427</v>
      </c>
      <c r="O105" s="235">
        <v>46126</v>
      </c>
      <c r="P105" s="590">
        <v>1070000</v>
      </c>
      <c r="Q105" s="270" t="s">
        <v>292</v>
      </c>
      <c r="R105" s="475"/>
      <c r="S105" s="232"/>
      <c r="T105" s="731"/>
      <c r="U105" s="731"/>
      <c r="V105" s="263"/>
      <c r="W105" s="263"/>
      <c r="X105" s="263"/>
    </row>
    <row r="106" spans="1:24" ht="14.25" hidden="1" customHeight="1">
      <c r="A106" s="225">
        <f>ROW()-1</f>
        <v>105</v>
      </c>
      <c r="B106" s="476">
        <v>46126</v>
      </c>
      <c r="C106" s="234" t="s">
        <v>459</v>
      </c>
      <c r="D106" s="242" t="s">
        <v>460</v>
      </c>
      <c r="E106" s="232" t="s">
        <v>82</v>
      </c>
      <c r="F106" s="232" t="s">
        <v>23</v>
      </c>
      <c r="G106" s="234" t="s">
        <v>461</v>
      </c>
      <c r="H106" s="233">
        <v>9360635558</v>
      </c>
      <c r="I106" s="264" t="s">
        <v>462</v>
      </c>
      <c r="J106" s="257" t="s">
        <v>66</v>
      </c>
      <c r="K106" s="234" t="s">
        <v>463</v>
      </c>
      <c r="L106" s="232" t="s">
        <v>49</v>
      </c>
      <c r="M106" s="232" t="s">
        <v>40</v>
      </c>
      <c r="N106" s="234" t="s">
        <v>464</v>
      </c>
      <c r="O106" s="235">
        <v>46123</v>
      </c>
      <c r="P106" s="590"/>
      <c r="Q106" s="232" t="s">
        <v>70</v>
      </c>
      <c r="R106" s="475"/>
      <c r="S106" s="232"/>
      <c r="T106" s="731"/>
      <c r="U106" s="731"/>
      <c r="V106" s="263"/>
      <c r="W106" s="263"/>
      <c r="X106" s="263"/>
    </row>
    <row r="107" spans="1:24" ht="14.25" hidden="1" customHeight="1">
      <c r="A107" s="225">
        <f>ROW()-1</f>
        <v>106</v>
      </c>
      <c r="B107" s="471">
        <v>46126</v>
      </c>
      <c r="C107" s="238" t="s">
        <v>465</v>
      </c>
      <c r="D107" s="240" t="s">
        <v>131</v>
      </c>
      <c r="E107" s="236" t="s">
        <v>22</v>
      </c>
      <c r="F107" s="236" t="s">
        <v>60</v>
      </c>
      <c r="G107" s="238" t="s">
        <v>466</v>
      </c>
      <c r="H107" s="237">
        <v>9623553952</v>
      </c>
      <c r="I107" s="255" t="s">
        <v>467</v>
      </c>
      <c r="J107" s="738" t="s">
        <v>63</v>
      </c>
      <c r="K107" s="238" t="s">
        <v>468</v>
      </c>
      <c r="L107" s="236" t="s">
        <v>49</v>
      </c>
      <c r="M107" s="236" t="s">
        <v>40</v>
      </c>
      <c r="N107" s="238"/>
      <c r="O107" s="474"/>
      <c r="P107" s="589"/>
      <c r="Q107" s="236"/>
      <c r="R107" s="475"/>
      <c r="S107" s="236"/>
      <c r="T107" s="731"/>
      <c r="U107" s="731"/>
      <c r="V107" s="263"/>
      <c r="W107" s="263"/>
      <c r="X107" s="263"/>
    </row>
    <row r="108" spans="1:24" ht="14.25" hidden="1" customHeight="1">
      <c r="A108" s="225">
        <f>ROW()-1</f>
        <v>107</v>
      </c>
      <c r="B108" s="471">
        <v>46126</v>
      </c>
      <c r="C108" s="238" t="s">
        <v>469</v>
      </c>
      <c r="D108" s="240" t="s">
        <v>131</v>
      </c>
      <c r="E108" s="236" t="s">
        <v>22</v>
      </c>
      <c r="F108" s="236" t="s">
        <v>59</v>
      </c>
      <c r="G108" s="238" t="s">
        <v>470</v>
      </c>
      <c r="H108" s="237">
        <v>9021200819</v>
      </c>
      <c r="I108" s="255" t="s">
        <v>471</v>
      </c>
      <c r="J108" s="257" t="s">
        <v>66</v>
      </c>
      <c r="K108" s="238" t="s">
        <v>472</v>
      </c>
      <c r="L108" s="236" t="s">
        <v>27</v>
      </c>
      <c r="M108" s="236" t="s">
        <v>40</v>
      </c>
      <c r="N108" s="238" t="s">
        <v>473</v>
      </c>
      <c r="O108" s="239">
        <v>46126</v>
      </c>
      <c r="P108" s="589">
        <v>662500</v>
      </c>
      <c r="Q108" s="236" t="s">
        <v>79</v>
      </c>
      <c r="R108" s="475"/>
      <c r="S108" s="236"/>
      <c r="T108" s="731"/>
      <c r="U108" s="731"/>
      <c r="V108" s="263"/>
      <c r="W108" s="263"/>
      <c r="X108" s="263"/>
    </row>
    <row r="109" spans="1:24" ht="14.25" hidden="1" customHeight="1">
      <c r="A109" s="225">
        <f>ROW()-1</f>
        <v>108</v>
      </c>
      <c r="B109" s="476">
        <v>46126</v>
      </c>
      <c r="C109" s="234" t="s">
        <v>474</v>
      </c>
      <c r="D109" s="242" t="s">
        <v>475</v>
      </c>
      <c r="E109" s="232" t="s">
        <v>22</v>
      </c>
      <c r="F109" s="232" t="s">
        <v>60</v>
      </c>
      <c r="G109" s="234" t="s">
        <v>476</v>
      </c>
      <c r="H109" s="233">
        <v>9011683393</v>
      </c>
      <c r="I109" s="264" t="s">
        <v>477</v>
      </c>
      <c r="J109" s="738" t="s">
        <v>63</v>
      </c>
      <c r="K109" s="234" t="s">
        <v>478</v>
      </c>
      <c r="L109" s="232" t="s">
        <v>58</v>
      </c>
      <c r="M109" s="232" t="s">
        <v>40</v>
      </c>
      <c r="N109" s="234"/>
      <c r="O109" s="477"/>
      <c r="P109" s="590"/>
      <c r="Q109" s="232"/>
      <c r="R109" s="475"/>
      <c r="S109" s="232"/>
      <c r="T109" s="731"/>
      <c r="U109" s="731"/>
      <c r="V109" s="263"/>
      <c r="W109" s="263"/>
      <c r="X109" s="263"/>
    </row>
    <row r="110" spans="1:24" ht="14.25" hidden="1" customHeight="1">
      <c r="A110" s="225">
        <f>ROW()-1</f>
        <v>109</v>
      </c>
      <c r="B110" s="476">
        <v>46126</v>
      </c>
      <c r="C110" s="234" t="s">
        <v>442</v>
      </c>
      <c r="D110" s="242" t="s">
        <v>293</v>
      </c>
      <c r="E110" s="232" t="s">
        <v>22</v>
      </c>
      <c r="F110" s="232" t="s">
        <v>23</v>
      </c>
      <c r="G110" s="234" t="s">
        <v>479</v>
      </c>
      <c r="H110" s="233">
        <v>9005754410</v>
      </c>
      <c r="I110" s="264" t="s">
        <v>480</v>
      </c>
      <c r="J110" s="485" t="s">
        <v>171</v>
      </c>
      <c r="K110" s="234"/>
      <c r="L110" s="232" t="s">
        <v>58</v>
      </c>
      <c r="M110" s="232" t="s">
        <v>50</v>
      </c>
      <c r="N110" s="234"/>
      <c r="O110" s="477"/>
      <c r="P110" s="590"/>
      <c r="Q110" s="232" t="s">
        <v>70</v>
      </c>
      <c r="R110" s="475"/>
      <c r="S110" s="232"/>
      <c r="T110" s="731"/>
      <c r="U110" s="731"/>
      <c r="V110" s="263"/>
      <c r="W110" s="263"/>
      <c r="X110" s="263"/>
    </row>
    <row r="111" spans="1:24" ht="14.25" hidden="1" customHeight="1">
      <c r="A111" s="225">
        <f>ROW()-1</f>
        <v>110</v>
      </c>
      <c r="B111" s="471">
        <v>46126</v>
      </c>
      <c r="C111" s="238" t="s">
        <v>481</v>
      </c>
      <c r="D111" s="240" t="s">
        <v>445</v>
      </c>
      <c r="E111" s="236" t="s">
        <v>22</v>
      </c>
      <c r="F111" s="236" t="s">
        <v>60</v>
      </c>
      <c r="G111" s="238" t="s">
        <v>482</v>
      </c>
      <c r="H111" s="237">
        <v>9890355831</v>
      </c>
      <c r="I111" s="255" t="s">
        <v>483</v>
      </c>
      <c r="J111" s="482" t="s">
        <v>47</v>
      </c>
      <c r="K111" s="238" t="s">
        <v>484</v>
      </c>
      <c r="L111" s="236" t="s">
        <v>49</v>
      </c>
      <c r="M111" s="236" t="s">
        <v>40</v>
      </c>
      <c r="N111" s="238"/>
      <c r="O111" s="474"/>
      <c r="P111" s="589"/>
      <c r="Q111" s="236"/>
      <c r="R111" s="475"/>
      <c r="S111" s="236"/>
      <c r="T111" s="731"/>
      <c r="U111" s="731"/>
      <c r="V111" s="263"/>
      <c r="W111" s="263"/>
      <c r="X111" s="263"/>
    </row>
    <row r="112" spans="1:24" ht="14.25" hidden="1" customHeight="1">
      <c r="A112" s="225">
        <f>ROW()-1</f>
        <v>111</v>
      </c>
      <c r="B112" s="476">
        <v>46126</v>
      </c>
      <c r="C112" s="234" t="s">
        <v>485</v>
      </c>
      <c r="D112" s="242" t="s">
        <v>486</v>
      </c>
      <c r="E112" s="232" t="s">
        <v>143</v>
      </c>
      <c r="F112" s="232" t="s">
        <v>23</v>
      </c>
      <c r="G112" s="234" t="s">
        <v>482</v>
      </c>
      <c r="H112" s="233">
        <v>8853613504</v>
      </c>
      <c r="I112" s="264" t="s">
        <v>487</v>
      </c>
      <c r="J112" s="483" t="s">
        <v>63</v>
      </c>
      <c r="K112" s="234" t="s">
        <v>139</v>
      </c>
      <c r="L112" s="232" t="s">
        <v>49</v>
      </c>
      <c r="M112" s="232" t="s">
        <v>50</v>
      </c>
      <c r="N112" s="234"/>
      <c r="O112" s="477"/>
      <c r="P112" s="590"/>
      <c r="Q112" s="232"/>
      <c r="R112" s="475"/>
      <c r="S112" s="232"/>
      <c r="T112" s="731" t="s">
        <v>488</v>
      </c>
      <c r="U112" s="731"/>
      <c r="V112" s="263"/>
      <c r="W112" s="263"/>
      <c r="X112" s="263"/>
    </row>
    <row r="113" spans="1:24" ht="14.25" hidden="1" customHeight="1">
      <c r="A113" s="225">
        <f>ROW()-1</f>
        <v>112</v>
      </c>
      <c r="B113" s="471">
        <v>46126</v>
      </c>
      <c r="C113" s="238" t="s">
        <v>489</v>
      </c>
      <c r="D113" s="240"/>
      <c r="E113" s="236" t="s">
        <v>22</v>
      </c>
      <c r="F113" s="236" t="s">
        <v>23</v>
      </c>
      <c r="G113" s="238" t="s">
        <v>490</v>
      </c>
      <c r="H113" s="237">
        <v>9044104660</v>
      </c>
      <c r="I113" s="255"/>
      <c r="J113" s="485" t="s">
        <v>171</v>
      </c>
      <c r="K113" s="238" t="s">
        <v>453</v>
      </c>
      <c r="L113" s="236" t="s">
        <v>58</v>
      </c>
      <c r="M113" s="236" t="s">
        <v>50</v>
      </c>
      <c r="N113" s="238"/>
      <c r="O113" s="474"/>
      <c r="P113" s="589"/>
      <c r="Q113" s="236"/>
      <c r="R113" s="475"/>
      <c r="S113" s="236"/>
      <c r="T113" s="731"/>
      <c r="U113" s="731"/>
      <c r="V113" s="263"/>
      <c r="W113" s="263"/>
      <c r="X113" s="263"/>
    </row>
    <row r="114" spans="1:24" ht="14.25" hidden="1" customHeight="1">
      <c r="A114" s="225">
        <f>ROW()-1</f>
        <v>113</v>
      </c>
      <c r="B114" s="471">
        <v>46127</v>
      </c>
      <c r="C114" s="238" t="s">
        <v>491</v>
      </c>
      <c r="D114" s="240" t="s">
        <v>131</v>
      </c>
      <c r="E114" s="236" t="s">
        <v>22</v>
      </c>
      <c r="F114" s="236" t="s">
        <v>60</v>
      </c>
      <c r="G114" s="238" t="s">
        <v>492</v>
      </c>
      <c r="H114" s="237">
        <v>9422086578</v>
      </c>
      <c r="I114" s="255" t="s">
        <v>493</v>
      </c>
      <c r="J114" s="257" t="s">
        <v>122</v>
      </c>
      <c r="K114" s="238" t="s">
        <v>494</v>
      </c>
      <c r="L114" s="236" t="s">
        <v>49</v>
      </c>
      <c r="M114" s="236" t="s">
        <v>40</v>
      </c>
      <c r="N114" s="238" t="s">
        <v>495</v>
      </c>
      <c r="O114" s="239">
        <v>46138</v>
      </c>
      <c r="P114" s="589">
        <v>225957</v>
      </c>
      <c r="Q114" s="236" t="s">
        <v>98</v>
      </c>
      <c r="R114" s="475"/>
      <c r="S114" s="236"/>
      <c r="T114" s="731"/>
      <c r="U114" s="731"/>
      <c r="V114" s="263"/>
      <c r="W114" s="263"/>
      <c r="X114" s="263"/>
    </row>
    <row r="115" spans="1:24" ht="14.25" hidden="1" customHeight="1">
      <c r="A115" s="225">
        <f>ROW()-1</f>
        <v>114</v>
      </c>
      <c r="B115" s="476">
        <v>46127</v>
      </c>
      <c r="C115" s="234" t="s">
        <v>496</v>
      </c>
      <c r="D115" s="242" t="s">
        <v>497</v>
      </c>
      <c r="E115" s="232" t="s">
        <v>22</v>
      </c>
      <c r="F115" s="232" t="s">
        <v>60</v>
      </c>
      <c r="G115" s="234" t="s">
        <v>498</v>
      </c>
      <c r="H115" s="233">
        <v>9665511982</v>
      </c>
      <c r="I115" s="264" t="s">
        <v>499</v>
      </c>
      <c r="J115" s="257" t="s">
        <v>66</v>
      </c>
      <c r="K115" s="234" t="s">
        <v>439</v>
      </c>
      <c r="L115" s="232" t="s">
        <v>27</v>
      </c>
      <c r="M115" s="232" t="s">
        <v>28</v>
      </c>
      <c r="N115" s="234" t="s">
        <v>500</v>
      </c>
      <c r="O115" s="235">
        <v>46127</v>
      </c>
      <c r="P115" s="590">
        <v>1545843</v>
      </c>
      <c r="Q115" s="232" t="s">
        <v>292</v>
      </c>
      <c r="R115" s="475"/>
      <c r="S115" s="232"/>
      <c r="T115" s="731"/>
      <c r="U115" s="731"/>
      <c r="V115" s="263"/>
      <c r="W115" s="263"/>
      <c r="X115" s="263"/>
    </row>
    <row r="116" spans="1:24" ht="14.25" hidden="1" customHeight="1">
      <c r="A116" s="225">
        <f>ROW()-1</f>
        <v>115</v>
      </c>
      <c r="B116" s="476">
        <v>46127</v>
      </c>
      <c r="C116" s="234" t="s">
        <v>496</v>
      </c>
      <c r="D116" s="242" t="s">
        <v>497</v>
      </c>
      <c r="E116" s="232" t="s">
        <v>22</v>
      </c>
      <c r="F116" s="232" t="s">
        <v>59</v>
      </c>
      <c r="G116" s="234" t="s">
        <v>501</v>
      </c>
      <c r="H116" s="233">
        <v>7030223252</v>
      </c>
      <c r="I116" s="600" t="s">
        <v>502</v>
      </c>
      <c r="J116" s="257" t="s">
        <v>25</v>
      </c>
      <c r="K116" s="266" t="s">
        <v>503</v>
      </c>
      <c r="L116" s="232" t="s">
        <v>27</v>
      </c>
      <c r="M116" s="232" t="s">
        <v>28</v>
      </c>
      <c r="N116" s="234" t="s">
        <v>461</v>
      </c>
      <c r="O116" s="477">
        <v>46127</v>
      </c>
      <c r="P116" s="590">
        <v>1325000</v>
      </c>
      <c r="Q116" s="232" t="s">
        <v>30</v>
      </c>
      <c r="R116" s="478">
        <v>46162</v>
      </c>
      <c r="S116" s="232"/>
      <c r="T116" s="236" t="s">
        <v>119</v>
      </c>
      <c r="U116" s="731"/>
      <c r="V116" s="263"/>
      <c r="W116" s="263"/>
      <c r="X116" s="263"/>
    </row>
    <row r="117" spans="1:24" ht="14.25" hidden="1" customHeight="1">
      <c r="A117" s="225">
        <f>ROW()-1</f>
        <v>116</v>
      </c>
      <c r="B117" s="471">
        <v>46127</v>
      </c>
      <c r="C117" s="238" t="s">
        <v>504</v>
      </c>
      <c r="D117" s="240" t="s">
        <v>72</v>
      </c>
      <c r="E117" s="236" t="s">
        <v>22</v>
      </c>
      <c r="F117" s="236" t="s">
        <v>60</v>
      </c>
      <c r="G117" s="238" t="s">
        <v>505</v>
      </c>
      <c r="H117" s="237"/>
      <c r="I117" s="255" t="s">
        <v>506</v>
      </c>
      <c r="J117" s="257" t="s">
        <v>66</v>
      </c>
      <c r="K117" s="238" t="s">
        <v>507</v>
      </c>
      <c r="L117" s="236" t="s">
        <v>27</v>
      </c>
      <c r="M117" s="236" t="s">
        <v>40</v>
      </c>
      <c r="N117" s="238" t="s">
        <v>508</v>
      </c>
      <c r="O117" s="239">
        <v>46127</v>
      </c>
      <c r="P117" s="589">
        <v>45000</v>
      </c>
      <c r="Q117" s="236" t="s">
        <v>119</v>
      </c>
      <c r="R117" s="475"/>
      <c r="S117" s="236"/>
      <c r="T117" s="731" t="s">
        <v>441</v>
      </c>
      <c r="U117" s="731"/>
      <c r="V117" s="263"/>
      <c r="W117" s="263"/>
      <c r="X117" s="263"/>
    </row>
    <row r="118" spans="1:24" ht="14.25" hidden="1" customHeight="1">
      <c r="A118" s="225">
        <f>ROW()-1</f>
        <v>117</v>
      </c>
      <c r="B118" s="471">
        <v>46127</v>
      </c>
      <c r="C118" s="238" t="s">
        <v>466</v>
      </c>
      <c r="D118" s="240" t="s">
        <v>131</v>
      </c>
      <c r="E118" s="236" t="s">
        <v>22</v>
      </c>
      <c r="F118" s="236" t="s">
        <v>23</v>
      </c>
      <c r="G118" s="238" t="s">
        <v>509</v>
      </c>
      <c r="H118" s="237">
        <v>8956405244</v>
      </c>
      <c r="I118" s="255" t="s">
        <v>510</v>
      </c>
      <c r="J118" s="257" t="s">
        <v>25</v>
      </c>
      <c r="K118" s="238" t="s">
        <v>511</v>
      </c>
      <c r="L118" s="269" t="s">
        <v>49</v>
      </c>
      <c r="M118" s="236" t="s">
        <v>50</v>
      </c>
      <c r="N118" s="238" t="s">
        <v>512</v>
      </c>
      <c r="O118" s="239">
        <v>46157</v>
      </c>
      <c r="P118" s="589">
        <v>185000</v>
      </c>
      <c r="Q118" s="236" t="s">
        <v>30</v>
      </c>
      <c r="R118" s="478">
        <v>46162</v>
      </c>
      <c r="S118" s="236"/>
      <c r="T118" s="731"/>
      <c r="U118" s="731"/>
      <c r="V118" s="263"/>
      <c r="W118" s="263"/>
      <c r="X118" s="263"/>
    </row>
    <row r="119" spans="1:24" ht="14.25" hidden="1" customHeight="1">
      <c r="A119" s="225">
        <f>ROW()-1</f>
        <v>118</v>
      </c>
      <c r="B119" s="471">
        <v>46127</v>
      </c>
      <c r="C119" s="238" t="s">
        <v>470</v>
      </c>
      <c r="D119" s="240" t="s">
        <v>513</v>
      </c>
      <c r="E119" s="236" t="s">
        <v>205</v>
      </c>
      <c r="F119" s="236" t="s">
        <v>60</v>
      </c>
      <c r="G119" s="238" t="s">
        <v>514</v>
      </c>
      <c r="H119" s="237">
        <v>9632378753</v>
      </c>
      <c r="I119" s="255" t="s">
        <v>515</v>
      </c>
      <c r="J119" s="267" t="s">
        <v>122</v>
      </c>
      <c r="K119" s="238" t="s">
        <v>516</v>
      </c>
      <c r="L119" s="236" t="s">
        <v>49</v>
      </c>
      <c r="M119" s="236" t="s">
        <v>40</v>
      </c>
      <c r="N119" s="238"/>
      <c r="O119" s="474"/>
      <c r="P119" s="589"/>
      <c r="Q119" s="236"/>
      <c r="R119" s="475"/>
      <c r="S119" s="236"/>
      <c r="T119" s="731"/>
      <c r="U119" s="731"/>
      <c r="V119" s="263"/>
      <c r="W119" s="263"/>
      <c r="X119" s="263"/>
    </row>
    <row r="120" spans="1:24" ht="14.25" hidden="1" customHeight="1">
      <c r="A120" s="225">
        <f>ROW()-1</f>
        <v>119</v>
      </c>
      <c r="B120" s="471">
        <v>46127</v>
      </c>
      <c r="C120" s="238" t="s">
        <v>517</v>
      </c>
      <c r="D120" s="240" t="s">
        <v>131</v>
      </c>
      <c r="E120" s="236" t="s">
        <v>22</v>
      </c>
      <c r="F120" s="236" t="s">
        <v>60</v>
      </c>
      <c r="G120" s="238" t="s">
        <v>518</v>
      </c>
      <c r="H120" s="237"/>
      <c r="I120" s="255"/>
      <c r="J120" s="257" t="s">
        <v>66</v>
      </c>
      <c r="K120" s="238" t="s">
        <v>290</v>
      </c>
      <c r="L120" s="236" t="s">
        <v>27</v>
      </c>
      <c r="M120" s="236" t="s">
        <v>40</v>
      </c>
      <c r="N120" s="238" t="s">
        <v>519</v>
      </c>
      <c r="O120" s="239">
        <v>46127</v>
      </c>
      <c r="P120" s="589">
        <v>823258</v>
      </c>
      <c r="Q120" s="236" t="s">
        <v>79</v>
      </c>
      <c r="R120" s="475"/>
      <c r="S120" s="236"/>
      <c r="T120" s="731" t="s">
        <v>476</v>
      </c>
      <c r="U120" s="731"/>
      <c r="V120" s="263"/>
      <c r="W120" s="263"/>
      <c r="X120" s="263"/>
    </row>
    <row r="121" spans="1:24" ht="14.25" hidden="1" customHeight="1">
      <c r="A121" s="225">
        <f>ROW()-1</f>
        <v>120</v>
      </c>
      <c r="B121" s="476">
        <v>46127</v>
      </c>
      <c r="C121" s="234" t="s">
        <v>520</v>
      </c>
      <c r="D121" s="242" t="s">
        <v>237</v>
      </c>
      <c r="E121" s="232" t="s">
        <v>143</v>
      </c>
      <c r="F121" s="232" t="s">
        <v>73</v>
      </c>
      <c r="G121" s="234" t="s">
        <v>521</v>
      </c>
      <c r="H121" s="233">
        <v>7982466305</v>
      </c>
      <c r="I121" s="264" t="s">
        <v>522</v>
      </c>
      <c r="J121" s="483" t="s">
        <v>63</v>
      </c>
      <c r="K121" s="234" t="s">
        <v>523</v>
      </c>
      <c r="L121" s="232" t="s">
        <v>49</v>
      </c>
      <c r="M121" s="232" t="s">
        <v>50</v>
      </c>
      <c r="N121" s="234"/>
      <c r="O121" s="477"/>
      <c r="P121" s="590"/>
      <c r="Q121" s="232"/>
      <c r="R121" s="475"/>
      <c r="S121" s="232"/>
      <c r="T121" s="731"/>
      <c r="U121" s="731"/>
      <c r="V121" s="263"/>
      <c r="W121" s="263"/>
      <c r="X121" s="263"/>
    </row>
    <row r="122" spans="1:24" ht="14.25" hidden="1" customHeight="1">
      <c r="A122" s="225">
        <f>ROW()-1</f>
        <v>121</v>
      </c>
      <c r="B122" s="471">
        <v>46127</v>
      </c>
      <c r="C122" s="238" t="s">
        <v>479</v>
      </c>
      <c r="D122" s="240" t="s">
        <v>131</v>
      </c>
      <c r="E122" s="236" t="s">
        <v>22</v>
      </c>
      <c r="F122" s="236" t="s">
        <v>23</v>
      </c>
      <c r="G122" s="238" t="s">
        <v>188</v>
      </c>
      <c r="H122" s="237">
        <v>9860953699</v>
      </c>
      <c r="I122" s="480" t="s">
        <v>139</v>
      </c>
      <c r="J122" s="483" t="s">
        <v>63</v>
      </c>
      <c r="K122" s="238" t="s">
        <v>524</v>
      </c>
      <c r="L122" s="236" t="s">
        <v>49</v>
      </c>
      <c r="M122" s="236" t="s">
        <v>50</v>
      </c>
      <c r="N122" s="238"/>
      <c r="O122" s="474"/>
      <c r="P122" s="589"/>
      <c r="Q122" s="236"/>
      <c r="R122" s="475"/>
      <c r="S122" s="236"/>
      <c r="T122" s="731"/>
      <c r="U122" s="731"/>
      <c r="V122" s="263"/>
      <c r="W122" s="263"/>
      <c r="X122" s="263"/>
    </row>
    <row r="123" spans="1:24" ht="14.25" hidden="1" customHeight="1">
      <c r="A123" s="225">
        <f>ROW()-1</f>
        <v>122</v>
      </c>
      <c r="B123" s="476">
        <v>46127</v>
      </c>
      <c r="C123" s="234" t="s">
        <v>525</v>
      </c>
      <c r="D123" s="242" t="s">
        <v>131</v>
      </c>
      <c r="E123" s="232" t="s">
        <v>22</v>
      </c>
      <c r="F123" s="232" t="s">
        <v>60</v>
      </c>
      <c r="G123" s="234" t="s">
        <v>180</v>
      </c>
      <c r="H123" s="233">
        <v>8999942939</v>
      </c>
      <c r="I123" s="264" t="s">
        <v>526</v>
      </c>
      <c r="J123" s="738" t="s">
        <v>63</v>
      </c>
      <c r="K123" s="234" t="s">
        <v>527</v>
      </c>
      <c r="L123" s="232" t="s">
        <v>49</v>
      </c>
      <c r="M123" s="232" t="s">
        <v>40</v>
      </c>
      <c r="N123" s="234"/>
      <c r="O123" s="477"/>
      <c r="P123" s="590"/>
      <c r="Q123" s="232"/>
      <c r="R123" s="475"/>
      <c r="S123" s="232"/>
      <c r="T123" s="731"/>
      <c r="U123" s="731"/>
      <c r="V123" s="263"/>
      <c r="W123" s="263"/>
      <c r="X123" s="263"/>
    </row>
    <row r="124" spans="1:24" ht="14.25" hidden="1" customHeight="1">
      <c r="A124" s="225">
        <f>ROW()-1</f>
        <v>123</v>
      </c>
      <c r="B124" s="476">
        <v>46127</v>
      </c>
      <c r="C124" s="234" t="s">
        <v>528</v>
      </c>
      <c r="D124" s="242" t="s">
        <v>131</v>
      </c>
      <c r="E124" s="232" t="s">
        <v>22</v>
      </c>
      <c r="F124" s="232" t="s">
        <v>59</v>
      </c>
      <c r="G124" s="234" t="s">
        <v>529</v>
      </c>
      <c r="H124" s="233"/>
      <c r="I124" s="264" t="s">
        <v>530</v>
      </c>
      <c r="J124" s="257" t="s">
        <v>25</v>
      </c>
      <c r="K124" s="234" t="s">
        <v>531</v>
      </c>
      <c r="L124" s="269" t="s">
        <v>49</v>
      </c>
      <c r="M124" s="232" t="s">
        <v>50</v>
      </c>
      <c r="N124" s="234" t="s">
        <v>532</v>
      </c>
      <c r="O124" s="477">
        <v>46147</v>
      </c>
      <c r="P124" s="590">
        <v>485000</v>
      </c>
      <c r="Q124" s="232" t="s">
        <v>30</v>
      </c>
      <c r="R124" s="478">
        <v>46162</v>
      </c>
      <c r="S124" s="232"/>
      <c r="T124" s="731" t="s">
        <v>533</v>
      </c>
      <c r="U124" s="731"/>
      <c r="V124" s="263"/>
      <c r="W124" s="263"/>
      <c r="X124" s="263"/>
    </row>
    <row r="125" spans="1:24" ht="14.25" hidden="1" customHeight="1">
      <c r="A125" s="225">
        <f>ROW()-1</f>
        <v>124</v>
      </c>
      <c r="B125" s="471">
        <v>46127</v>
      </c>
      <c r="C125" s="238" t="s">
        <v>528</v>
      </c>
      <c r="D125" s="240" t="s">
        <v>131</v>
      </c>
      <c r="E125" s="236" t="s">
        <v>22</v>
      </c>
      <c r="F125" s="236" t="s">
        <v>59</v>
      </c>
      <c r="G125" s="238" t="s">
        <v>534</v>
      </c>
      <c r="H125" s="237">
        <v>8530999013</v>
      </c>
      <c r="I125" s="255" t="s">
        <v>535</v>
      </c>
      <c r="J125" s="257" t="s">
        <v>25</v>
      </c>
      <c r="K125" s="238" t="s">
        <v>536</v>
      </c>
      <c r="L125" s="269" t="s">
        <v>49</v>
      </c>
      <c r="M125" s="236" t="s">
        <v>50</v>
      </c>
      <c r="N125" s="238" t="s">
        <v>490</v>
      </c>
      <c r="O125" s="474">
        <v>46129</v>
      </c>
      <c r="P125" s="589">
        <v>278000</v>
      </c>
      <c r="Q125" s="236" t="s">
        <v>30</v>
      </c>
      <c r="R125" s="478">
        <v>46156</v>
      </c>
      <c r="S125" s="236"/>
      <c r="T125" s="731"/>
      <c r="U125" s="731"/>
      <c r="V125" s="263"/>
      <c r="W125" s="263"/>
      <c r="X125" s="263"/>
    </row>
    <row r="126" spans="1:24" ht="14.25" hidden="1" customHeight="1">
      <c r="A126" s="225">
        <f>ROW()-1</f>
        <v>125</v>
      </c>
      <c r="B126" s="476">
        <v>46127</v>
      </c>
      <c r="C126" s="234" t="s">
        <v>528</v>
      </c>
      <c r="D126" s="242" t="s">
        <v>131</v>
      </c>
      <c r="E126" s="232" t="s">
        <v>22</v>
      </c>
      <c r="F126" s="232" t="s">
        <v>60</v>
      </c>
      <c r="G126" s="234" t="s">
        <v>537</v>
      </c>
      <c r="H126" s="237">
        <v>8530999013</v>
      </c>
      <c r="I126" s="264" t="s">
        <v>530</v>
      </c>
      <c r="J126" s="257" t="s">
        <v>25</v>
      </c>
      <c r="K126" s="234" t="s">
        <v>531</v>
      </c>
      <c r="L126" s="269" t="s">
        <v>49</v>
      </c>
      <c r="M126" s="232" t="s">
        <v>50</v>
      </c>
      <c r="N126" s="234" t="s">
        <v>538</v>
      </c>
      <c r="O126" s="477">
        <v>46127</v>
      </c>
      <c r="P126" s="590">
        <v>99407</v>
      </c>
      <c r="Q126" s="232" t="s">
        <v>30</v>
      </c>
      <c r="R126" s="478">
        <v>46162</v>
      </c>
      <c r="S126" s="236"/>
      <c r="T126" s="731"/>
      <c r="U126" s="731"/>
      <c r="V126" s="263"/>
      <c r="W126" s="263"/>
      <c r="X126" s="263"/>
    </row>
    <row r="127" spans="1:24" ht="14.25" hidden="1" customHeight="1">
      <c r="A127" s="225">
        <f>ROW()-1</f>
        <v>126</v>
      </c>
      <c r="B127" s="471">
        <v>46128</v>
      </c>
      <c r="C127" s="238" t="s">
        <v>539</v>
      </c>
      <c r="D127" s="240" t="s">
        <v>131</v>
      </c>
      <c r="E127" s="236" t="s">
        <v>22</v>
      </c>
      <c r="F127" s="236" t="s">
        <v>44</v>
      </c>
      <c r="G127" s="238" t="s">
        <v>540</v>
      </c>
      <c r="H127" s="237">
        <v>9405854646</v>
      </c>
      <c r="I127" s="255" t="s">
        <v>492</v>
      </c>
      <c r="J127" s="258" t="s">
        <v>47</v>
      </c>
      <c r="K127" s="238" t="s">
        <v>541</v>
      </c>
      <c r="L127" s="236" t="s">
        <v>27</v>
      </c>
      <c r="M127" s="236" t="s">
        <v>50</v>
      </c>
      <c r="N127" s="238"/>
      <c r="O127" s="474"/>
      <c r="P127" s="589"/>
      <c r="Q127" s="236"/>
      <c r="R127" s="475"/>
      <c r="S127" s="236"/>
      <c r="T127" s="731"/>
      <c r="U127" s="731"/>
      <c r="V127" s="263"/>
      <c r="W127" s="263"/>
      <c r="X127" s="263"/>
    </row>
    <row r="128" spans="1:24" ht="14.25" hidden="1" customHeight="1">
      <c r="A128" s="225">
        <f>ROW()-1</f>
        <v>127</v>
      </c>
      <c r="B128" s="476">
        <v>46128</v>
      </c>
      <c r="C128" s="234" t="s">
        <v>542</v>
      </c>
      <c r="D128" s="242" t="s">
        <v>543</v>
      </c>
      <c r="E128" s="232" t="s">
        <v>22</v>
      </c>
      <c r="F128" s="232" t="s">
        <v>23</v>
      </c>
      <c r="G128" s="234" t="s">
        <v>544</v>
      </c>
      <c r="H128" s="233"/>
      <c r="I128" s="264" t="s">
        <v>545</v>
      </c>
      <c r="J128" s="257" t="s">
        <v>66</v>
      </c>
      <c r="K128" s="234" t="s">
        <v>546</v>
      </c>
      <c r="L128" s="232" t="s">
        <v>27</v>
      </c>
      <c r="M128" s="232" t="s">
        <v>40</v>
      </c>
      <c r="N128" s="234" t="s">
        <v>498</v>
      </c>
      <c r="O128" s="235">
        <v>46127</v>
      </c>
      <c r="P128" s="590">
        <v>2050000</v>
      </c>
      <c r="Q128" s="232" t="s">
        <v>70</v>
      </c>
      <c r="R128" s="475"/>
      <c r="S128" s="232"/>
      <c r="T128" s="731"/>
      <c r="U128" s="731"/>
      <c r="V128" s="263"/>
      <c r="W128" s="263"/>
      <c r="X128" s="263"/>
    </row>
    <row r="129" spans="1:24" ht="14.25" hidden="1" customHeight="1">
      <c r="A129" s="225">
        <f>ROW()-1</f>
        <v>128</v>
      </c>
      <c r="B129" s="476">
        <v>46128</v>
      </c>
      <c r="C129" s="234" t="s">
        <v>547</v>
      </c>
      <c r="D129" s="484" t="s">
        <v>548</v>
      </c>
      <c r="E129" s="232" t="s">
        <v>272</v>
      </c>
      <c r="F129" s="232" t="s">
        <v>60</v>
      </c>
      <c r="G129" s="232" t="s">
        <v>549</v>
      </c>
      <c r="H129" s="233">
        <v>9877364630</v>
      </c>
      <c r="I129" s="232" t="s">
        <v>501</v>
      </c>
      <c r="J129" s="738" t="s">
        <v>63</v>
      </c>
      <c r="K129" s="232" t="s">
        <v>550</v>
      </c>
      <c r="L129" s="232" t="s">
        <v>58</v>
      </c>
      <c r="M129" s="232" t="s">
        <v>40</v>
      </c>
      <c r="N129" s="234"/>
      <c r="O129" s="477"/>
      <c r="P129" s="590"/>
      <c r="Q129" s="232"/>
      <c r="R129" s="475"/>
      <c r="S129" s="232"/>
      <c r="T129" s="731"/>
      <c r="U129" s="731"/>
      <c r="V129" s="263"/>
      <c r="W129" s="263"/>
      <c r="X129" s="263"/>
    </row>
    <row r="130" spans="1:24" ht="14.25" hidden="1" customHeight="1">
      <c r="A130" s="225">
        <f>ROW()-1</f>
        <v>129</v>
      </c>
      <c r="B130" s="471">
        <v>46128</v>
      </c>
      <c r="C130" s="238" t="s">
        <v>551</v>
      </c>
      <c r="D130" s="486" t="s">
        <v>552</v>
      </c>
      <c r="E130" s="236" t="s">
        <v>199</v>
      </c>
      <c r="F130" s="236" t="s">
        <v>60</v>
      </c>
      <c r="G130" s="236" t="s">
        <v>553</v>
      </c>
      <c r="H130" s="237">
        <v>9413068790</v>
      </c>
      <c r="I130" s="236"/>
      <c r="J130" s="738" t="s">
        <v>63</v>
      </c>
      <c r="K130" s="236" t="s">
        <v>554</v>
      </c>
      <c r="L130" s="236" t="s">
        <v>58</v>
      </c>
      <c r="M130" s="236" t="s">
        <v>40</v>
      </c>
      <c r="N130" s="238"/>
      <c r="O130" s="474"/>
      <c r="P130" s="589"/>
      <c r="Q130" s="236"/>
      <c r="R130" s="475"/>
      <c r="S130" s="236"/>
      <c r="T130" s="731"/>
      <c r="U130" s="731"/>
      <c r="V130" s="263"/>
      <c r="W130" s="263"/>
      <c r="X130" s="263"/>
    </row>
    <row r="131" spans="1:24" ht="14.25" hidden="1" customHeight="1">
      <c r="A131" s="225">
        <f>ROW()-1</f>
        <v>130</v>
      </c>
      <c r="B131" s="471">
        <v>46128</v>
      </c>
      <c r="C131" s="238" t="s">
        <v>505</v>
      </c>
      <c r="D131" s="486" t="s">
        <v>555</v>
      </c>
      <c r="E131" s="236" t="s">
        <v>22</v>
      </c>
      <c r="F131" s="236" t="s">
        <v>73</v>
      </c>
      <c r="G131" s="236" t="s">
        <v>556</v>
      </c>
      <c r="H131" s="237">
        <v>7973139536</v>
      </c>
      <c r="I131" s="236"/>
      <c r="J131" s="483" t="s">
        <v>63</v>
      </c>
      <c r="K131" s="236" t="s">
        <v>557</v>
      </c>
      <c r="L131" s="236" t="s">
        <v>58</v>
      </c>
      <c r="M131" s="236" t="s">
        <v>50</v>
      </c>
      <c r="N131" s="238"/>
      <c r="O131" s="238"/>
      <c r="P131" s="589"/>
      <c r="Q131" s="236"/>
      <c r="R131" s="475"/>
      <c r="S131" s="236"/>
      <c r="T131" s="731"/>
      <c r="U131" s="731"/>
      <c r="V131" s="263"/>
      <c r="W131" s="263"/>
      <c r="X131" s="263"/>
    </row>
    <row r="132" spans="1:24" ht="14.25" hidden="1" customHeight="1">
      <c r="A132" s="225">
        <f>ROW()-1</f>
        <v>131</v>
      </c>
      <c r="B132" s="476">
        <v>46128</v>
      </c>
      <c r="C132" s="234" t="s">
        <v>558</v>
      </c>
      <c r="D132" s="484"/>
      <c r="E132" s="232" t="s">
        <v>59</v>
      </c>
      <c r="F132" s="232" t="s">
        <v>60</v>
      </c>
      <c r="G132" s="232" t="s">
        <v>559</v>
      </c>
      <c r="H132" s="233">
        <v>9850958590</v>
      </c>
      <c r="I132" s="232"/>
      <c r="J132" s="738" t="s">
        <v>63</v>
      </c>
      <c r="K132" s="232"/>
      <c r="L132" s="232" t="s">
        <v>58</v>
      </c>
      <c r="M132" s="232" t="s">
        <v>40</v>
      </c>
      <c r="N132" s="234"/>
      <c r="O132" s="477"/>
      <c r="P132" s="590"/>
      <c r="Q132" s="232"/>
      <c r="R132" s="475"/>
      <c r="S132" s="232"/>
      <c r="T132" s="731"/>
      <c r="U132" s="731"/>
      <c r="V132" s="263"/>
      <c r="W132" s="263"/>
      <c r="X132" s="263"/>
    </row>
    <row r="133" spans="1:24" ht="14.25" hidden="1" customHeight="1">
      <c r="A133" s="225">
        <f>ROW()-1</f>
        <v>132</v>
      </c>
      <c r="B133" s="471">
        <v>46128</v>
      </c>
      <c r="C133" s="238" t="s">
        <v>560</v>
      </c>
      <c r="D133" s="486" t="s">
        <v>243</v>
      </c>
      <c r="E133" s="236" t="s">
        <v>22</v>
      </c>
      <c r="F133" s="236" t="s">
        <v>73</v>
      </c>
      <c r="G133" s="238" t="s">
        <v>561</v>
      </c>
      <c r="H133" s="237" t="s">
        <v>509</v>
      </c>
      <c r="I133" s="255" t="s">
        <v>562</v>
      </c>
      <c r="J133" s="257" t="s">
        <v>66</v>
      </c>
      <c r="K133" s="238" t="s">
        <v>563</v>
      </c>
      <c r="L133" s="236" t="s">
        <v>117</v>
      </c>
      <c r="M133" s="236" t="s">
        <v>77</v>
      </c>
      <c r="N133" s="238" t="s">
        <v>564</v>
      </c>
      <c r="O133" s="239">
        <v>46129</v>
      </c>
      <c r="P133" s="589">
        <v>4561049</v>
      </c>
      <c r="Q133" s="270" t="s">
        <v>292</v>
      </c>
      <c r="R133" s="475"/>
      <c r="S133" s="236"/>
      <c r="T133" s="731"/>
      <c r="U133" s="731"/>
      <c r="V133" s="263"/>
      <c r="W133" s="263"/>
      <c r="X133" s="263"/>
    </row>
    <row r="134" spans="1:24" ht="14.25" hidden="1" customHeight="1">
      <c r="A134" s="225">
        <f>ROW()-1</f>
        <v>133</v>
      </c>
      <c r="B134" s="476">
        <v>46128</v>
      </c>
      <c r="C134" s="234" t="s">
        <v>565</v>
      </c>
      <c r="D134" s="484" t="s">
        <v>566</v>
      </c>
      <c r="E134" s="232" t="s">
        <v>514</v>
      </c>
      <c r="F134" s="232" t="s">
        <v>59</v>
      </c>
      <c r="G134" s="232" t="s">
        <v>567</v>
      </c>
      <c r="H134" s="233">
        <v>7209448652</v>
      </c>
      <c r="I134" s="232" t="s">
        <v>568</v>
      </c>
      <c r="J134" s="481" t="s">
        <v>122</v>
      </c>
      <c r="K134" s="232" t="s">
        <v>569</v>
      </c>
      <c r="L134" s="232" t="s">
        <v>58</v>
      </c>
      <c r="M134" s="232" t="s">
        <v>50</v>
      </c>
      <c r="N134" s="234"/>
      <c r="O134" s="477"/>
      <c r="P134" s="590"/>
      <c r="Q134" s="232"/>
      <c r="R134" s="475"/>
      <c r="S134" s="232"/>
      <c r="T134" s="731"/>
      <c r="U134" s="731"/>
      <c r="V134" s="263"/>
      <c r="W134" s="263"/>
      <c r="X134" s="263"/>
    </row>
    <row r="135" spans="1:24" ht="14.25" hidden="1" customHeight="1">
      <c r="A135" s="225">
        <f>ROW()-1</f>
        <v>134</v>
      </c>
      <c r="B135" s="476">
        <v>46128</v>
      </c>
      <c r="C135" s="234" t="s">
        <v>570</v>
      </c>
      <c r="D135" s="484"/>
      <c r="E135" s="232" t="s">
        <v>22</v>
      </c>
      <c r="F135" s="232" t="s">
        <v>23</v>
      </c>
      <c r="G135" s="232" t="s">
        <v>571</v>
      </c>
      <c r="H135" s="233">
        <v>9064126231</v>
      </c>
      <c r="I135" s="232"/>
      <c r="J135" s="481" t="s">
        <v>122</v>
      </c>
      <c r="K135" s="232" t="s">
        <v>518</v>
      </c>
      <c r="L135" s="232" t="s">
        <v>58</v>
      </c>
      <c r="M135" s="232" t="s">
        <v>50</v>
      </c>
      <c r="N135" s="234"/>
      <c r="O135" s="234"/>
      <c r="P135" s="590"/>
      <c r="Q135" s="232"/>
      <c r="R135" s="475"/>
      <c r="S135" s="232"/>
      <c r="T135" s="731"/>
      <c r="U135" s="731"/>
      <c r="V135" s="263"/>
      <c r="W135" s="263"/>
      <c r="X135" s="263"/>
    </row>
    <row r="136" spans="1:24" ht="14.25" hidden="1" customHeight="1">
      <c r="A136" s="225">
        <f>ROW()-1</f>
        <v>135</v>
      </c>
      <c r="B136" s="476">
        <v>46129</v>
      </c>
      <c r="C136" s="234" t="s">
        <v>572</v>
      </c>
      <c r="D136" s="484" t="s">
        <v>573</v>
      </c>
      <c r="E136" s="232" t="s">
        <v>82</v>
      </c>
      <c r="F136" s="232" t="s">
        <v>59</v>
      </c>
      <c r="G136" s="232" t="s">
        <v>574</v>
      </c>
      <c r="H136" s="233">
        <v>8220794688</v>
      </c>
      <c r="I136" s="232" t="s">
        <v>575</v>
      </c>
      <c r="J136" s="481" t="s">
        <v>122</v>
      </c>
      <c r="K136" s="232" t="s">
        <v>521</v>
      </c>
      <c r="L136" s="232" t="s">
        <v>58</v>
      </c>
      <c r="M136" s="232" t="s">
        <v>50</v>
      </c>
      <c r="N136" s="234"/>
      <c r="O136" s="477"/>
      <c r="P136" s="590"/>
      <c r="Q136" s="232"/>
      <c r="R136" s="475"/>
      <c r="S136" s="232"/>
      <c r="T136" s="731"/>
      <c r="U136" s="731"/>
      <c r="V136" s="263"/>
      <c r="W136" s="263"/>
      <c r="X136" s="263"/>
    </row>
    <row r="137" spans="1:24" ht="14.25" hidden="1" customHeight="1">
      <c r="A137" s="225">
        <f>ROW()-1</f>
        <v>136</v>
      </c>
      <c r="B137" s="476">
        <v>46129</v>
      </c>
      <c r="C137" s="232" t="s">
        <v>547</v>
      </c>
      <c r="D137" s="484" t="s">
        <v>548</v>
      </c>
      <c r="E137" s="232" t="s">
        <v>272</v>
      </c>
      <c r="F137" s="232" t="s">
        <v>60</v>
      </c>
      <c r="G137" s="232" t="s">
        <v>549</v>
      </c>
      <c r="H137" s="233">
        <v>9877364630</v>
      </c>
      <c r="I137" s="232" t="s">
        <v>501</v>
      </c>
      <c r="J137" s="738" t="s">
        <v>63</v>
      </c>
      <c r="K137" s="234" t="s">
        <v>550</v>
      </c>
      <c r="L137" s="232" t="s">
        <v>58</v>
      </c>
      <c r="M137" s="232" t="s">
        <v>40</v>
      </c>
      <c r="N137" s="234"/>
      <c r="O137" s="234"/>
      <c r="P137" s="590"/>
      <c r="Q137" s="232"/>
      <c r="R137" s="475"/>
      <c r="S137" s="232"/>
      <c r="T137" s="731"/>
      <c r="U137" s="731"/>
      <c r="V137" s="263"/>
      <c r="W137" s="263"/>
      <c r="X137" s="263"/>
    </row>
    <row r="138" spans="1:24" ht="14.25" hidden="1" customHeight="1">
      <c r="A138" s="225">
        <f>ROW()-1</f>
        <v>137</v>
      </c>
      <c r="B138" s="476">
        <v>46129</v>
      </c>
      <c r="C138" s="232" t="s">
        <v>576</v>
      </c>
      <c r="D138" s="484" t="s">
        <v>577</v>
      </c>
      <c r="E138" s="232" t="s">
        <v>272</v>
      </c>
      <c r="F138" s="232" t="s">
        <v>60</v>
      </c>
      <c r="G138" s="232" t="s">
        <v>578</v>
      </c>
      <c r="H138" s="233">
        <v>9814573184</v>
      </c>
      <c r="I138" s="552" t="s">
        <v>579</v>
      </c>
      <c r="J138" s="738" t="s">
        <v>63</v>
      </c>
      <c r="K138" s="234" t="s">
        <v>580</v>
      </c>
      <c r="L138" s="232" t="s">
        <v>58</v>
      </c>
      <c r="M138" s="232" t="s">
        <v>40</v>
      </c>
      <c r="N138" s="234"/>
      <c r="O138" s="477"/>
      <c r="P138" s="590"/>
      <c r="Q138" s="232"/>
      <c r="R138" s="475"/>
      <c r="S138" s="232"/>
      <c r="T138" s="731"/>
      <c r="U138" s="731"/>
      <c r="V138" s="263"/>
      <c r="W138" s="263"/>
      <c r="X138" s="263"/>
    </row>
    <row r="139" spans="1:24" ht="14.25" hidden="1" customHeight="1">
      <c r="A139" s="225">
        <f>ROW()-1</f>
        <v>138</v>
      </c>
      <c r="B139" s="476">
        <v>46129</v>
      </c>
      <c r="C139" s="234" t="s">
        <v>581</v>
      </c>
      <c r="D139" s="242" t="s">
        <v>582</v>
      </c>
      <c r="E139" s="232" t="s">
        <v>22</v>
      </c>
      <c r="F139" s="232" t="s">
        <v>23</v>
      </c>
      <c r="G139" s="234" t="s">
        <v>583</v>
      </c>
      <c r="H139" s="233">
        <v>7020203828</v>
      </c>
      <c r="I139" s="600" t="s">
        <v>584</v>
      </c>
      <c r="J139" s="483" t="s">
        <v>63</v>
      </c>
      <c r="K139" s="234" t="s">
        <v>585</v>
      </c>
      <c r="L139" s="232" t="s">
        <v>49</v>
      </c>
      <c r="M139" s="232" t="s">
        <v>50</v>
      </c>
      <c r="N139" s="234"/>
      <c r="O139" s="234"/>
      <c r="P139" s="590"/>
      <c r="Q139" s="232"/>
      <c r="R139" s="475"/>
      <c r="S139" s="232"/>
      <c r="T139" s="731"/>
      <c r="U139" s="731"/>
      <c r="V139" s="263"/>
      <c r="W139" s="263"/>
      <c r="X139" s="263"/>
    </row>
    <row r="140" spans="1:24" ht="14.25" hidden="1" customHeight="1">
      <c r="A140" s="225">
        <f>ROW()-1</f>
        <v>139</v>
      </c>
      <c r="B140" s="471">
        <v>46129</v>
      </c>
      <c r="C140" s="236" t="s">
        <v>551</v>
      </c>
      <c r="D140" s="486" t="s">
        <v>552</v>
      </c>
      <c r="E140" s="236" t="s">
        <v>199</v>
      </c>
      <c r="F140" s="236" t="s">
        <v>60</v>
      </c>
      <c r="G140" s="236" t="s">
        <v>553</v>
      </c>
      <c r="H140" s="237">
        <v>9413068790</v>
      </c>
      <c r="I140" s="236"/>
      <c r="J140" s="267" t="s">
        <v>122</v>
      </c>
      <c r="K140" s="238" t="s">
        <v>554</v>
      </c>
      <c r="L140" s="236" t="s">
        <v>58</v>
      </c>
      <c r="M140" s="236" t="s">
        <v>40</v>
      </c>
      <c r="N140" s="238"/>
      <c r="O140" s="238"/>
      <c r="P140" s="589"/>
      <c r="Q140" s="236"/>
      <c r="R140" s="475"/>
      <c r="S140" s="236"/>
      <c r="T140" s="731"/>
      <c r="U140" s="731"/>
      <c r="V140" s="263"/>
      <c r="W140" s="263"/>
      <c r="X140" s="263"/>
    </row>
    <row r="141" spans="1:24" ht="14.25" hidden="1" customHeight="1">
      <c r="A141" s="225">
        <f>ROW()-1</f>
        <v>140</v>
      </c>
      <c r="B141" s="471">
        <v>46129</v>
      </c>
      <c r="C141" s="236" t="s">
        <v>505</v>
      </c>
      <c r="D141" s="486" t="s">
        <v>555</v>
      </c>
      <c r="E141" s="236" t="s">
        <v>143</v>
      </c>
      <c r="F141" s="236" t="s">
        <v>73</v>
      </c>
      <c r="G141" s="236" t="s">
        <v>556</v>
      </c>
      <c r="H141" s="237">
        <v>7973139536</v>
      </c>
      <c r="I141" s="236"/>
      <c r="J141" s="483" t="s">
        <v>63</v>
      </c>
      <c r="K141" s="238" t="s">
        <v>557</v>
      </c>
      <c r="L141" s="236" t="s">
        <v>58</v>
      </c>
      <c r="M141" s="236" t="s">
        <v>50</v>
      </c>
      <c r="N141" s="238"/>
      <c r="O141" s="238"/>
      <c r="P141" s="589"/>
      <c r="Q141" s="236"/>
      <c r="R141" s="475"/>
      <c r="S141" s="236"/>
      <c r="T141" s="731"/>
      <c r="U141" s="731"/>
      <c r="V141" s="263"/>
      <c r="W141" s="263"/>
      <c r="X141" s="263"/>
    </row>
    <row r="142" spans="1:24" ht="14.25" hidden="1" customHeight="1">
      <c r="A142" s="225">
        <f>ROW()-1</f>
        <v>141</v>
      </c>
      <c r="B142" s="471">
        <v>46129</v>
      </c>
      <c r="C142" s="238" t="s">
        <v>529</v>
      </c>
      <c r="D142" s="240" t="s">
        <v>586</v>
      </c>
      <c r="E142" s="236" t="s">
        <v>22</v>
      </c>
      <c r="F142" s="236" t="s">
        <v>44</v>
      </c>
      <c r="G142" s="238" t="s">
        <v>587</v>
      </c>
      <c r="H142" s="237">
        <v>9529243930</v>
      </c>
      <c r="I142" s="480" t="s">
        <v>139</v>
      </c>
      <c r="J142" s="258" t="s">
        <v>47</v>
      </c>
      <c r="K142" s="238" t="s">
        <v>588</v>
      </c>
      <c r="L142" s="236" t="s">
        <v>49</v>
      </c>
      <c r="M142" s="236" t="s">
        <v>50</v>
      </c>
      <c r="N142" s="238"/>
      <c r="O142" s="238"/>
      <c r="P142" s="589"/>
      <c r="Q142" s="236"/>
      <c r="R142" s="475"/>
      <c r="S142" s="236"/>
      <c r="T142" s="731"/>
      <c r="U142" s="731"/>
      <c r="V142" s="263"/>
      <c r="W142" s="263"/>
      <c r="X142" s="263"/>
    </row>
    <row r="143" spans="1:24" ht="14.25" hidden="1" customHeight="1">
      <c r="A143" s="225">
        <f>ROW()-1</f>
        <v>142</v>
      </c>
      <c r="B143" s="476">
        <v>46129</v>
      </c>
      <c r="C143" s="234" t="s">
        <v>529</v>
      </c>
      <c r="D143" s="242" t="s">
        <v>589</v>
      </c>
      <c r="E143" s="232" t="s">
        <v>143</v>
      </c>
      <c r="F143" s="232" t="s">
        <v>44</v>
      </c>
      <c r="G143" s="234" t="s">
        <v>587</v>
      </c>
      <c r="H143" s="233"/>
      <c r="I143" s="480" t="s">
        <v>139</v>
      </c>
      <c r="J143" s="483" t="s">
        <v>63</v>
      </c>
      <c r="K143" s="234" t="s">
        <v>590</v>
      </c>
      <c r="L143" s="232" t="s">
        <v>49</v>
      </c>
      <c r="M143" s="232" t="s">
        <v>50</v>
      </c>
      <c r="N143" s="234"/>
      <c r="O143" s="234"/>
      <c r="P143" s="590"/>
      <c r="Q143" s="232"/>
      <c r="R143" s="475"/>
      <c r="S143" s="232"/>
      <c r="T143" s="731"/>
      <c r="U143" s="731"/>
      <c r="V143" s="263"/>
      <c r="W143" s="263"/>
      <c r="X143" s="263"/>
    </row>
    <row r="144" spans="1:24" ht="14.25" hidden="1" customHeight="1">
      <c r="A144" s="225">
        <f>ROW()-1</f>
        <v>143</v>
      </c>
      <c r="B144" s="471">
        <v>46129</v>
      </c>
      <c r="C144" s="238" t="s">
        <v>534</v>
      </c>
      <c r="D144" s="486"/>
      <c r="E144" s="236" t="s">
        <v>22</v>
      </c>
      <c r="F144" s="236" t="s">
        <v>73</v>
      </c>
      <c r="G144" s="236" t="s">
        <v>591</v>
      </c>
      <c r="H144" s="237">
        <v>9665526167</v>
      </c>
      <c r="I144" s="236"/>
      <c r="J144" s="481" t="s">
        <v>122</v>
      </c>
      <c r="K144" s="236"/>
      <c r="L144" s="236" t="s">
        <v>58</v>
      </c>
      <c r="M144" s="236" t="s">
        <v>50</v>
      </c>
      <c r="N144" s="238"/>
      <c r="O144" s="474"/>
      <c r="P144" s="589"/>
      <c r="Q144" s="236"/>
      <c r="R144" s="475"/>
      <c r="S144" s="236"/>
      <c r="T144" s="731"/>
      <c r="U144" s="731"/>
      <c r="V144" s="263"/>
      <c r="W144" s="263"/>
      <c r="X144" s="263"/>
    </row>
    <row r="145" spans="1:24" ht="14.25" hidden="1" customHeight="1">
      <c r="A145" s="225">
        <f>ROW()-1</f>
        <v>144</v>
      </c>
      <c r="B145" s="471">
        <v>46129</v>
      </c>
      <c r="C145" s="236" t="s">
        <v>558</v>
      </c>
      <c r="D145" s="486"/>
      <c r="E145" s="236" t="s">
        <v>22</v>
      </c>
      <c r="F145" s="236" t="s">
        <v>60</v>
      </c>
      <c r="G145" s="236" t="s">
        <v>559</v>
      </c>
      <c r="H145" s="237">
        <v>9850958590</v>
      </c>
      <c r="I145" s="236"/>
      <c r="J145" s="738" t="s">
        <v>63</v>
      </c>
      <c r="K145" s="238"/>
      <c r="L145" s="236" t="s">
        <v>58</v>
      </c>
      <c r="M145" s="236" t="s">
        <v>40</v>
      </c>
      <c r="N145" s="238"/>
      <c r="O145" s="238"/>
      <c r="P145" s="589"/>
      <c r="Q145" s="236"/>
      <c r="R145" s="475"/>
      <c r="S145" s="236"/>
      <c r="T145" s="731"/>
      <c r="U145" s="731"/>
      <c r="V145" s="263"/>
      <c r="W145" s="263"/>
      <c r="X145" s="263"/>
    </row>
    <row r="146" spans="1:24" ht="14.25" hidden="1" customHeight="1">
      <c r="A146" s="225">
        <f>ROW()-1</f>
        <v>145</v>
      </c>
      <c r="B146" s="476">
        <v>46129</v>
      </c>
      <c r="C146" s="234" t="s">
        <v>592</v>
      </c>
      <c r="D146" s="484"/>
      <c r="E146" s="232" t="s">
        <v>59</v>
      </c>
      <c r="F146" s="232" t="s">
        <v>83</v>
      </c>
      <c r="G146" s="232" t="s">
        <v>593</v>
      </c>
      <c r="H146" s="233">
        <v>9925370969</v>
      </c>
      <c r="I146" s="232"/>
      <c r="J146" s="483" t="s">
        <v>63</v>
      </c>
      <c r="K146" s="232"/>
      <c r="L146" s="232" t="s">
        <v>58</v>
      </c>
      <c r="M146" s="232" t="s">
        <v>50</v>
      </c>
      <c r="N146" s="234"/>
      <c r="O146" s="234"/>
      <c r="P146" s="590"/>
      <c r="Q146" s="232"/>
      <c r="R146" s="475"/>
      <c r="S146" s="232"/>
      <c r="T146" s="731"/>
      <c r="U146" s="731"/>
      <c r="V146" s="263"/>
      <c r="W146" s="263"/>
      <c r="X146" s="263"/>
    </row>
    <row r="147" spans="1:24" ht="14.25" hidden="1" customHeight="1">
      <c r="A147" s="225">
        <f>ROW()-1</f>
        <v>146</v>
      </c>
      <c r="B147" s="471">
        <v>46129</v>
      </c>
      <c r="C147" s="238" t="s">
        <v>594</v>
      </c>
      <c r="D147" s="486" t="s">
        <v>108</v>
      </c>
      <c r="E147" s="236" t="s">
        <v>595</v>
      </c>
      <c r="F147" s="236" t="s">
        <v>60</v>
      </c>
      <c r="G147" s="236" t="s">
        <v>596</v>
      </c>
      <c r="H147" s="237">
        <v>7044786948</v>
      </c>
      <c r="I147" s="236" t="s">
        <v>537</v>
      </c>
      <c r="J147" s="267" t="s">
        <v>122</v>
      </c>
      <c r="K147" s="236" t="s">
        <v>597</v>
      </c>
      <c r="L147" s="236" t="s">
        <v>58</v>
      </c>
      <c r="M147" s="236" t="s">
        <v>40</v>
      </c>
      <c r="N147" s="238"/>
      <c r="O147" s="238"/>
      <c r="P147" s="589"/>
      <c r="Q147" s="236"/>
      <c r="R147" s="475"/>
      <c r="S147" s="236"/>
      <c r="T147" s="731"/>
      <c r="U147" s="731"/>
      <c r="V147" s="263"/>
      <c r="W147" s="263"/>
      <c r="X147" s="263"/>
    </row>
    <row r="148" spans="1:24" ht="14.25" hidden="1" customHeight="1">
      <c r="A148" s="225">
        <f>ROW()-1</f>
        <v>147</v>
      </c>
      <c r="B148" s="471">
        <v>46129</v>
      </c>
      <c r="C148" s="238" t="s">
        <v>598</v>
      </c>
      <c r="D148" s="240" t="s">
        <v>131</v>
      </c>
      <c r="E148" s="236" t="s">
        <v>22</v>
      </c>
      <c r="F148" s="236" t="s">
        <v>23</v>
      </c>
      <c r="G148" s="238" t="s">
        <v>599</v>
      </c>
      <c r="H148" s="237">
        <v>9822032966</v>
      </c>
      <c r="I148" s="255" t="s">
        <v>540</v>
      </c>
      <c r="J148" s="483" t="s">
        <v>63</v>
      </c>
      <c r="K148" s="238" t="s">
        <v>600</v>
      </c>
      <c r="L148" s="236" t="s">
        <v>49</v>
      </c>
      <c r="M148" s="236" t="s">
        <v>50</v>
      </c>
      <c r="N148" s="238"/>
      <c r="O148" s="474"/>
      <c r="P148" s="589"/>
      <c r="Q148" s="236"/>
      <c r="R148" s="475"/>
      <c r="S148" s="236"/>
      <c r="T148" s="731"/>
      <c r="U148" s="731"/>
      <c r="V148" s="263"/>
      <c r="W148" s="263"/>
      <c r="X148" s="263"/>
    </row>
    <row r="149" spans="1:24" ht="14.25" hidden="1" customHeight="1">
      <c r="A149" s="225">
        <f>ROW()-1</f>
        <v>148</v>
      </c>
      <c r="B149" s="476">
        <v>46129</v>
      </c>
      <c r="C149" s="232" t="s">
        <v>601</v>
      </c>
      <c r="D149" s="484" t="s">
        <v>243</v>
      </c>
      <c r="E149" s="232" t="s">
        <v>22</v>
      </c>
      <c r="F149" s="232" t="s">
        <v>60</v>
      </c>
      <c r="G149" s="232" t="s">
        <v>602</v>
      </c>
      <c r="H149" s="233">
        <v>7373980909</v>
      </c>
      <c r="I149" s="232" t="s">
        <v>603</v>
      </c>
      <c r="J149" s="738" t="s">
        <v>63</v>
      </c>
      <c r="K149" s="234" t="s">
        <v>604</v>
      </c>
      <c r="L149" s="232" t="s">
        <v>58</v>
      </c>
      <c r="M149" s="232" t="s">
        <v>40</v>
      </c>
      <c r="N149" s="234"/>
      <c r="O149" s="234"/>
      <c r="P149" s="590"/>
      <c r="Q149" s="232"/>
      <c r="R149" s="475"/>
      <c r="S149" s="232"/>
      <c r="T149" s="731"/>
      <c r="U149" s="731"/>
      <c r="V149" s="263"/>
      <c r="W149" s="263"/>
      <c r="X149" s="263"/>
    </row>
    <row r="150" spans="1:24" ht="14.25" hidden="1" customHeight="1">
      <c r="A150" s="225">
        <f>ROW()-1</f>
        <v>149</v>
      </c>
      <c r="B150" s="471">
        <v>46129</v>
      </c>
      <c r="C150" s="238" t="s">
        <v>544</v>
      </c>
      <c r="D150" s="240" t="s">
        <v>131</v>
      </c>
      <c r="E150" s="236" t="s">
        <v>22</v>
      </c>
      <c r="F150" s="236" t="s">
        <v>60</v>
      </c>
      <c r="G150" s="238" t="s">
        <v>605</v>
      </c>
      <c r="H150" s="237">
        <v>9820228822</v>
      </c>
      <c r="I150" s="255" t="s">
        <v>606</v>
      </c>
      <c r="J150" s="257" t="s">
        <v>66</v>
      </c>
      <c r="K150" s="238" t="s">
        <v>607</v>
      </c>
      <c r="L150" s="236" t="s">
        <v>117</v>
      </c>
      <c r="M150" s="236" t="s">
        <v>77</v>
      </c>
      <c r="N150" s="238" t="s">
        <v>608</v>
      </c>
      <c r="O150" s="239">
        <v>46129</v>
      </c>
      <c r="P150" s="589">
        <v>303925</v>
      </c>
      <c r="Q150" s="270" t="s">
        <v>70</v>
      </c>
      <c r="R150" s="475"/>
      <c r="S150" s="236"/>
      <c r="T150" s="731"/>
      <c r="U150" s="731"/>
      <c r="V150" s="263"/>
      <c r="W150" s="263"/>
      <c r="X150" s="263"/>
    </row>
    <row r="151" spans="1:24" ht="14.25" hidden="1" customHeight="1">
      <c r="A151" s="225">
        <f>ROW()-1</f>
        <v>150</v>
      </c>
      <c r="B151" s="476">
        <v>46129</v>
      </c>
      <c r="C151" s="232" t="s">
        <v>570</v>
      </c>
      <c r="D151" s="484"/>
      <c r="E151" s="232" t="s">
        <v>59</v>
      </c>
      <c r="F151" s="232" t="s">
        <v>59</v>
      </c>
      <c r="G151" s="232" t="s">
        <v>571</v>
      </c>
      <c r="H151" s="233">
        <v>9064126231</v>
      </c>
      <c r="I151" s="232"/>
      <c r="J151" s="483" t="s">
        <v>63</v>
      </c>
      <c r="K151" s="232" t="s">
        <v>518</v>
      </c>
      <c r="L151" s="232" t="s">
        <v>58</v>
      </c>
      <c r="M151" s="232" t="s">
        <v>50</v>
      </c>
      <c r="N151" s="234"/>
      <c r="O151" s="234"/>
      <c r="P151" s="590"/>
      <c r="Q151" s="232"/>
      <c r="R151" s="475"/>
      <c r="S151" s="232"/>
      <c r="T151" s="731"/>
      <c r="U151" s="731"/>
      <c r="V151" s="263"/>
      <c r="W151" s="263"/>
      <c r="X151" s="263"/>
    </row>
    <row r="152" spans="1:24" ht="14.25" hidden="1" customHeight="1">
      <c r="A152" s="225">
        <f>ROW()-1</f>
        <v>151</v>
      </c>
      <c r="B152" s="471">
        <v>46130</v>
      </c>
      <c r="C152" s="238" t="s">
        <v>609</v>
      </c>
      <c r="D152" s="240" t="s">
        <v>131</v>
      </c>
      <c r="E152" s="236" t="s">
        <v>22</v>
      </c>
      <c r="F152" s="236" t="s">
        <v>60</v>
      </c>
      <c r="G152" s="238" t="s">
        <v>610</v>
      </c>
      <c r="H152" s="237">
        <v>8669660939</v>
      </c>
      <c r="I152" s="255" t="s">
        <v>549</v>
      </c>
      <c r="J152" s="257" t="s">
        <v>66</v>
      </c>
      <c r="K152" s="238" t="s">
        <v>611</v>
      </c>
      <c r="L152" s="236" t="s">
        <v>27</v>
      </c>
      <c r="M152" s="236" t="s">
        <v>40</v>
      </c>
      <c r="N152" s="238" t="s">
        <v>612</v>
      </c>
      <c r="O152" s="239">
        <v>46133</v>
      </c>
      <c r="P152" s="589">
        <v>232464</v>
      </c>
      <c r="Q152" s="236" t="s">
        <v>70</v>
      </c>
      <c r="R152" s="475"/>
      <c r="S152" s="236"/>
      <c r="T152" s="731"/>
      <c r="U152" s="731"/>
      <c r="V152" s="263"/>
      <c r="W152" s="263"/>
      <c r="X152" s="263"/>
    </row>
    <row r="153" spans="1:24" ht="14.25" hidden="1" customHeight="1">
      <c r="A153" s="225">
        <f>ROW()-1</f>
        <v>152</v>
      </c>
      <c r="B153" s="471">
        <v>46130</v>
      </c>
      <c r="C153" s="238" t="s">
        <v>613</v>
      </c>
      <c r="D153" s="486" t="s">
        <v>614</v>
      </c>
      <c r="E153" s="236" t="s">
        <v>390</v>
      </c>
      <c r="F153" s="236" t="s">
        <v>59</v>
      </c>
      <c r="G153" s="236" t="s">
        <v>615</v>
      </c>
      <c r="H153" s="237">
        <v>9959968559</v>
      </c>
      <c r="I153" s="236" t="s">
        <v>553</v>
      </c>
      <c r="J153" s="481" t="s">
        <v>122</v>
      </c>
      <c r="K153" s="236" t="s">
        <v>616</v>
      </c>
      <c r="L153" s="236" t="s">
        <v>58</v>
      </c>
      <c r="M153" s="236" t="s">
        <v>50</v>
      </c>
      <c r="N153" s="238"/>
      <c r="O153" s="474"/>
      <c r="P153" s="589"/>
      <c r="Q153" s="236"/>
      <c r="R153" s="475"/>
      <c r="S153" s="236"/>
      <c r="T153" s="731"/>
      <c r="U153" s="731"/>
      <c r="V153" s="263"/>
      <c r="W153" s="263"/>
      <c r="X153" s="263"/>
    </row>
    <row r="154" spans="1:24" ht="14.25" hidden="1" customHeight="1">
      <c r="A154" s="225">
        <f>ROW()-1</f>
        <v>153</v>
      </c>
      <c r="B154" s="476">
        <v>46130</v>
      </c>
      <c r="C154" s="234" t="s">
        <v>617</v>
      </c>
      <c r="D154" s="484" t="s">
        <v>618</v>
      </c>
      <c r="E154" s="232" t="s">
        <v>82</v>
      </c>
      <c r="F154" s="232" t="s">
        <v>60</v>
      </c>
      <c r="G154" s="232" t="s">
        <v>619</v>
      </c>
      <c r="H154" s="233">
        <v>9940010859</v>
      </c>
      <c r="I154" s="232"/>
      <c r="J154" s="738" t="s">
        <v>63</v>
      </c>
      <c r="K154" s="232" t="s">
        <v>556</v>
      </c>
      <c r="L154" s="232" t="s">
        <v>58</v>
      </c>
      <c r="M154" s="232" t="s">
        <v>40</v>
      </c>
      <c r="N154" s="234"/>
      <c r="O154" s="477"/>
      <c r="P154" s="590"/>
      <c r="Q154" s="232"/>
      <c r="R154" s="475"/>
      <c r="S154" s="232"/>
      <c r="T154" s="731"/>
      <c r="U154" s="731"/>
      <c r="V154" s="263"/>
      <c r="W154" s="263"/>
      <c r="X154" s="263"/>
    </row>
    <row r="155" spans="1:24" ht="14.25" hidden="1" customHeight="1">
      <c r="A155" s="225">
        <f>ROW()-1</f>
        <v>154</v>
      </c>
      <c r="B155" s="476">
        <v>46130</v>
      </c>
      <c r="C155" s="234" t="s">
        <v>529</v>
      </c>
      <c r="D155" s="242" t="s">
        <v>620</v>
      </c>
      <c r="E155" s="232" t="s">
        <v>621</v>
      </c>
      <c r="F155" s="232" t="s">
        <v>83</v>
      </c>
      <c r="G155" s="234" t="s">
        <v>559</v>
      </c>
      <c r="H155" s="233"/>
      <c r="I155" s="264" t="s">
        <v>622</v>
      </c>
      <c r="J155" s="258" t="s">
        <v>47</v>
      </c>
      <c r="K155" s="234" t="s">
        <v>561</v>
      </c>
      <c r="L155" s="232" t="s">
        <v>49</v>
      </c>
      <c r="M155" s="232" t="s">
        <v>50</v>
      </c>
      <c r="N155" s="234"/>
      <c r="O155" s="234"/>
      <c r="P155" s="590"/>
      <c r="Q155" s="232"/>
      <c r="R155" s="475"/>
      <c r="S155" s="232"/>
      <c r="T155" s="487"/>
      <c r="U155" s="487"/>
      <c r="V155" s="1"/>
      <c r="W155" s="1"/>
      <c r="X155" s="1"/>
    </row>
    <row r="156" spans="1:24" ht="14.25" hidden="1" customHeight="1">
      <c r="A156" s="225">
        <f>ROW()-1</f>
        <v>155</v>
      </c>
      <c r="B156" s="471">
        <v>46130</v>
      </c>
      <c r="C156" s="238"/>
      <c r="D156" s="486" t="s">
        <v>623</v>
      </c>
      <c r="E156" s="236" t="s">
        <v>193</v>
      </c>
      <c r="F156" s="236" t="s">
        <v>73</v>
      </c>
      <c r="G156" s="236" t="s">
        <v>556</v>
      </c>
      <c r="H156" s="237">
        <v>8160759643</v>
      </c>
      <c r="I156" s="236"/>
      <c r="J156" s="483" t="s">
        <v>63</v>
      </c>
      <c r="K156" s="236" t="s">
        <v>624</v>
      </c>
      <c r="L156" s="236" t="s">
        <v>58</v>
      </c>
      <c r="M156" s="236" t="s">
        <v>50</v>
      </c>
      <c r="N156" s="238"/>
      <c r="O156" s="238"/>
      <c r="P156" s="589"/>
      <c r="Q156" s="236"/>
      <c r="R156" s="475"/>
      <c r="S156" s="236"/>
      <c r="T156" s="731"/>
      <c r="U156" s="731"/>
      <c r="V156" s="263"/>
      <c r="W156" s="263"/>
      <c r="X156" s="263"/>
    </row>
    <row r="157" spans="1:24" ht="14.25" hidden="1" customHeight="1">
      <c r="A157" s="225">
        <f>ROW()-1</f>
        <v>156</v>
      </c>
      <c r="B157" s="476">
        <v>46131</v>
      </c>
      <c r="C157" s="234" t="s">
        <v>625</v>
      </c>
      <c r="D157" s="242" t="s">
        <v>626</v>
      </c>
      <c r="E157" s="232" t="s">
        <v>193</v>
      </c>
      <c r="F157" s="232" t="s">
        <v>23</v>
      </c>
      <c r="G157" s="234" t="s">
        <v>627</v>
      </c>
      <c r="H157" s="233">
        <v>9737285174</v>
      </c>
      <c r="I157" s="264" t="s">
        <v>628</v>
      </c>
      <c r="J157" s="483" t="s">
        <v>63</v>
      </c>
      <c r="K157" s="234" t="s">
        <v>629</v>
      </c>
      <c r="L157" s="232" t="s">
        <v>49</v>
      </c>
      <c r="M157" s="232" t="s">
        <v>50</v>
      </c>
      <c r="N157" s="234"/>
      <c r="O157" s="234"/>
      <c r="P157" s="590"/>
      <c r="Q157" s="232"/>
      <c r="R157" s="475"/>
      <c r="S157" s="232"/>
      <c r="T157" s="731"/>
      <c r="U157" s="731"/>
      <c r="V157" s="263"/>
      <c r="W157" s="263"/>
      <c r="X157" s="263"/>
    </row>
    <row r="158" spans="1:24" ht="14.25" hidden="1" customHeight="1">
      <c r="A158" s="225">
        <f>ROW()-1</f>
        <v>157</v>
      </c>
      <c r="B158" s="471">
        <v>46131</v>
      </c>
      <c r="C158" s="238" t="s">
        <v>630</v>
      </c>
      <c r="D158" s="486"/>
      <c r="E158" s="236" t="s">
        <v>59</v>
      </c>
      <c r="F158" s="236" t="s">
        <v>73</v>
      </c>
      <c r="G158" s="236" t="s">
        <v>631</v>
      </c>
      <c r="H158" s="237">
        <v>7498454155</v>
      </c>
      <c r="I158" s="236"/>
      <c r="J158" s="488" t="s">
        <v>567</v>
      </c>
      <c r="K158" s="236"/>
      <c r="L158" s="236" t="s">
        <v>58</v>
      </c>
      <c r="M158" s="236" t="s">
        <v>50</v>
      </c>
      <c r="N158" s="238"/>
      <c r="O158" s="474"/>
      <c r="P158" s="589"/>
      <c r="Q158" s="236"/>
      <c r="R158" s="475"/>
      <c r="S158" s="236"/>
      <c r="T158" s="731"/>
      <c r="U158" s="731"/>
      <c r="V158" s="263"/>
      <c r="W158" s="263"/>
      <c r="X158" s="263"/>
    </row>
    <row r="159" spans="1:24" ht="14.25" hidden="1" customHeight="1">
      <c r="A159" s="225">
        <f>ROW()-1</f>
        <v>158</v>
      </c>
      <c r="B159" s="476">
        <v>46132</v>
      </c>
      <c r="C159" s="234" t="s">
        <v>632</v>
      </c>
      <c r="D159" s="242" t="s">
        <v>142</v>
      </c>
      <c r="E159" s="232" t="s">
        <v>143</v>
      </c>
      <c r="F159" s="232" t="s">
        <v>23</v>
      </c>
      <c r="G159" s="234" t="s">
        <v>633</v>
      </c>
      <c r="H159" s="233">
        <v>9757219095</v>
      </c>
      <c r="I159" s="264" t="s">
        <v>634</v>
      </c>
      <c r="J159" s="482" t="s">
        <v>47</v>
      </c>
      <c r="K159" s="234" t="s">
        <v>635</v>
      </c>
      <c r="L159" s="232" t="s">
        <v>49</v>
      </c>
      <c r="M159" s="232" t="s">
        <v>40</v>
      </c>
      <c r="N159" s="234" t="s">
        <v>571</v>
      </c>
      <c r="O159" s="477">
        <v>46138</v>
      </c>
      <c r="P159" s="590">
        <v>1425000</v>
      </c>
      <c r="Q159" s="232" t="s">
        <v>98</v>
      </c>
      <c r="R159" s="478"/>
      <c r="S159" s="232"/>
      <c r="T159" s="731"/>
      <c r="U159" s="731"/>
      <c r="V159" s="263"/>
      <c r="W159" s="263"/>
      <c r="X159" s="263"/>
    </row>
    <row r="160" spans="1:24" ht="14.25" hidden="1" customHeight="1">
      <c r="A160" s="225">
        <f>ROW()-1</f>
        <v>159</v>
      </c>
      <c r="B160" s="471">
        <v>46132</v>
      </c>
      <c r="C160" s="238" t="s">
        <v>636</v>
      </c>
      <c r="D160" s="486" t="s">
        <v>637</v>
      </c>
      <c r="E160" s="236" t="s">
        <v>193</v>
      </c>
      <c r="F160" s="236" t="s">
        <v>23</v>
      </c>
      <c r="G160" s="236" t="s">
        <v>638</v>
      </c>
      <c r="H160" s="237">
        <v>9879036140</v>
      </c>
      <c r="I160" s="236" t="s">
        <v>639</v>
      </c>
      <c r="J160" s="488" t="s">
        <v>567</v>
      </c>
      <c r="K160" s="236" t="s">
        <v>574</v>
      </c>
      <c r="L160" s="236" t="s">
        <v>58</v>
      </c>
      <c r="M160" s="236" t="s">
        <v>50</v>
      </c>
      <c r="N160" s="238"/>
      <c r="O160" s="238"/>
      <c r="P160" s="589"/>
      <c r="Q160" s="236"/>
      <c r="R160" s="475"/>
      <c r="S160" s="236"/>
      <c r="T160" s="731"/>
      <c r="U160" s="731"/>
      <c r="V160" s="263"/>
      <c r="W160" s="263"/>
      <c r="X160" s="263"/>
    </row>
    <row r="161" spans="1:24" ht="14.25" hidden="1" customHeight="1">
      <c r="A161" s="225">
        <f>ROW()-1</f>
        <v>160</v>
      </c>
      <c r="B161" s="471">
        <v>46132</v>
      </c>
      <c r="C161" s="238" t="s">
        <v>640</v>
      </c>
      <c r="D161" s="486" t="s">
        <v>641</v>
      </c>
      <c r="E161" s="236" t="s">
        <v>22</v>
      </c>
      <c r="F161" s="236" t="s">
        <v>23</v>
      </c>
      <c r="G161" s="236" t="s">
        <v>642</v>
      </c>
      <c r="H161" s="237">
        <v>8452807118</v>
      </c>
      <c r="I161" s="236" t="s">
        <v>643</v>
      </c>
      <c r="J161" s="485" t="s">
        <v>171</v>
      </c>
      <c r="K161" s="551" t="s">
        <v>644</v>
      </c>
      <c r="L161" s="236" t="s">
        <v>58</v>
      </c>
      <c r="M161" s="236" t="s">
        <v>50</v>
      </c>
      <c r="N161" s="238"/>
      <c r="O161" s="474"/>
      <c r="P161" s="589"/>
      <c r="Q161" s="236"/>
      <c r="R161" s="475"/>
      <c r="S161" s="236"/>
      <c r="T161" s="731"/>
      <c r="U161" s="731"/>
      <c r="V161" s="263"/>
      <c r="W161" s="263"/>
      <c r="X161" s="263"/>
    </row>
    <row r="162" spans="1:24" ht="14.25" hidden="1" customHeight="1">
      <c r="A162" s="225">
        <f>ROW()-1</f>
        <v>161</v>
      </c>
      <c r="B162" s="476">
        <v>46132</v>
      </c>
      <c r="C162" s="234" t="s">
        <v>578</v>
      </c>
      <c r="D162" s="242" t="s">
        <v>131</v>
      </c>
      <c r="E162" s="232" t="s">
        <v>22</v>
      </c>
      <c r="F162" s="232" t="s">
        <v>73</v>
      </c>
      <c r="G162" s="234" t="s">
        <v>645</v>
      </c>
      <c r="H162" s="233">
        <v>9822884275</v>
      </c>
      <c r="I162" s="264" t="s">
        <v>646</v>
      </c>
      <c r="J162" s="257" t="s">
        <v>66</v>
      </c>
      <c r="K162" s="234" t="s">
        <v>647</v>
      </c>
      <c r="L162" s="232" t="s">
        <v>27</v>
      </c>
      <c r="M162" s="232" t="s">
        <v>28</v>
      </c>
      <c r="N162" s="234" t="s">
        <v>648</v>
      </c>
      <c r="O162" s="235">
        <v>46137</v>
      </c>
      <c r="P162" s="590">
        <v>4044543</v>
      </c>
      <c r="Q162" s="270" t="s">
        <v>292</v>
      </c>
      <c r="R162" s="475"/>
      <c r="S162" s="232"/>
      <c r="T162" s="731"/>
      <c r="U162" s="731"/>
      <c r="V162" s="263"/>
      <c r="W162" s="263"/>
      <c r="X162" s="263"/>
    </row>
    <row r="163" spans="1:24" ht="14.25" hidden="1" customHeight="1">
      <c r="A163" s="225">
        <f>ROW()-1</f>
        <v>162</v>
      </c>
      <c r="B163" s="476">
        <v>46132</v>
      </c>
      <c r="C163" s="234" t="s">
        <v>649</v>
      </c>
      <c r="D163" s="484" t="s">
        <v>583</v>
      </c>
      <c r="E163" s="232" t="s">
        <v>22</v>
      </c>
      <c r="F163" s="232" t="s">
        <v>60</v>
      </c>
      <c r="G163" s="232" t="s">
        <v>650</v>
      </c>
      <c r="H163" s="233">
        <v>9008930819</v>
      </c>
      <c r="I163" s="232"/>
      <c r="J163" s="482" t="s">
        <v>47</v>
      </c>
      <c r="K163" s="232" t="s">
        <v>651</v>
      </c>
      <c r="L163" s="232" t="s">
        <v>58</v>
      </c>
      <c r="M163" s="232" t="s">
        <v>40</v>
      </c>
      <c r="N163" s="234"/>
      <c r="O163" s="234"/>
      <c r="P163" s="590"/>
      <c r="Q163" s="232"/>
      <c r="R163" s="475"/>
      <c r="S163" s="232"/>
      <c r="T163" s="731"/>
      <c r="U163" s="731"/>
      <c r="V163" s="263"/>
      <c r="W163" s="263"/>
      <c r="X163" s="263"/>
    </row>
    <row r="164" spans="1:24" ht="14.25" hidden="1" customHeight="1">
      <c r="A164" s="225">
        <f>ROW()-1</f>
        <v>163</v>
      </c>
      <c r="B164" s="476">
        <v>46132</v>
      </c>
      <c r="C164" s="234" t="s">
        <v>652</v>
      </c>
      <c r="D164" s="242" t="s">
        <v>131</v>
      </c>
      <c r="E164" s="232" t="s">
        <v>22</v>
      </c>
      <c r="F164" s="232" t="s">
        <v>44</v>
      </c>
      <c r="G164" s="234" t="s">
        <v>53</v>
      </c>
      <c r="H164" s="233">
        <v>9028301874</v>
      </c>
      <c r="I164" s="264" t="s">
        <v>653</v>
      </c>
      <c r="J164" s="481" t="s">
        <v>122</v>
      </c>
      <c r="K164" s="234" t="s">
        <v>654</v>
      </c>
      <c r="L164" s="232" t="s">
        <v>49</v>
      </c>
      <c r="M164" s="232" t="s">
        <v>50</v>
      </c>
      <c r="N164" s="234"/>
      <c r="O164" s="234"/>
      <c r="P164" s="590"/>
      <c r="Q164" s="232"/>
      <c r="R164" s="475"/>
      <c r="S164" s="232"/>
      <c r="T164" s="731"/>
      <c r="U164" s="731"/>
      <c r="V164" s="263"/>
      <c r="W164" s="263"/>
      <c r="X164" s="263"/>
    </row>
    <row r="165" spans="1:24" ht="14.25" hidden="1" customHeight="1">
      <c r="A165" s="225">
        <f>ROW()-1</f>
        <v>164</v>
      </c>
      <c r="B165" s="471">
        <v>46132</v>
      </c>
      <c r="C165" s="238" t="s">
        <v>587</v>
      </c>
      <c r="D165" s="486" t="s">
        <v>655</v>
      </c>
      <c r="E165" s="236" t="s">
        <v>205</v>
      </c>
      <c r="F165" s="236" t="s">
        <v>60</v>
      </c>
      <c r="G165" s="236" t="s">
        <v>656</v>
      </c>
      <c r="H165" s="237">
        <v>9916391560</v>
      </c>
      <c r="I165" s="236"/>
      <c r="J165" s="267" t="s">
        <v>122</v>
      </c>
      <c r="K165" s="236" t="s">
        <v>657</v>
      </c>
      <c r="L165" s="236" t="s">
        <v>58</v>
      </c>
      <c r="M165" s="236" t="s">
        <v>40</v>
      </c>
      <c r="N165" s="238"/>
      <c r="O165" s="238"/>
      <c r="P165" s="589"/>
      <c r="Q165" s="236"/>
      <c r="R165" s="475"/>
      <c r="S165" s="236"/>
      <c r="T165" s="731"/>
      <c r="U165" s="731"/>
      <c r="V165" s="263"/>
      <c r="W165" s="263"/>
      <c r="X165" s="263"/>
    </row>
    <row r="166" spans="1:24" ht="14.25" hidden="1" customHeight="1">
      <c r="A166" s="225">
        <f>ROW()-1</f>
        <v>165</v>
      </c>
      <c r="B166" s="476">
        <v>46132</v>
      </c>
      <c r="C166" s="234" t="s">
        <v>658</v>
      </c>
      <c r="D166" s="242" t="s">
        <v>131</v>
      </c>
      <c r="E166" s="232" t="s">
        <v>22</v>
      </c>
      <c r="F166" s="232" t="s">
        <v>60</v>
      </c>
      <c r="G166" s="232" t="s">
        <v>659</v>
      </c>
      <c r="H166" s="233">
        <v>9850828436</v>
      </c>
      <c r="I166" s="232" t="s">
        <v>660</v>
      </c>
      <c r="J166" s="739" t="s">
        <v>567</v>
      </c>
      <c r="K166" s="232" t="s">
        <v>591</v>
      </c>
      <c r="L166" s="232" t="s">
        <v>58</v>
      </c>
      <c r="M166" s="232" t="s">
        <v>40</v>
      </c>
      <c r="N166" s="234"/>
      <c r="O166" s="234"/>
      <c r="P166" s="590"/>
      <c r="Q166" s="232"/>
      <c r="R166" s="475"/>
      <c r="S166" s="232"/>
      <c r="T166" s="731"/>
      <c r="U166" s="731"/>
      <c r="V166" s="263"/>
      <c r="W166" s="263"/>
      <c r="X166" s="263"/>
    </row>
    <row r="167" spans="1:24" ht="14.25" hidden="1" customHeight="1">
      <c r="A167" s="225">
        <f>ROW()-1</f>
        <v>166</v>
      </c>
      <c r="B167" s="471">
        <v>46132</v>
      </c>
      <c r="C167" s="236" t="s">
        <v>661</v>
      </c>
      <c r="D167" s="486" t="s">
        <v>641</v>
      </c>
      <c r="E167" s="236" t="s">
        <v>22</v>
      </c>
      <c r="F167" s="236" t="s">
        <v>60</v>
      </c>
      <c r="G167" s="236" t="s">
        <v>662</v>
      </c>
      <c r="H167" s="237">
        <v>9326024848</v>
      </c>
      <c r="I167" s="236"/>
      <c r="J167" s="267" t="s">
        <v>122</v>
      </c>
      <c r="K167" s="236" t="s">
        <v>593</v>
      </c>
      <c r="L167" s="236" t="s">
        <v>58</v>
      </c>
      <c r="M167" s="236" t="s">
        <v>40</v>
      </c>
      <c r="N167" s="238"/>
      <c r="O167" s="238"/>
      <c r="P167" s="589"/>
      <c r="Q167" s="236"/>
      <c r="R167" s="475"/>
      <c r="S167" s="236"/>
      <c r="T167" s="731"/>
      <c r="U167" s="731"/>
      <c r="V167" s="263"/>
      <c r="W167" s="263"/>
      <c r="X167" s="263"/>
    </row>
    <row r="168" spans="1:24" ht="14.25" hidden="1" customHeight="1">
      <c r="A168" s="225">
        <f>ROW()-1</f>
        <v>167</v>
      </c>
      <c r="B168" s="471">
        <v>46132</v>
      </c>
      <c r="C168" s="238" t="s">
        <v>663</v>
      </c>
      <c r="D168" s="486" t="s">
        <v>664</v>
      </c>
      <c r="E168" s="236" t="s">
        <v>193</v>
      </c>
      <c r="F168" s="236" t="s">
        <v>23</v>
      </c>
      <c r="G168" s="236" t="s">
        <v>665</v>
      </c>
      <c r="H168" s="237">
        <v>9574522988</v>
      </c>
      <c r="I168" s="236" t="s">
        <v>596</v>
      </c>
      <c r="J168" s="481" t="s">
        <v>122</v>
      </c>
      <c r="K168" s="236" t="s">
        <v>666</v>
      </c>
      <c r="L168" s="236" t="s">
        <v>58</v>
      </c>
      <c r="M168" s="236" t="s">
        <v>50</v>
      </c>
      <c r="N168" s="238"/>
      <c r="O168" s="474"/>
      <c r="P168" s="589"/>
      <c r="Q168" s="236"/>
      <c r="R168" s="475"/>
      <c r="S168" s="236"/>
      <c r="T168" s="731"/>
      <c r="U168" s="731"/>
      <c r="V168" s="263"/>
      <c r="W168" s="263"/>
      <c r="X168" s="263"/>
    </row>
    <row r="169" spans="1:24" ht="14.25" hidden="1" customHeight="1">
      <c r="A169" s="225">
        <f>ROW()-1</f>
        <v>168</v>
      </c>
      <c r="B169" s="476">
        <v>46132</v>
      </c>
      <c r="C169" s="234" t="s">
        <v>667</v>
      </c>
      <c r="D169" s="484" t="s">
        <v>668</v>
      </c>
      <c r="E169" s="232" t="s">
        <v>193</v>
      </c>
      <c r="F169" s="232" t="s">
        <v>73</v>
      </c>
      <c r="G169" s="232" t="s">
        <v>669</v>
      </c>
      <c r="H169" s="233">
        <v>9998262330</v>
      </c>
      <c r="I169" s="232"/>
      <c r="J169" s="488" t="s">
        <v>567</v>
      </c>
      <c r="K169" s="232" t="s">
        <v>599</v>
      </c>
      <c r="L169" s="232" t="s">
        <v>58</v>
      </c>
      <c r="M169" s="232" t="s">
        <v>50</v>
      </c>
      <c r="N169" s="234"/>
      <c r="O169" s="234"/>
      <c r="P169" s="590"/>
      <c r="Q169" s="232"/>
      <c r="R169" s="475"/>
      <c r="S169" s="232"/>
      <c r="T169" s="731"/>
      <c r="U169" s="731"/>
      <c r="V169" s="263"/>
      <c r="W169" s="263"/>
      <c r="X169" s="263"/>
    </row>
    <row r="170" spans="1:24" ht="14.25" hidden="1" customHeight="1">
      <c r="A170" s="225">
        <f>ROW()-1</f>
        <v>169</v>
      </c>
      <c r="B170" s="476">
        <v>46132</v>
      </c>
      <c r="C170" s="234" t="s">
        <v>670</v>
      </c>
      <c r="D170" s="484" t="s">
        <v>671</v>
      </c>
      <c r="E170" s="232" t="s">
        <v>385</v>
      </c>
      <c r="F170" s="232" t="s">
        <v>59</v>
      </c>
      <c r="G170" s="232" t="s">
        <v>672</v>
      </c>
      <c r="H170" s="233">
        <v>9425254144</v>
      </c>
      <c r="I170" s="232" t="s">
        <v>673</v>
      </c>
      <c r="J170" s="485" t="s">
        <v>171</v>
      </c>
      <c r="K170" s="232" t="s">
        <v>602</v>
      </c>
      <c r="L170" s="232" t="s">
        <v>58</v>
      </c>
      <c r="M170" s="232" t="s">
        <v>50</v>
      </c>
      <c r="N170" s="234"/>
      <c r="O170" s="477"/>
      <c r="P170" s="590"/>
      <c r="Q170" s="232"/>
      <c r="R170" s="475"/>
      <c r="S170" s="232"/>
      <c r="T170" s="731"/>
      <c r="U170" s="731"/>
      <c r="V170" s="263"/>
      <c r="W170" s="263"/>
      <c r="X170" s="263"/>
    </row>
    <row r="171" spans="1:24" ht="14.25" hidden="1" customHeight="1">
      <c r="A171" s="225">
        <f>ROW()-1</f>
        <v>170</v>
      </c>
      <c r="B171" s="471">
        <v>46132</v>
      </c>
      <c r="C171" s="238" t="s">
        <v>674</v>
      </c>
      <c r="D171" s="240" t="s">
        <v>675</v>
      </c>
      <c r="E171" s="236" t="s">
        <v>22</v>
      </c>
      <c r="F171" s="236" t="s">
        <v>44</v>
      </c>
      <c r="G171" s="238" t="s">
        <v>676</v>
      </c>
      <c r="H171" s="237">
        <v>8484032012</v>
      </c>
      <c r="I171" s="255" t="s">
        <v>677</v>
      </c>
      <c r="J171" s="481" t="s">
        <v>122</v>
      </c>
      <c r="K171" s="234" t="s">
        <v>139</v>
      </c>
      <c r="L171" s="236" t="s">
        <v>49</v>
      </c>
      <c r="M171" s="236" t="s">
        <v>50</v>
      </c>
      <c r="N171" s="238"/>
      <c r="O171" s="238"/>
      <c r="P171" s="589"/>
      <c r="Q171" s="236"/>
      <c r="R171" s="475"/>
      <c r="S171" s="236"/>
      <c r="T171" s="731"/>
      <c r="U171" s="731"/>
      <c r="V171" s="263"/>
      <c r="W171" s="263"/>
      <c r="X171" s="263"/>
    </row>
    <row r="172" spans="1:24" ht="14.25" hidden="1" customHeight="1">
      <c r="A172" s="225">
        <f>ROW()-1</f>
        <v>171</v>
      </c>
      <c r="B172" s="471">
        <v>46132</v>
      </c>
      <c r="C172" s="238" t="s">
        <v>678</v>
      </c>
      <c r="D172" s="240" t="s">
        <v>131</v>
      </c>
      <c r="E172" s="236" t="s">
        <v>22</v>
      </c>
      <c r="F172" s="236" t="s">
        <v>60</v>
      </c>
      <c r="G172" s="238" t="s">
        <v>679</v>
      </c>
      <c r="H172" s="237" t="s">
        <v>680</v>
      </c>
      <c r="I172" s="255" t="s">
        <v>681</v>
      </c>
      <c r="J172" s="257" t="s">
        <v>56</v>
      </c>
      <c r="K172" s="238" t="s">
        <v>682</v>
      </c>
      <c r="L172" s="236" t="s">
        <v>27</v>
      </c>
      <c r="M172" s="236" t="s">
        <v>40</v>
      </c>
      <c r="N172" s="238" t="s">
        <v>683</v>
      </c>
      <c r="O172" s="239">
        <v>46132</v>
      </c>
      <c r="P172" s="589">
        <v>165133</v>
      </c>
      <c r="Q172" s="236" t="s">
        <v>98</v>
      </c>
      <c r="R172" s="475"/>
      <c r="S172" s="236"/>
      <c r="T172" s="731"/>
      <c r="U172" s="731"/>
      <c r="V172" s="263"/>
      <c r="W172" s="263"/>
      <c r="X172" s="263"/>
    </row>
    <row r="173" spans="1:24" ht="14.25" hidden="1" customHeight="1">
      <c r="A173" s="225">
        <f>ROW()-1</f>
        <v>172</v>
      </c>
      <c r="B173" s="476">
        <v>46132</v>
      </c>
      <c r="C173" s="234" t="s">
        <v>610</v>
      </c>
      <c r="D173" s="242" t="s">
        <v>131</v>
      </c>
      <c r="E173" s="232" t="s">
        <v>22</v>
      </c>
      <c r="F173" s="232" t="s">
        <v>60</v>
      </c>
      <c r="G173" s="234" t="s">
        <v>684</v>
      </c>
      <c r="H173" s="233">
        <v>9272105354</v>
      </c>
      <c r="I173" s="264" t="s">
        <v>685</v>
      </c>
      <c r="J173" s="739" t="s">
        <v>567</v>
      </c>
      <c r="K173" s="234" t="s">
        <v>139</v>
      </c>
      <c r="L173" s="232" t="s">
        <v>49</v>
      </c>
      <c r="M173" s="232" t="s">
        <v>40</v>
      </c>
      <c r="N173" s="234"/>
      <c r="O173" s="477"/>
      <c r="P173" s="590"/>
      <c r="Q173" s="232"/>
      <c r="R173" s="475"/>
      <c r="S173" s="232"/>
      <c r="T173" s="731"/>
      <c r="U173" s="731"/>
      <c r="V173" s="263"/>
      <c r="W173" s="263"/>
      <c r="X173" s="263"/>
    </row>
    <row r="174" spans="1:24" ht="14.25" hidden="1" customHeight="1">
      <c r="A174" s="225">
        <f>ROW()-1</f>
        <v>173</v>
      </c>
      <c r="B174" s="471">
        <v>46132</v>
      </c>
      <c r="C174" s="238" t="s">
        <v>686</v>
      </c>
      <c r="D174" s="240" t="s">
        <v>131</v>
      </c>
      <c r="E174" s="236" t="s">
        <v>22</v>
      </c>
      <c r="F174" s="236" t="s">
        <v>73</v>
      </c>
      <c r="G174" s="236" t="s">
        <v>687</v>
      </c>
      <c r="H174" s="237">
        <v>9689910446</v>
      </c>
      <c r="I174" s="236"/>
      <c r="J174" s="485" t="s">
        <v>171</v>
      </c>
      <c r="K174" s="236" t="s">
        <v>688</v>
      </c>
      <c r="L174" s="236" t="s">
        <v>58</v>
      </c>
      <c r="M174" s="236" t="s">
        <v>50</v>
      </c>
      <c r="N174" s="238"/>
      <c r="O174" s="238"/>
      <c r="P174" s="589"/>
      <c r="Q174" s="236"/>
      <c r="R174" s="475"/>
      <c r="S174" s="236"/>
      <c r="T174" s="731"/>
      <c r="U174" s="731"/>
      <c r="V174" s="263"/>
      <c r="W174" s="263"/>
      <c r="X174" s="263"/>
    </row>
    <row r="175" spans="1:24" ht="14.25" hidden="1" customHeight="1">
      <c r="A175" s="225">
        <f>ROW()-1</f>
        <v>174</v>
      </c>
      <c r="B175" s="476">
        <v>46132</v>
      </c>
      <c r="C175" s="234" t="s">
        <v>689</v>
      </c>
      <c r="D175" s="242" t="s">
        <v>131</v>
      </c>
      <c r="E175" s="232" t="s">
        <v>22</v>
      </c>
      <c r="F175" s="232" t="s">
        <v>59</v>
      </c>
      <c r="G175" s="232" t="s">
        <v>690</v>
      </c>
      <c r="H175" s="233">
        <v>8220255887</v>
      </c>
      <c r="I175" s="232" t="s">
        <v>691</v>
      </c>
      <c r="J175" s="257" t="s">
        <v>66</v>
      </c>
      <c r="K175" s="232" t="s">
        <v>615</v>
      </c>
      <c r="L175" s="232" t="s">
        <v>49</v>
      </c>
      <c r="M175" s="232" t="s">
        <v>50</v>
      </c>
      <c r="N175" s="234" t="s">
        <v>692</v>
      </c>
      <c r="O175" s="235">
        <v>46133</v>
      </c>
      <c r="P175" s="590">
        <v>850000</v>
      </c>
      <c r="Q175" s="232" t="s">
        <v>292</v>
      </c>
      <c r="R175" s="475"/>
      <c r="S175" s="232"/>
      <c r="T175" s="731"/>
      <c r="U175" s="731"/>
      <c r="V175" s="263"/>
      <c r="W175" s="263"/>
      <c r="X175" s="263"/>
    </row>
    <row r="176" spans="1:24" ht="14.25" hidden="1" customHeight="1">
      <c r="A176" s="225">
        <f>ROW()-1</f>
        <v>175</v>
      </c>
      <c r="B176" s="471">
        <v>46132</v>
      </c>
      <c r="C176" s="238" t="s">
        <v>693</v>
      </c>
      <c r="D176" s="486" t="s">
        <v>497</v>
      </c>
      <c r="E176" s="236" t="s">
        <v>22</v>
      </c>
      <c r="F176" s="236" t="s">
        <v>59</v>
      </c>
      <c r="G176" s="236" t="s">
        <v>694</v>
      </c>
      <c r="H176" s="237">
        <v>9604833123</v>
      </c>
      <c r="I176" s="236" t="s">
        <v>695</v>
      </c>
      <c r="J176" s="258" t="s">
        <v>47</v>
      </c>
      <c r="K176" s="551" t="s">
        <v>696</v>
      </c>
      <c r="L176" s="236" t="s">
        <v>58</v>
      </c>
      <c r="M176" s="236" t="s">
        <v>50</v>
      </c>
      <c r="N176" s="238" t="s">
        <v>619</v>
      </c>
      <c r="O176" s="239">
        <v>46138</v>
      </c>
      <c r="P176" s="589">
        <v>333600</v>
      </c>
      <c r="Q176" s="236" t="s">
        <v>98</v>
      </c>
      <c r="R176" s="478"/>
      <c r="S176" s="236"/>
      <c r="T176" s="731"/>
      <c r="U176" s="731"/>
      <c r="V176" s="263"/>
      <c r="W176" s="263"/>
      <c r="X176" s="263"/>
    </row>
    <row r="177" spans="1:24" ht="14.25" hidden="1" customHeight="1">
      <c r="A177" s="225">
        <f>ROW()-1</f>
        <v>176</v>
      </c>
      <c r="B177" s="476">
        <v>46132</v>
      </c>
      <c r="C177" s="234" t="s">
        <v>697</v>
      </c>
      <c r="D177" s="484" t="s">
        <v>623</v>
      </c>
      <c r="E177" s="232" t="s">
        <v>193</v>
      </c>
      <c r="F177" s="232" t="s">
        <v>23</v>
      </c>
      <c r="G177" s="232" t="s">
        <v>698</v>
      </c>
      <c r="H177" s="233">
        <v>9825012607</v>
      </c>
      <c r="I177" s="232"/>
      <c r="J177" s="485" t="s">
        <v>171</v>
      </c>
      <c r="K177" s="232" t="s">
        <v>699</v>
      </c>
      <c r="L177" s="232" t="s">
        <v>58</v>
      </c>
      <c r="M177" s="232" t="s">
        <v>50</v>
      </c>
      <c r="N177" s="234"/>
      <c r="O177" s="477"/>
      <c r="P177" s="590"/>
      <c r="Q177" s="232"/>
      <c r="R177" s="475"/>
      <c r="S177" s="232"/>
      <c r="T177" s="731"/>
      <c r="U177" s="731"/>
      <c r="V177" s="263"/>
      <c r="W177" s="263"/>
      <c r="X177" s="263"/>
    </row>
    <row r="178" spans="1:24" ht="14.25" hidden="1" customHeight="1">
      <c r="A178" s="225">
        <f>ROW()-1</f>
        <v>177</v>
      </c>
      <c r="B178" s="471">
        <v>46132</v>
      </c>
      <c r="C178" s="238" t="s">
        <v>700</v>
      </c>
      <c r="D178" s="486"/>
      <c r="E178" s="236" t="s">
        <v>59</v>
      </c>
      <c r="F178" s="236" t="s">
        <v>60</v>
      </c>
      <c r="G178" s="236" t="s">
        <v>701</v>
      </c>
      <c r="H178" s="237">
        <v>7012730280</v>
      </c>
      <c r="I178" s="236"/>
      <c r="J178" s="737" t="s">
        <v>171</v>
      </c>
      <c r="K178" s="236" t="s">
        <v>702</v>
      </c>
      <c r="L178" s="236" t="s">
        <v>58</v>
      </c>
      <c r="M178" s="236" t="s">
        <v>40</v>
      </c>
      <c r="N178" s="238"/>
      <c r="O178" s="238"/>
      <c r="P178" s="589"/>
      <c r="Q178" s="236"/>
      <c r="R178" s="475"/>
      <c r="S178" s="236"/>
      <c r="T178" s="731"/>
      <c r="U178" s="731"/>
      <c r="V178" s="263"/>
      <c r="W178" s="263"/>
      <c r="X178" s="263"/>
    </row>
    <row r="179" spans="1:24" ht="14.25" hidden="1" customHeight="1">
      <c r="A179" s="225">
        <f>ROW()-1</f>
        <v>178</v>
      </c>
      <c r="B179" s="471">
        <v>46133</v>
      </c>
      <c r="C179" s="238" t="s">
        <v>703</v>
      </c>
      <c r="D179" s="240" t="s">
        <v>704</v>
      </c>
      <c r="E179" s="236" t="s">
        <v>199</v>
      </c>
      <c r="F179" s="236" t="s">
        <v>23</v>
      </c>
      <c r="G179" s="238" t="s">
        <v>705</v>
      </c>
      <c r="H179" s="237">
        <v>8955358086</v>
      </c>
      <c r="I179" s="601" t="s">
        <v>706</v>
      </c>
      <c r="J179" s="488" t="s">
        <v>567</v>
      </c>
      <c r="K179" s="238" t="s">
        <v>707</v>
      </c>
      <c r="L179" s="236" t="s">
        <v>49</v>
      </c>
      <c r="M179" s="236" t="s">
        <v>50</v>
      </c>
      <c r="N179" s="238"/>
      <c r="O179" s="238"/>
      <c r="P179" s="589"/>
      <c r="Q179" s="236"/>
      <c r="R179" s="475"/>
      <c r="S179" s="236"/>
      <c r="T179" s="731"/>
      <c r="U179" s="731"/>
      <c r="V179" s="263"/>
      <c r="W179" s="263"/>
      <c r="X179" s="263"/>
    </row>
    <row r="180" spans="1:24" ht="14.25" hidden="1" customHeight="1">
      <c r="A180" s="225">
        <f>ROW()-1</f>
        <v>179</v>
      </c>
      <c r="B180" s="476">
        <v>46133</v>
      </c>
      <c r="C180" s="234" t="s">
        <v>708</v>
      </c>
      <c r="D180" s="242" t="s">
        <v>177</v>
      </c>
      <c r="E180" s="232" t="s">
        <v>82</v>
      </c>
      <c r="F180" s="232" t="s">
        <v>23</v>
      </c>
      <c r="G180" s="234" t="s">
        <v>709</v>
      </c>
      <c r="H180" s="233">
        <v>9159411212</v>
      </c>
      <c r="I180" s="480" t="s">
        <v>139</v>
      </c>
      <c r="J180" s="481" t="s">
        <v>122</v>
      </c>
      <c r="K180" s="234" t="s">
        <v>710</v>
      </c>
      <c r="L180" s="232" t="s">
        <v>49</v>
      </c>
      <c r="M180" s="232" t="s">
        <v>50</v>
      </c>
      <c r="N180" s="234"/>
      <c r="O180" s="477"/>
      <c r="P180" s="590"/>
      <c r="Q180" s="232"/>
      <c r="R180" s="475"/>
      <c r="S180" s="232"/>
      <c r="T180" s="731"/>
      <c r="U180" s="731"/>
      <c r="V180" s="263"/>
      <c r="W180" s="263"/>
      <c r="X180" s="263"/>
    </row>
    <row r="181" spans="1:24" ht="14.25" hidden="1" customHeight="1">
      <c r="A181" s="225">
        <f>ROW()-1</f>
        <v>180</v>
      </c>
      <c r="B181" s="476">
        <v>46133</v>
      </c>
      <c r="C181" s="234" t="s">
        <v>627</v>
      </c>
      <c r="D181" s="242"/>
      <c r="E181" s="232" t="s">
        <v>59</v>
      </c>
      <c r="F181" s="232" t="s">
        <v>60</v>
      </c>
      <c r="G181" s="234" t="s">
        <v>711</v>
      </c>
      <c r="H181" s="233">
        <v>9624513138</v>
      </c>
      <c r="I181" s="480" t="s">
        <v>139</v>
      </c>
      <c r="J181" s="267" t="s">
        <v>122</v>
      </c>
      <c r="K181" s="234" t="s">
        <v>139</v>
      </c>
      <c r="L181" s="232" t="s">
        <v>49</v>
      </c>
      <c r="M181" s="232" t="s">
        <v>40</v>
      </c>
      <c r="N181" s="234"/>
      <c r="O181" s="477"/>
      <c r="P181" s="590"/>
      <c r="Q181" s="232"/>
      <c r="R181" s="475"/>
      <c r="S181" s="232"/>
      <c r="T181" s="731"/>
      <c r="U181" s="731"/>
      <c r="V181" s="263"/>
      <c r="W181" s="263"/>
      <c r="X181" s="263"/>
    </row>
    <row r="182" spans="1:24" ht="14.25" hidden="1" customHeight="1">
      <c r="A182" s="225">
        <f>ROW()-1</f>
        <v>181</v>
      </c>
      <c r="B182" s="489">
        <v>46133</v>
      </c>
      <c r="C182" s="490" t="s">
        <v>712</v>
      </c>
      <c r="D182" s="240" t="s">
        <v>131</v>
      </c>
      <c r="E182" s="236" t="s">
        <v>22</v>
      </c>
      <c r="F182" s="270" t="s">
        <v>44</v>
      </c>
      <c r="G182" s="490" t="s">
        <v>713</v>
      </c>
      <c r="H182" s="491">
        <v>7798672565</v>
      </c>
      <c r="I182" s="678" t="s">
        <v>714</v>
      </c>
      <c r="J182" s="257" t="s">
        <v>66</v>
      </c>
      <c r="K182" s="490" t="s">
        <v>715</v>
      </c>
      <c r="L182" s="270" t="s">
        <v>27</v>
      </c>
      <c r="M182" s="236" t="s">
        <v>40</v>
      </c>
      <c r="N182" s="490" t="s">
        <v>631</v>
      </c>
      <c r="O182" s="492">
        <v>46136</v>
      </c>
      <c r="P182" s="591">
        <v>1497509</v>
      </c>
      <c r="Q182" s="236" t="s">
        <v>79</v>
      </c>
      <c r="R182" s="475"/>
      <c r="S182" s="270"/>
      <c r="T182" s="731" t="s">
        <v>716</v>
      </c>
      <c r="U182" s="731"/>
      <c r="V182" s="263"/>
      <c r="W182" s="263"/>
      <c r="X182" s="263"/>
    </row>
    <row r="183" spans="1:24" ht="14.25" hidden="1" customHeight="1">
      <c r="A183" s="225">
        <f>ROW()-1</f>
        <v>182</v>
      </c>
      <c r="B183" s="476">
        <v>46133</v>
      </c>
      <c r="C183" s="234" t="s">
        <v>517</v>
      </c>
      <c r="D183" s="242" t="s">
        <v>131</v>
      </c>
      <c r="E183" s="232" t="s">
        <v>22</v>
      </c>
      <c r="F183" s="232" t="s">
        <v>60</v>
      </c>
      <c r="G183" s="234" t="s">
        <v>717</v>
      </c>
      <c r="H183" s="233" t="s">
        <v>718</v>
      </c>
      <c r="I183" s="264" t="s">
        <v>633</v>
      </c>
      <c r="J183" s="257" t="s">
        <v>66</v>
      </c>
      <c r="K183" s="234" t="s">
        <v>290</v>
      </c>
      <c r="L183" s="232" t="s">
        <v>27</v>
      </c>
      <c r="M183" s="232" t="s">
        <v>40</v>
      </c>
      <c r="N183" s="234" t="s">
        <v>719</v>
      </c>
      <c r="O183" s="235">
        <v>46131</v>
      </c>
      <c r="P183" s="590">
        <v>944215</v>
      </c>
      <c r="Q183" s="232" t="s">
        <v>119</v>
      </c>
      <c r="R183" s="475"/>
      <c r="S183" s="232"/>
      <c r="T183" s="731"/>
      <c r="U183" s="731"/>
      <c r="V183" s="263"/>
      <c r="W183" s="263"/>
      <c r="X183" s="263"/>
    </row>
    <row r="184" spans="1:24" ht="14.25" hidden="1" customHeight="1">
      <c r="A184" s="225">
        <f>ROW()-1</f>
        <v>183</v>
      </c>
      <c r="B184" s="471">
        <v>46133</v>
      </c>
      <c r="C184" s="238" t="s">
        <v>517</v>
      </c>
      <c r="D184" s="240" t="s">
        <v>131</v>
      </c>
      <c r="E184" s="236" t="s">
        <v>22</v>
      </c>
      <c r="F184" s="236" t="s">
        <v>60</v>
      </c>
      <c r="G184" s="238" t="s">
        <v>518</v>
      </c>
      <c r="H184" s="237" t="s">
        <v>718</v>
      </c>
      <c r="I184" s="255" t="s">
        <v>633</v>
      </c>
      <c r="J184" s="257" t="s">
        <v>66</v>
      </c>
      <c r="K184" s="238" t="s">
        <v>290</v>
      </c>
      <c r="L184" s="236" t="s">
        <v>27</v>
      </c>
      <c r="M184" s="236" t="s">
        <v>40</v>
      </c>
      <c r="N184" s="238" t="s">
        <v>720</v>
      </c>
      <c r="O184" s="239">
        <v>46131</v>
      </c>
      <c r="P184" s="589">
        <v>1004952</v>
      </c>
      <c r="Q184" s="236" t="s">
        <v>119</v>
      </c>
      <c r="R184" s="475"/>
      <c r="S184" s="236"/>
      <c r="T184" s="731"/>
      <c r="U184" s="731"/>
      <c r="V184" s="263"/>
      <c r="W184" s="263"/>
      <c r="X184" s="263"/>
    </row>
    <row r="185" spans="1:24" ht="14.25" hidden="1" customHeight="1">
      <c r="A185" s="225">
        <f>ROW()-1</f>
        <v>184</v>
      </c>
      <c r="B185" s="471">
        <v>46133</v>
      </c>
      <c r="C185" s="238" t="s">
        <v>721</v>
      </c>
      <c r="D185" s="240" t="s">
        <v>131</v>
      </c>
      <c r="E185" s="236" t="s">
        <v>22</v>
      </c>
      <c r="F185" s="236" t="s">
        <v>60</v>
      </c>
      <c r="G185" s="238" t="s">
        <v>679</v>
      </c>
      <c r="H185" s="237">
        <v>9168227695</v>
      </c>
      <c r="I185" s="255" t="s">
        <v>722</v>
      </c>
      <c r="J185" s="267" t="s">
        <v>122</v>
      </c>
      <c r="K185" s="238" t="s">
        <v>723</v>
      </c>
      <c r="L185" s="236" t="s">
        <v>49</v>
      </c>
      <c r="M185" s="236" t="s">
        <v>40</v>
      </c>
      <c r="N185" s="238"/>
      <c r="O185" s="474"/>
      <c r="P185" s="589"/>
      <c r="Q185" s="236"/>
      <c r="R185" s="475"/>
      <c r="S185" s="236"/>
      <c r="T185" s="731"/>
      <c r="U185" s="731"/>
      <c r="V185" s="263"/>
      <c r="W185" s="263"/>
      <c r="X185" s="263"/>
    </row>
    <row r="186" spans="1:24" ht="14.25" hidden="1" customHeight="1">
      <c r="A186" s="225">
        <f>ROW()-1</f>
        <v>185</v>
      </c>
      <c r="B186" s="471">
        <v>46133</v>
      </c>
      <c r="C186" s="238" t="s">
        <v>638</v>
      </c>
      <c r="D186" s="486" t="s">
        <v>724</v>
      </c>
      <c r="E186" s="236" t="s">
        <v>725</v>
      </c>
      <c r="F186" s="236" t="s">
        <v>23</v>
      </c>
      <c r="G186" s="236" t="s">
        <v>726</v>
      </c>
      <c r="H186" s="237">
        <v>7736262951</v>
      </c>
      <c r="I186" s="236" t="s">
        <v>727</v>
      </c>
      <c r="J186" s="481" t="s">
        <v>122</v>
      </c>
      <c r="K186" s="236" t="s">
        <v>728</v>
      </c>
      <c r="L186" s="236" t="s">
        <v>58</v>
      </c>
      <c r="M186" s="236" t="s">
        <v>50</v>
      </c>
      <c r="N186" s="238"/>
      <c r="O186" s="474"/>
      <c r="P186" s="589"/>
      <c r="Q186" s="236"/>
      <c r="R186" s="475"/>
      <c r="S186" s="236"/>
      <c r="T186" s="731"/>
      <c r="U186" s="731"/>
      <c r="V186" s="263"/>
      <c r="W186" s="263"/>
      <c r="X186" s="263"/>
    </row>
    <row r="187" spans="1:24" ht="14.25" hidden="1" customHeight="1">
      <c r="A187" s="225">
        <f>ROW()-1</f>
        <v>186</v>
      </c>
      <c r="B187" s="476">
        <v>46133</v>
      </c>
      <c r="C187" s="234" t="s">
        <v>642</v>
      </c>
      <c r="D187" s="484" t="s">
        <v>729</v>
      </c>
      <c r="E187" s="232" t="s">
        <v>730</v>
      </c>
      <c r="F187" s="232"/>
      <c r="G187" s="232" t="s">
        <v>731</v>
      </c>
      <c r="H187" s="233">
        <v>9818660029</v>
      </c>
      <c r="I187" s="232"/>
      <c r="J187" s="481" t="s">
        <v>122</v>
      </c>
      <c r="K187" s="232" t="s">
        <v>732</v>
      </c>
      <c r="L187" s="232" t="s">
        <v>58</v>
      </c>
      <c r="M187" s="232" t="s">
        <v>50</v>
      </c>
      <c r="N187" s="234"/>
      <c r="O187" s="234"/>
      <c r="P187" s="590"/>
      <c r="Q187" s="232"/>
      <c r="R187" s="475"/>
      <c r="S187" s="232"/>
      <c r="T187" s="731"/>
      <c r="U187" s="731"/>
      <c r="V187" s="263"/>
      <c r="W187" s="263"/>
      <c r="X187" s="263"/>
    </row>
    <row r="188" spans="1:24" ht="14.25" hidden="1" customHeight="1">
      <c r="A188" s="225">
        <f>ROW()-1</f>
        <v>187</v>
      </c>
      <c r="B188" s="471">
        <v>46133</v>
      </c>
      <c r="C188" s="238" t="s">
        <v>645</v>
      </c>
      <c r="D188" s="240" t="s">
        <v>131</v>
      </c>
      <c r="E188" s="236" t="s">
        <v>22</v>
      </c>
      <c r="F188" s="236"/>
      <c r="G188" s="236" t="s">
        <v>733</v>
      </c>
      <c r="H188" s="237">
        <v>9960384949</v>
      </c>
      <c r="I188" s="236"/>
      <c r="J188" s="488" t="s">
        <v>567</v>
      </c>
      <c r="K188" s="236" t="s">
        <v>734</v>
      </c>
      <c r="L188" s="236" t="s">
        <v>58</v>
      </c>
      <c r="M188" s="236" t="s">
        <v>50</v>
      </c>
      <c r="N188" s="238"/>
      <c r="O188" s="238"/>
      <c r="P188" s="589"/>
      <c r="Q188" s="236"/>
      <c r="R188" s="475"/>
      <c r="S188" s="236"/>
      <c r="T188" s="731"/>
      <c r="U188" s="731"/>
      <c r="V188" s="263"/>
      <c r="W188" s="263"/>
      <c r="X188" s="263"/>
    </row>
    <row r="189" spans="1:24" ht="14.25" hidden="1" customHeight="1">
      <c r="A189" s="225">
        <f>ROW()-1</f>
        <v>188</v>
      </c>
      <c r="B189" s="476">
        <v>46133</v>
      </c>
      <c r="C189" s="234" t="s">
        <v>735</v>
      </c>
      <c r="D189" s="242" t="s">
        <v>21</v>
      </c>
      <c r="E189" s="232" t="s">
        <v>22</v>
      </c>
      <c r="F189" s="232" t="s">
        <v>44</v>
      </c>
      <c r="G189" s="234" t="s">
        <v>736</v>
      </c>
      <c r="H189" s="233"/>
      <c r="I189" s="600" t="s">
        <v>737</v>
      </c>
      <c r="J189" s="257" t="s">
        <v>66</v>
      </c>
      <c r="K189" s="560" t="s">
        <v>738</v>
      </c>
      <c r="L189" s="232" t="s">
        <v>117</v>
      </c>
      <c r="M189" s="232" t="s">
        <v>28</v>
      </c>
      <c r="N189" s="234" t="s">
        <v>739</v>
      </c>
      <c r="O189" s="235">
        <v>46133</v>
      </c>
      <c r="P189" s="590">
        <v>1030000</v>
      </c>
      <c r="Q189" s="270" t="s">
        <v>292</v>
      </c>
      <c r="R189" s="475"/>
      <c r="S189" s="232"/>
      <c r="T189" s="731"/>
      <c r="U189" s="731"/>
      <c r="V189" s="263"/>
      <c r="W189" s="263"/>
      <c r="X189" s="263"/>
    </row>
    <row r="190" spans="1:24" ht="14.25" hidden="1" customHeight="1">
      <c r="A190" s="225">
        <f>ROW()-1</f>
        <v>189</v>
      </c>
      <c r="B190" s="476">
        <v>46133</v>
      </c>
      <c r="C190" s="234" t="s">
        <v>650</v>
      </c>
      <c r="D190" s="484" t="s">
        <v>740</v>
      </c>
      <c r="E190" s="232" t="s">
        <v>741</v>
      </c>
      <c r="F190" s="232" t="s">
        <v>60</v>
      </c>
      <c r="G190" s="232" t="s">
        <v>742</v>
      </c>
      <c r="H190" s="233">
        <v>9204559468</v>
      </c>
      <c r="I190" s="232" t="s">
        <v>743</v>
      </c>
      <c r="J190" s="739" t="s">
        <v>567</v>
      </c>
      <c r="K190" s="232" t="s">
        <v>744</v>
      </c>
      <c r="L190" s="232" t="s">
        <v>58</v>
      </c>
      <c r="M190" s="232" t="s">
        <v>40</v>
      </c>
      <c r="N190" s="234"/>
      <c r="O190" s="477"/>
      <c r="P190" s="590"/>
      <c r="Q190" s="232"/>
      <c r="R190" s="475"/>
      <c r="S190" s="232"/>
      <c r="T190" s="731"/>
      <c r="U190" s="731"/>
      <c r="V190" s="263"/>
      <c r="W190" s="263"/>
      <c r="X190" s="263"/>
    </row>
    <row r="191" spans="1:24" ht="14.25" hidden="1" customHeight="1">
      <c r="A191" s="225">
        <f>ROW()-1</f>
        <v>190</v>
      </c>
      <c r="B191" s="471">
        <v>46134</v>
      </c>
      <c r="C191" s="238" t="s">
        <v>745</v>
      </c>
      <c r="D191" s="240" t="s">
        <v>746</v>
      </c>
      <c r="E191" s="236" t="s">
        <v>59</v>
      </c>
      <c r="F191" s="236" t="s">
        <v>73</v>
      </c>
      <c r="G191" s="238" t="s">
        <v>747</v>
      </c>
      <c r="H191" s="237">
        <v>9025882788</v>
      </c>
      <c r="I191" s="255" t="s">
        <v>656</v>
      </c>
      <c r="J191" s="483" t="s">
        <v>63</v>
      </c>
      <c r="K191" s="238" t="s">
        <v>745</v>
      </c>
      <c r="L191" s="236" t="s">
        <v>49</v>
      </c>
      <c r="M191" s="236" t="s">
        <v>50</v>
      </c>
      <c r="N191" s="238"/>
      <c r="O191" s="238"/>
      <c r="P191" s="589"/>
      <c r="Q191" s="236"/>
      <c r="R191" s="475"/>
      <c r="S191" s="236"/>
      <c r="T191" s="731"/>
      <c r="U191" s="731"/>
      <c r="V191" s="263"/>
      <c r="W191" s="263"/>
      <c r="X191" s="263"/>
    </row>
    <row r="192" spans="1:24" ht="14.25" hidden="1" customHeight="1">
      <c r="A192" s="225">
        <f>ROW()-1</f>
        <v>191</v>
      </c>
      <c r="B192" s="471">
        <v>46134</v>
      </c>
      <c r="C192" s="238" t="s">
        <v>748</v>
      </c>
      <c r="D192" s="240" t="s">
        <v>749</v>
      </c>
      <c r="E192" s="236" t="s">
        <v>214</v>
      </c>
      <c r="F192" s="236" t="s">
        <v>83</v>
      </c>
      <c r="G192" s="238" t="s">
        <v>559</v>
      </c>
      <c r="H192" s="237">
        <v>7774006685</v>
      </c>
      <c r="I192" s="255" t="s">
        <v>659</v>
      </c>
      <c r="J192" s="258" t="s">
        <v>47</v>
      </c>
      <c r="K192" s="238" t="s">
        <v>750</v>
      </c>
      <c r="L192" s="236" t="s">
        <v>49</v>
      </c>
      <c r="M192" s="236" t="s">
        <v>50</v>
      </c>
      <c r="N192" s="238"/>
      <c r="O192" s="474"/>
      <c r="P192" s="589"/>
      <c r="Q192" s="236"/>
      <c r="R192" s="475"/>
      <c r="S192" s="236"/>
      <c r="T192" s="731"/>
      <c r="U192" s="731"/>
      <c r="V192" s="263"/>
      <c r="W192" s="263"/>
      <c r="X192" s="263"/>
    </row>
    <row r="193" spans="1:24" ht="14.25" hidden="1" customHeight="1">
      <c r="A193" s="225">
        <f>ROW()-1</f>
        <v>192</v>
      </c>
      <c r="B193" s="471">
        <v>46134</v>
      </c>
      <c r="C193" s="238" t="s">
        <v>751</v>
      </c>
      <c r="D193" s="240" t="s">
        <v>131</v>
      </c>
      <c r="E193" s="236" t="s">
        <v>22</v>
      </c>
      <c r="F193" s="236" t="s">
        <v>60</v>
      </c>
      <c r="G193" s="238" t="s">
        <v>752</v>
      </c>
      <c r="H193" s="237">
        <v>9823020637</v>
      </c>
      <c r="I193" s="255" t="s">
        <v>753</v>
      </c>
      <c r="J193" s="482" t="s">
        <v>47</v>
      </c>
      <c r="K193" s="549" t="s">
        <v>662</v>
      </c>
      <c r="L193" s="236" t="s">
        <v>49</v>
      </c>
      <c r="M193" s="236" t="s">
        <v>40</v>
      </c>
      <c r="N193" s="238"/>
      <c r="O193" s="474"/>
      <c r="P193" s="589"/>
      <c r="Q193" s="236"/>
      <c r="R193" s="475"/>
      <c r="S193" s="236"/>
      <c r="T193" s="731"/>
      <c r="U193" s="731"/>
      <c r="V193" s="263"/>
      <c r="W193" s="263"/>
      <c r="X193" s="263"/>
    </row>
    <row r="194" spans="1:24" ht="14.25" hidden="1" customHeight="1">
      <c r="A194" s="225">
        <f>ROW()-1</f>
        <v>193</v>
      </c>
      <c r="B194" s="476">
        <v>46134</v>
      </c>
      <c r="C194" s="234" t="s">
        <v>754</v>
      </c>
      <c r="D194" s="242" t="s">
        <v>755</v>
      </c>
      <c r="E194" s="232" t="s">
        <v>162</v>
      </c>
      <c r="F194" s="232" t="s">
        <v>23</v>
      </c>
      <c r="G194" s="234" t="s">
        <v>756</v>
      </c>
      <c r="H194" s="233">
        <v>9917000059</v>
      </c>
      <c r="I194" s="480" t="s">
        <v>139</v>
      </c>
      <c r="J194" s="488" t="s">
        <v>567</v>
      </c>
      <c r="K194" s="234" t="s">
        <v>757</v>
      </c>
      <c r="L194" s="232" t="s">
        <v>49</v>
      </c>
      <c r="M194" s="232" t="s">
        <v>50</v>
      </c>
      <c r="N194" s="234"/>
      <c r="O194" s="234"/>
      <c r="P194" s="590"/>
      <c r="Q194" s="232"/>
      <c r="R194" s="475"/>
      <c r="S194" s="232"/>
      <c r="T194" s="731"/>
      <c r="U194" s="731"/>
      <c r="V194" s="263"/>
      <c r="W194" s="263"/>
      <c r="X194" s="263"/>
    </row>
    <row r="195" spans="1:24" ht="14.25" hidden="1" customHeight="1">
      <c r="A195" s="225">
        <f>ROW()-1</f>
        <v>194</v>
      </c>
      <c r="B195" s="476">
        <v>46134</v>
      </c>
      <c r="C195" s="234" t="s">
        <v>665</v>
      </c>
      <c r="D195" s="484" t="s">
        <v>758</v>
      </c>
      <c r="E195" s="232" t="s">
        <v>759</v>
      </c>
      <c r="F195" s="232" t="s">
        <v>73</v>
      </c>
      <c r="G195" s="232" t="s">
        <v>760</v>
      </c>
      <c r="H195" s="233">
        <v>9763729506</v>
      </c>
      <c r="I195" s="552" t="s">
        <v>761</v>
      </c>
      <c r="J195" s="257" t="s">
        <v>66</v>
      </c>
      <c r="K195" s="232" t="s">
        <v>762</v>
      </c>
      <c r="L195" s="232" t="s">
        <v>74</v>
      </c>
      <c r="M195" s="232" t="s">
        <v>50</v>
      </c>
      <c r="N195" s="234" t="s">
        <v>669</v>
      </c>
      <c r="O195" s="235">
        <v>46141</v>
      </c>
      <c r="P195" s="590"/>
      <c r="Q195" s="232" t="s">
        <v>70</v>
      </c>
      <c r="R195" s="475"/>
      <c r="S195" s="232"/>
      <c r="T195" s="731"/>
      <c r="U195" s="731"/>
      <c r="V195" s="263"/>
      <c r="W195" s="263"/>
      <c r="X195" s="263"/>
    </row>
    <row r="196" spans="1:24" ht="14.25" hidden="1" customHeight="1">
      <c r="A196" s="225">
        <f>ROW()-1</f>
        <v>195</v>
      </c>
      <c r="B196" s="476">
        <v>46134</v>
      </c>
      <c r="C196" s="234" t="s">
        <v>393</v>
      </c>
      <c r="D196" s="242" t="s">
        <v>497</v>
      </c>
      <c r="E196" s="232" t="s">
        <v>22</v>
      </c>
      <c r="F196" s="232" t="s">
        <v>23</v>
      </c>
      <c r="G196" s="234" t="s">
        <v>763</v>
      </c>
      <c r="H196" s="233">
        <v>9422225589</v>
      </c>
      <c r="I196" s="264"/>
      <c r="J196" s="258" t="s">
        <v>47</v>
      </c>
      <c r="K196" s="234" t="s">
        <v>764</v>
      </c>
      <c r="L196" s="232" t="s">
        <v>117</v>
      </c>
      <c r="M196" s="232" t="s">
        <v>77</v>
      </c>
      <c r="N196" s="234"/>
      <c r="O196" s="234"/>
      <c r="P196" s="590"/>
      <c r="Q196" s="232"/>
      <c r="R196" s="475"/>
      <c r="S196" s="232"/>
      <c r="T196" s="731"/>
      <c r="U196" s="731"/>
      <c r="V196" s="263"/>
      <c r="W196" s="263"/>
      <c r="X196" s="263"/>
    </row>
    <row r="197" spans="1:24" ht="14.25" hidden="1" customHeight="1">
      <c r="A197" s="225">
        <f>ROW()-1</f>
        <v>196</v>
      </c>
      <c r="B197" s="476">
        <v>46134</v>
      </c>
      <c r="C197" s="234" t="s">
        <v>765</v>
      </c>
      <c r="D197" s="484" t="s">
        <v>81</v>
      </c>
      <c r="E197" s="232" t="s">
        <v>162</v>
      </c>
      <c r="F197" s="232" t="s">
        <v>23</v>
      </c>
      <c r="G197" s="232" t="s">
        <v>766</v>
      </c>
      <c r="H197" s="233">
        <v>9575311449</v>
      </c>
      <c r="I197" s="552" t="s">
        <v>767</v>
      </c>
      <c r="J197" s="488" t="s">
        <v>567</v>
      </c>
      <c r="K197" s="232" t="s">
        <v>672</v>
      </c>
      <c r="L197" s="232" t="s">
        <v>58</v>
      </c>
      <c r="M197" s="232" t="s">
        <v>50</v>
      </c>
      <c r="N197" s="234"/>
      <c r="O197" s="234"/>
      <c r="P197" s="590"/>
      <c r="Q197" s="232"/>
      <c r="R197" s="475"/>
      <c r="S197" s="232"/>
      <c r="T197" s="731"/>
      <c r="U197" s="731"/>
      <c r="V197" s="263"/>
      <c r="W197" s="263"/>
      <c r="X197" s="263"/>
    </row>
    <row r="198" spans="1:24" ht="14.25" hidden="1" customHeight="1">
      <c r="A198" s="225">
        <f>ROW()-1</f>
        <v>197</v>
      </c>
      <c r="B198" s="476">
        <v>46134</v>
      </c>
      <c r="C198" s="234" t="s">
        <v>768</v>
      </c>
      <c r="D198" s="242" t="s">
        <v>131</v>
      </c>
      <c r="E198" s="232" t="s">
        <v>22</v>
      </c>
      <c r="F198" s="232" t="s">
        <v>23</v>
      </c>
      <c r="G198" s="234" t="s">
        <v>769</v>
      </c>
      <c r="H198" s="233"/>
      <c r="I198" s="264" t="s">
        <v>770</v>
      </c>
      <c r="J198" s="257" t="s">
        <v>66</v>
      </c>
      <c r="K198" s="234" t="s">
        <v>771</v>
      </c>
      <c r="L198" s="232" t="s">
        <v>27</v>
      </c>
      <c r="M198" s="232" t="s">
        <v>40</v>
      </c>
      <c r="N198" s="234" t="s">
        <v>772</v>
      </c>
      <c r="O198" s="235">
        <v>46166</v>
      </c>
      <c r="P198" s="590">
        <v>1350000</v>
      </c>
      <c r="Q198" s="232" t="s">
        <v>70</v>
      </c>
      <c r="R198" s="475"/>
      <c r="S198" s="232"/>
      <c r="T198" s="731"/>
      <c r="U198" s="731"/>
      <c r="V198" s="263"/>
      <c r="W198" s="263"/>
      <c r="X198" s="263"/>
    </row>
    <row r="199" spans="1:24" ht="14.25" hidden="1" customHeight="1">
      <c r="A199" s="225">
        <f>ROW()-1</f>
        <v>198</v>
      </c>
      <c r="B199" s="476">
        <v>46134</v>
      </c>
      <c r="C199" s="234" t="s">
        <v>676</v>
      </c>
      <c r="D199" s="242" t="s">
        <v>293</v>
      </c>
      <c r="E199" s="232" t="s">
        <v>22</v>
      </c>
      <c r="F199" s="232" t="s">
        <v>60</v>
      </c>
      <c r="G199" s="234" t="s">
        <v>773</v>
      </c>
      <c r="H199" s="233">
        <v>8108989016</v>
      </c>
      <c r="I199" s="264" t="s">
        <v>774</v>
      </c>
      <c r="J199" s="257" t="s">
        <v>66</v>
      </c>
      <c r="K199" s="234" t="s">
        <v>775</v>
      </c>
      <c r="L199" s="232" t="s">
        <v>49</v>
      </c>
      <c r="M199" s="232" t="s">
        <v>40</v>
      </c>
      <c r="N199" s="234" t="s">
        <v>679</v>
      </c>
      <c r="O199" s="235">
        <v>46136</v>
      </c>
      <c r="P199" s="590">
        <v>336571</v>
      </c>
      <c r="Q199" s="232" t="s">
        <v>70</v>
      </c>
      <c r="R199" s="475"/>
      <c r="S199" s="232"/>
      <c r="T199" s="731"/>
      <c r="U199" s="731"/>
      <c r="V199" s="263"/>
      <c r="W199" s="263"/>
      <c r="X199" s="263"/>
    </row>
    <row r="200" spans="1:24" ht="14.25" hidden="1" customHeight="1">
      <c r="A200" s="225">
        <f>ROW()-1</f>
        <v>199</v>
      </c>
      <c r="B200" s="476">
        <v>46134</v>
      </c>
      <c r="C200" s="234" t="s">
        <v>776</v>
      </c>
      <c r="D200" s="242" t="s">
        <v>730</v>
      </c>
      <c r="E200" s="232" t="s">
        <v>730</v>
      </c>
      <c r="F200" s="232" t="s">
        <v>23</v>
      </c>
      <c r="G200" s="234" t="s">
        <v>777</v>
      </c>
      <c r="H200" s="233">
        <v>7042455665</v>
      </c>
      <c r="I200" s="480" t="s">
        <v>139</v>
      </c>
      <c r="J200" s="483" t="s">
        <v>63</v>
      </c>
      <c r="K200" s="234" t="s">
        <v>637</v>
      </c>
      <c r="L200" s="232" t="s">
        <v>49</v>
      </c>
      <c r="M200" s="232" t="s">
        <v>50</v>
      </c>
      <c r="N200" s="234"/>
      <c r="O200" s="234"/>
      <c r="P200" s="590"/>
      <c r="Q200" s="232"/>
      <c r="R200" s="475"/>
      <c r="S200" s="232"/>
      <c r="T200" s="731"/>
      <c r="U200" s="731"/>
      <c r="V200" s="263"/>
      <c r="W200" s="263"/>
      <c r="X200" s="263"/>
    </row>
    <row r="201" spans="1:24" ht="14.25" hidden="1" customHeight="1">
      <c r="A201" s="225">
        <f>ROW()-1</f>
        <v>200</v>
      </c>
      <c r="B201" s="471">
        <v>46134</v>
      </c>
      <c r="C201" s="238" t="s">
        <v>778</v>
      </c>
      <c r="D201" s="486" t="s">
        <v>779</v>
      </c>
      <c r="E201" s="236" t="s">
        <v>390</v>
      </c>
      <c r="F201" s="236" t="s">
        <v>44</v>
      </c>
      <c r="G201" s="236" t="s">
        <v>780</v>
      </c>
      <c r="H201" s="237">
        <v>9246611205</v>
      </c>
      <c r="I201" s="236" t="s">
        <v>781</v>
      </c>
      <c r="J201" s="483" t="s">
        <v>63</v>
      </c>
      <c r="K201" s="236" t="s">
        <v>684</v>
      </c>
      <c r="L201" s="236" t="s">
        <v>58</v>
      </c>
      <c r="M201" s="236" t="s">
        <v>50</v>
      </c>
      <c r="N201" s="238"/>
      <c r="O201" s="238"/>
      <c r="P201" s="589"/>
      <c r="Q201" s="236"/>
      <c r="R201" s="475"/>
      <c r="S201" s="236"/>
      <c r="T201" s="731"/>
      <c r="U201" s="731"/>
      <c r="V201" s="263"/>
      <c r="W201" s="263"/>
      <c r="X201" s="263"/>
    </row>
    <row r="202" spans="1:24" ht="14.25" hidden="1" customHeight="1">
      <c r="A202" s="225">
        <f>ROW()-1</f>
        <v>201</v>
      </c>
      <c r="B202" s="471">
        <v>46134</v>
      </c>
      <c r="C202" s="238" t="s">
        <v>782</v>
      </c>
      <c r="D202" s="486" t="s">
        <v>783</v>
      </c>
      <c r="E202" s="236" t="s">
        <v>205</v>
      </c>
      <c r="F202" s="236" t="s">
        <v>73</v>
      </c>
      <c r="G202" s="236" t="s">
        <v>784</v>
      </c>
      <c r="H202" s="237">
        <v>9901502116</v>
      </c>
      <c r="I202" s="236" t="s">
        <v>687</v>
      </c>
      <c r="J202" s="485" t="s">
        <v>171</v>
      </c>
      <c r="K202" s="236" t="s">
        <v>785</v>
      </c>
      <c r="L202" s="236" t="s">
        <v>58</v>
      </c>
      <c r="M202" s="236" t="s">
        <v>50</v>
      </c>
      <c r="N202" s="238"/>
      <c r="O202" s="238"/>
      <c r="P202" s="589"/>
      <c r="Q202" s="236"/>
      <c r="R202" s="475"/>
      <c r="S202" s="236"/>
      <c r="T202" s="731"/>
      <c r="U202" s="731"/>
      <c r="V202" s="263"/>
      <c r="W202" s="263"/>
      <c r="X202" s="263"/>
    </row>
    <row r="203" spans="1:24" ht="14.25" hidden="1" customHeight="1">
      <c r="A203" s="225">
        <f>ROW()-1</f>
        <v>202</v>
      </c>
      <c r="B203" s="471">
        <v>46134</v>
      </c>
      <c r="C203" s="238" t="s">
        <v>786</v>
      </c>
      <c r="D203" s="486" t="s">
        <v>690</v>
      </c>
      <c r="E203" s="236" t="s">
        <v>193</v>
      </c>
      <c r="F203" s="236" t="s">
        <v>73</v>
      </c>
      <c r="G203" s="236" t="s">
        <v>787</v>
      </c>
      <c r="H203" s="237">
        <v>9408382283</v>
      </c>
      <c r="I203" s="236" t="s">
        <v>788</v>
      </c>
      <c r="J203" s="483" t="s">
        <v>63</v>
      </c>
      <c r="K203" s="236" t="s">
        <v>789</v>
      </c>
      <c r="L203" s="236" t="s">
        <v>58</v>
      </c>
      <c r="M203" s="236" t="s">
        <v>50</v>
      </c>
      <c r="N203" s="238"/>
      <c r="O203" s="238"/>
      <c r="P203" s="589"/>
      <c r="Q203" s="236"/>
      <c r="R203" s="475"/>
      <c r="S203" s="236"/>
      <c r="T203" s="731"/>
      <c r="U203" s="731"/>
      <c r="V203" s="263"/>
      <c r="W203" s="263"/>
      <c r="X203" s="263"/>
    </row>
    <row r="204" spans="1:24" ht="14.25" hidden="1" customHeight="1">
      <c r="A204" s="225">
        <f>ROW()-1</f>
        <v>203</v>
      </c>
      <c r="B204" s="471">
        <v>46134</v>
      </c>
      <c r="C204" s="238" t="s">
        <v>790</v>
      </c>
      <c r="D204" s="240" t="s">
        <v>21</v>
      </c>
      <c r="E204" s="236" t="s">
        <v>22</v>
      </c>
      <c r="F204" s="236" t="s">
        <v>60</v>
      </c>
      <c r="G204" s="236" t="s">
        <v>791</v>
      </c>
      <c r="H204" s="237">
        <v>7720050063</v>
      </c>
      <c r="I204" s="255" t="s">
        <v>792</v>
      </c>
      <c r="J204" s="257" t="s">
        <v>66</v>
      </c>
      <c r="K204" s="238" t="s">
        <v>694</v>
      </c>
      <c r="L204" s="236" t="s">
        <v>27</v>
      </c>
      <c r="M204" s="236" t="s">
        <v>40</v>
      </c>
      <c r="N204" s="238" t="s">
        <v>793</v>
      </c>
      <c r="O204" s="239">
        <v>46137</v>
      </c>
      <c r="P204" s="589">
        <v>88995</v>
      </c>
      <c r="Q204" s="236" t="s">
        <v>302</v>
      </c>
      <c r="R204" s="475"/>
      <c r="S204" s="236"/>
      <c r="T204" s="731"/>
      <c r="U204" s="731"/>
      <c r="V204" s="263"/>
      <c r="W204" s="263"/>
      <c r="X204" s="263"/>
    </row>
    <row r="205" spans="1:24" ht="14.25" hidden="1" customHeight="1">
      <c r="A205" s="225">
        <f>ROW()-1</f>
        <v>204</v>
      </c>
      <c r="B205" s="471">
        <v>46134</v>
      </c>
      <c r="C205" s="238" t="s">
        <v>794</v>
      </c>
      <c r="D205" s="240" t="s">
        <v>795</v>
      </c>
      <c r="E205" s="236" t="s">
        <v>162</v>
      </c>
      <c r="F205" s="236" t="s">
        <v>23</v>
      </c>
      <c r="G205" s="238" t="s">
        <v>796</v>
      </c>
      <c r="H205" s="237">
        <v>8839945306</v>
      </c>
      <c r="I205" s="255" t="s">
        <v>797</v>
      </c>
      <c r="J205" s="257" t="s">
        <v>66</v>
      </c>
      <c r="K205" s="238" t="s">
        <v>698</v>
      </c>
      <c r="L205" s="236" t="s">
        <v>49</v>
      </c>
      <c r="M205" s="236" t="s">
        <v>50</v>
      </c>
      <c r="N205" s="238" t="s">
        <v>798</v>
      </c>
      <c r="O205" s="239">
        <v>46140</v>
      </c>
      <c r="P205" s="589">
        <v>290000</v>
      </c>
      <c r="Q205" s="236" t="s">
        <v>70</v>
      </c>
      <c r="R205" s="475"/>
      <c r="S205" s="236"/>
      <c r="T205" s="731"/>
      <c r="U205" s="731"/>
      <c r="V205" s="263"/>
      <c r="W205" s="263"/>
      <c r="X205" s="263"/>
    </row>
    <row r="206" spans="1:24" ht="14.25" hidden="1" customHeight="1">
      <c r="A206" s="225">
        <f>ROW()-1</f>
        <v>205</v>
      </c>
      <c r="B206" s="476">
        <v>46134</v>
      </c>
      <c r="C206" s="234" t="s">
        <v>799</v>
      </c>
      <c r="D206" s="484" t="s">
        <v>701</v>
      </c>
      <c r="E206" s="232" t="s">
        <v>272</v>
      </c>
      <c r="F206" s="232" t="s">
        <v>59</v>
      </c>
      <c r="G206" s="232" t="s">
        <v>800</v>
      </c>
      <c r="H206" s="233">
        <v>9814400031</v>
      </c>
      <c r="I206" s="232"/>
      <c r="J206" s="481" t="s">
        <v>122</v>
      </c>
      <c r="K206" s="232" t="s">
        <v>801</v>
      </c>
      <c r="L206" s="232" t="s">
        <v>58</v>
      </c>
      <c r="M206" s="232" t="s">
        <v>50</v>
      </c>
      <c r="N206" s="234"/>
      <c r="O206" s="234"/>
      <c r="P206" s="590"/>
      <c r="Q206" s="232"/>
      <c r="R206" s="475"/>
      <c r="S206" s="232"/>
      <c r="T206" s="731"/>
      <c r="U206" s="731"/>
      <c r="V206" s="263"/>
      <c r="W206" s="263"/>
      <c r="X206" s="263"/>
    </row>
    <row r="207" spans="1:24" ht="14.25" hidden="1" customHeight="1">
      <c r="A207" s="225">
        <f>ROW()-1</f>
        <v>206</v>
      </c>
      <c r="B207" s="476">
        <v>46134</v>
      </c>
      <c r="C207" s="234" t="s">
        <v>802</v>
      </c>
      <c r="D207" s="484" t="s">
        <v>671</v>
      </c>
      <c r="E207" s="232" t="s">
        <v>385</v>
      </c>
      <c r="F207" s="232" t="s">
        <v>73</v>
      </c>
      <c r="G207" s="232" t="s">
        <v>803</v>
      </c>
      <c r="H207" s="233">
        <v>9827132700</v>
      </c>
      <c r="I207" s="232" t="s">
        <v>804</v>
      </c>
      <c r="J207" s="483" t="s">
        <v>63</v>
      </c>
      <c r="K207" s="232" t="s">
        <v>705</v>
      </c>
      <c r="L207" s="232" t="s">
        <v>58</v>
      </c>
      <c r="M207" s="232" t="s">
        <v>50</v>
      </c>
      <c r="N207" s="234"/>
      <c r="O207" s="234"/>
      <c r="P207" s="590"/>
      <c r="Q207" s="232"/>
      <c r="R207" s="475"/>
      <c r="S207" s="232"/>
      <c r="T207" s="731"/>
      <c r="U207" s="731"/>
      <c r="V207" s="263"/>
      <c r="W207" s="263"/>
      <c r="X207" s="263"/>
    </row>
    <row r="208" spans="1:24" ht="14.25" hidden="1" customHeight="1">
      <c r="A208" s="225">
        <f>ROW()-1</f>
        <v>207</v>
      </c>
      <c r="B208" s="471">
        <v>46134</v>
      </c>
      <c r="C208" s="238" t="s">
        <v>805</v>
      </c>
      <c r="D208" s="240" t="s">
        <v>131</v>
      </c>
      <c r="E208" s="236" t="s">
        <v>22</v>
      </c>
      <c r="F208" s="236" t="s">
        <v>60</v>
      </c>
      <c r="G208" s="238" t="s">
        <v>806</v>
      </c>
      <c r="H208" s="237">
        <v>7768999269</v>
      </c>
      <c r="I208" s="255" t="s">
        <v>807</v>
      </c>
      <c r="J208" s="619" t="s">
        <v>56</v>
      </c>
      <c r="K208" s="238" t="s">
        <v>808</v>
      </c>
      <c r="L208" s="236" t="s">
        <v>49</v>
      </c>
      <c r="M208" s="236" t="s">
        <v>40</v>
      </c>
      <c r="N208" s="238" t="s">
        <v>709</v>
      </c>
      <c r="O208" s="474">
        <v>46136</v>
      </c>
      <c r="P208" s="589">
        <v>144362</v>
      </c>
      <c r="Q208" s="236" t="s">
        <v>98</v>
      </c>
      <c r="R208" s="478"/>
      <c r="S208" s="236"/>
      <c r="T208" s="731"/>
      <c r="U208" s="731"/>
      <c r="V208" s="263"/>
      <c r="W208" s="263"/>
      <c r="X208" s="263"/>
    </row>
    <row r="209" spans="1:24" ht="14.25" hidden="1" customHeight="1">
      <c r="A209" s="225">
        <f>ROW()-1</f>
        <v>208</v>
      </c>
      <c r="B209" s="471">
        <v>46134</v>
      </c>
      <c r="C209" s="238" t="s">
        <v>809</v>
      </c>
      <c r="D209" s="240" t="s">
        <v>810</v>
      </c>
      <c r="E209" s="236" t="s">
        <v>595</v>
      </c>
      <c r="F209" s="236" t="s">
        <v>23</v>
      </c>
      <c r="G209" s="238" t="s">
        <v>267</v>
      </c>
      <c r="H209" s="237">
        <v>9836368489</v>
      </c>
      <c r="I209" s="255" t="s">
        <v>711</v>
      </c>
      <c r="J209" s="258" t="s">
        <v>47</v>
      </c>
      <c r="K209" s="238" t="s">
        <v>811</v>
      </c>
      <c r="L209" s="236" t="s">
        <v>49</v>
      </c>
      <c r="M209" s="236" t="s">
        <v>50</v>
      </c>
      <c r="N209" s="238"/>
      <c r="O209" s="238"/>
      <c r="P209" s="589"/>
      <c r="Q209" s="236"/>
      <c r="R209" s="475"/>
      <c r="S209" s="236"/>
      <c r="T209" s="731"/>
      <c r="U209" s="731"/>
      <c r="V209" s="263"/>
      <c r="W209" s="263"/>
      <c r="X209" s="263"/>
    </row>
    <row r="210" spans="1:24" ht="14.25" hidden="1" customHeight="1">
      <c r="A210" s="225">
        <f>ROW()-1</f>
        <v>209</v>
      </c>
      <c r="B210" s="476">
        <v>46134</v>
      </c>
      <c r="C210" s="234" t="s">
        <v>713</v>
      </c>
      <c r="D210" s="484" t="s">
        <v>293</v>
      </c>
      <c r="E210" s="232" t="s">
        <v>22</v>
      </c>
      <c r="F210" s="232" t="s">
        <v>73</v>
      </c>
      <c r="G210" s="232" t="s">
        <v>812</v>
      </c>
      <c r="H210" s="233">
        <v>9022281043</v>
      </c>
      <c r="I210" s="232"/>
      <c r="J210" s="481" t="s">
        <v>122</v>
      </c>
      <c r="K210" s="232" t="s">
        <v>813</v>
      </c>
      <c r="L210" s="232" t="s">
        <v>58</v>
      </c>
      <c r="M210" s="232" t="s">
        <v>50</v>
      </c>
      <c r="N210" s="234"/>
      <c r="O210" s="234"/>
      <c r="P210" s="590"/>
      <c r="Q210" s="232"/>
      <c r="R210" s="475"/>
      <c r="S210" s="232"/>
      <c r="T210" s="731"/>
      <c r="U210" s="731"/>
      <c r="V210" s="263"/>
      <c r="W210" s="263"/>
      <c r="X210" s="263"/>
    </row>
    <row r="211" spans="1:24" ht="14.25" hidden="1" customHeight="1">
      <c r="A211" s="225">
        <f>ROW()-1</f>
        <v>210</v>
      </c>
      <c r="B211" s="476">
        <v>46134</v>
      </c>
      <c r="C211" s="234" t="s">
        <v>814</v>
      </c>
      <c r="D211" s="242" t="s">
        <v>131</v>
      </c>
      <c r="E211" s="232" t="s">
        <v>22</v>
      </c>
      <c r="F211" s="232" t="s">
        <v>23</v>
      </c>
      <c r="G211" s="234" t="s">
        <v>23</v>
      </c>
      <c r="H211" s="233">
        <v>7263025740</v>
      </c>
      <c r="I211" s="264" t="s">
        <v>815</v>
      </c>
      <c r="J211" s="258" t="s">
        <v>47</v>
      </c>
      <c r="K211" s="234" t="s">
        <v>139</v>
      </c>
      <c r="L211" s="232" t="s">
        <v>49</v>
      </c>
      <c r="M211" s="232" t="s">
        <v>50</v>
      </c>
      <c r="N211" s="234"/>
      <c r="O211" s="477"/>
      <c r="P211" s="590"/>
      <c r="Q211" s="232"/>
      <c r="R211" s="475"/>
      <c r="S211" s="232"/>
      <c r="T211" s="731"/>
      <c r="U211" s="731"/>
      <c r="V211" s="263"/>
      <c r="W211" s="263"/>
      <c r="X211" s="263"/>
    </row>
    <row r="212" spans="1:24" ht="14.25" hidden="1" customHeight="1">
      <c r="A212" s="225">
        <f>ROW()-1</f>
        <v>211</v>
      </c>
      <c r="B212" s="471">
        <v>46135</v>
      </c>
      <c r="C212" s="238" t="s">
        <v>816</v>
      </c>
      <c r="D212" s="240"/>
      <c r="E212" s="236" t="s">
        <v>59</v>
      </c>
      <c r="F212" s="236" t="s">
        <v>60</v>
      </c>
      <c r="G212" s="236" t="s">
        <v>817</v>
      </c>
      <c r="H212" s="237"/>
      <c r="I212" s="255"/>
      <c r="J212" s="267" t="s">
        <v>122</v>
      </c>
      <c r="K212" s="236" t="s">
        <v>717</v>
      </c>
      <c r="L212" s="236" t="s">
        <v>58</v>
      </c>
      <c r="M212" s="236" t="s">
        <v>40</v>
      </c>
      <c r="N212" s="238"/>
      <c r="O212" s="238"/>
      <c r="P212" s="589"/>
      <c r="Q212" s="236"/>
      <c r="R212" s="475"/>
      <c r="S212" s="236"/>
      <c r="T212" s="731"/>
      <c r="U212" s="731"/>
      <c r="V212" s="263"/>
      <c r="W212" s="263"/>
      <c r="X212" s="263"/>
    </row>
    <row r="213" spans="1:24" ht="14.25" hidden="1" customHeight="1">
      <c r="A213" s="225">
        <f>ROW()-1</f>
        <v>212</v>
      </c>
      <c r="B213" s="476">
        <v>46135</v>
      </c>
      <c r="C213" s="234" t="s">
        <v>816</v>
      </c>
      <c r="D213" s="242"/>
      <c r="E213" s="232"/>
      <c r="F213" s="232" t="s">
        <v>60</v>
      </c>
      <c r="G213" s="232" t="s">
        <v>818</v>
      </c>
      <c r="H213" s="233">
        <v>8212891788</v>
      </c>
      <c r="I213" s="264"/>
      <c r="J213" s="267" t="s">
        <v>122</v>
      </c>
      <c r="K213" s="234"/>
      <c r="L213" s="232" t="s">
        <v>58</v>
      </c>
      <c r="M213" s="232" t="s">
        <v>40</v>
      </c>
      <c r="N213" s="234"/>
      <c r="O213" s="234"/>
      <c r="P213" s="590"/>
      <c r="Q213" s="232"/>
      <c r="R213" s="475"/>
      <c r="S213" s="232"/>
      <c r="T213" s="731"/>
      <c r="U213" s="731"/>
      <c r="V213" s="263"/>
      <c r="W213" s="263"/>
      <c r="X213" s="263"/>
    </row>
    <row r="214" spans="1:24" ht="14.25" hidden="1" customHeight="1">
      <c r="A214" s="225">
        <f>ROW()-1</f>
        <v>213</v>
      </c>
      <c r="B214" s="476">
        <v>46136</v>
      </c>
      <c r="C214" s="234" t="s">
        <v>819</v>
      </c>
      <c r="D214" s="242"/>
      <c r="E214" s="232"/>
      <c r="F214" s="232" t="s">
        <v>23</v>
      </c>
      <c r="G214" s="232" t="s">
        <v>820</v>
      </c>
      <c r="H214" s="233">
        <v>9607994930</v>
      </c>
      <c r="I214" s="552" t="s">
        <v>821</v>
      </c>
      <c r="J214" s="488" t="s">
        <v>567</v>
      </c>
      <c r="K214" s="234"/>
      <c r="L214" s="232" t="s">
        <v>58</v>
      </c>
      <c r="M214" s="232" t="s">
        <v>50</v>
      </c>
      <c r="N214" s="234"/>
      <c r="O214" s="234"/>
      <c r="P214" s="590"/>
      <c r="Q214" s="232"/>
      <c r="R214" s="475"/>
      <c r="S214" s="232"/>
      <c r="T214" s="731"/>
      <c r="U214" s="731"/>
      <c r="V214" s="263"/>
      <c r="W214" s="263"/>
      <c r="X214" s="263"/>
    </row>
    <row r="215" spans="1:24" ht="14.25" hidden="1" customHeight="1">
      <c r="A215" s="225">
        <f>ROW()-1</f>
        <v>214</v>
      </c>
      <c r="B215" s="471">
        <v>46136</v>
      </c>
      <c r="C215" s="236" t="s">
        <v>819</v>
      </c>
      <c r="D215" s="486"/>
      <c r="E215" s="236"/>
      <c r="F215" s="236" t="s">
        <v>23</v>
      </c>
      <c r="G215" s="236" t="s">
        <v>822</v>
      </c>
      <c r="H215" s="237">
        <v>9607994930</v>
      </c>
      <c r="I215" s="236" t="s">
        <v>821</v>
      </c>
      <c r="J215" s="258" t="s">
        <v>47</v>
      </c>
      <c r="K215" s="236" t="s">
        <v>823</v>
      </c>
      <c r="L215" s="236" t="s">
        <v>58</v>
      </c>
      <c r="M215" s="236" t="s">
        <v>50</v>
      </c>
      <c r="N215" s="238"/>
      <c r="O215" s="238"/>
      <c r="P215" s="589"/>
      <c r="Q215" s="236"/>
      <c r="R215" s="475"/>
      <c r="S215" s="236"/>
      <c r="T215" s="731"/>
      <c r="U215" s="731"/>
      <c r="V215" s="263"/>
      <c r="W215" s="263"/>
      <c r="X215" s="263"/>
    </row>
    <row r="216" spans="1:24" ht="14.25" hidden="1" customHeight="1">
      <c r="A216" s="225">
        <f>ROW()-1</f>
        <v>215</v>
      </c>
      <c r="B216" s="471">
        <v>46136</v>
      </c>
      <c r="C216" s="234" t="s">
        <v>71</v>
      </c>
      <c r="D216" s="240" t="s">
        <v>72</v>
      </c>
      <c r="E216" s="236" t="s">
        <v>22</v>
      </c>
      <c r="F216" s="236" t="s">
        <v>23</v>
      </c>
      <c r="G216" s="238"/>
      <c r="H216" s="237">
        <v>9607994930</v>
      </c>
      <c r="I216" s="236" t="s">
        <v>821</v>
      </c>
      <c r="J216" s="258" t="s">
        <v>47</v>
      </c>
      <c r="K216" s="238"/>
      <c r="L216" s="236" t="s">
        <v>117</v>
      </c>
      <c r="M216" s="236" t="s">
        <v>40</v>
      </c>
      <c r="N216" s="238"/>
      <c r="O216" s="474"/>
      <c r="P216" s="589"/>
      <c r="Q216" s="236"/>
      <c r="R216" s="475"/>
      <c r="S216" s="236"/>
      <c r="T216" s="731"/>
      <c r="U216" s="731"/>
      <c r="V216" s="263"/>
      <c r="W216" s="263"/>
      <c r="X216" s="263"/>
    </row>
    <row r="217" spans="1:24" ht="14.25" hidden="1" customHeight="1">
      <c r="A217" s="225">
        <f>ROW()-1</f>
        <v>216</v>
      </c>
      <c r="B217" s="471">
        <v>46136</v>
      </c>
      <c r="C217" s="238" t="s">
        <v>824</v>
      </c>
      <c r="D217" s="240" t="s">
        <v>131</v>
      </c>
      <c r="E217" s="236" t="s">
        <v>22</v>
      </c>
      <c r="F217" s="236" t="s">
        <v>23</v>
      </c>
      <c r="G217" s="238" t="s">
        <v>825</v>
      </c>
      <c r="H217" s="237">
        <v>9881143133</v>
      </c>
      <c r="I217" s="255" t="s">
        <v>826</v>
      </c>
      <c r="J217" s="257" t="s">
        <v>66</v>
      </c>
      <c r="K217" s="238" t="s">
        <v>827</v>
      </c>
      <c r="L217" s="236" t="s">
        <v>49</v>
      </c>
      <c r="M217" s="236" t="s">
        <v>40</v>
      </c>
      <c r="N217" s="238" t="s">
        <v>828</v>
      </c>
      <c r="O217" s="239">
        <v>46142</v>
      </c>
      <c r="P217" s="589">
        <v>698500</v>
      </c>
      <c r="Q217" s="236" t="s">
        <v>119</v>
      </c>
      <c r="R217" s="475"/>
      <c r="S217" s="236"/>
      <c r="T217" s="731"/>
      <c r="U217" s="731"/>
      <c r="V217" s="263"/>
      <c r="W217" s="263"/>
      <c r="X217" s="263"/>
    </row>
    <row r="218" spans="1:24" ht="14.25" hidden="1" customHeight="1">
      <c r="A218" s="225">
        <f>ROW()-1</f>
        <v>217</v>
      </c>
      <c r="B218" s="476">
        <v>46136</v>
      </c>
      <c r="C218" s="234" t="s">
        <v>829</v>
      </c>
      <c r="D218" s="242" t="s">
        <v>548</v>
      </c>
      <c r="E218" s="232" t="s">
        <v>272</v>
      </c>
      <c r="F218" s="232" t="s">
        <v>23</v>
      </c>
      <c r="G218" s="234" t="s">
        <v>830</v>
      </c>
      <c r="H218" s="233">
        <v>9814053770</v>
      </c>
      <c r="I218" s="264" t="s">
        <v>831</v>
      </c>
      <c r="J218" s="739" t="s">
        <v>567</v>
      </c>
      <c r="K218" s="234" t="s">
        <v>832</v>
      </c>
      <c r="L218" s="232" t="s">
        <v>49</v>
      </c>
      <c r="M218" s="232" t="s">
        <v>40</v>
      </c>
      <c r="N218" s="234"/>
      <c r="O218" s="477"/>
      <c r="P218" s="590"/>
      <c r="Q218" s="232"/>
      <c r="R218" s="475"/>
      <c r="S218" s="232"/>
      <c r="T218" s="731"/>
      <c r="U218" s="731"/>
      <c r="V218" s="263"/>
      <c r="W218" s="263"/>
      <c r="X218" s="263"/>
    </row>
    <row r="219" spans="1:24" ht="14.25" hidden="1" customHeight="1">
      <c r="A219" s="225">
        <f>ROW()-1</f>
        <v>218</v>
      </c>
      <c r="B219" s="476">
        <v>46136</v>
      </c>
      <c r="C219" s="234" t="s">
        <v>726</v>
      </c>
      <c r="D219" s="484" t="s">
        <v>833</v>
      </c>
      <c r="E219" s="232" t="s">
        <v>82</v>
      </c>
      <c r="F219" s="232" t="s">
        <v>73</v>
      </c>
      <c r="G219" s="232" t="s">
        <v>834</v>
      </c>
      <c r="H219" s="233">
        <v>9380005085</v>
      </c>
      <c r="I219" s="232" t="s">
        <v>835</v>
      </c>
      <c r="J219" s="481" t="s">
        <v>122</v>
      </c>
      <c r="K219" s="234"/>
      <c r="L219" s="232" t="s">
        <v>58</v>
      </c>
      <c r="M219" s="232" t="s">
        <v>50</v>
      </c>
      <c r="N219" s="234"/>
      <c r="O219" s="234"/>
      <c r="P219" s="590"/>
      <c r="Q219" s="232"/>
      <c r="R219" s="475"/>
      <c r="S219" s="232"/>
      <c r="T219" s="731"/>
      <c r="U219" s="731"/>
      <c r="V219" s="263"/>
      <c r="W219" s="263"/>
      <c r="X219" s="263"/>
    </row>
    <row r="220" spans="1:24" ht="14.25" hidden="1" customHeight="1">
      <c r="A220" s="225">
        <f>ROW()-1</f>
        <v>219</v>
      </c>
      <c r="B220" s="471">
        <v>46136</v>
      </c>
      <c r="C220" s="236" t="s">
        <v>726</v>
      </c>
      <c r="D220" s="486" t="s">
        <v>833</v>
      </c>
      <c r="E220" s="236" t="s">
        <v>82</v>
      </c>
      <c r="F220" s="236" t="s">
        <v>73</v>
      </c>
      <c r="G220" s="236" t="s">
        <v>836</v>
      </c>
      <c r="H220" s="237">
        <v>9380005085</v>
      </c>
      <c r="I220" s="236" t="s">
        <v>835</v>
      </c>
      <c r="J220" s="258" t="s">
        <v>47</v>
      </c>
      <c r="K220" s="236" t="s">
        <v>837</v>
      </c>
      <c r="L220" s="236" t="s">
        <v>58</v>
      </c>
      <c r="M220" s="236" t="s">
        <v>50</v>
      </c>
      <c r="N220" s="238"/>
      <c r="O220" s="238"/>
      <c r="P220" s="589"/>
      <c r="Q220" s="236"/>
      <c r="R220" s="475"/>
      <c r="S220" s="236"/>
      <c r="T220" s="731"/>
      <c r="U220" s="731"/>
      <c r="V220" s="263"/>
      <c r="W220" s="263"/>
      <c r="X220" s="263"/>
    </row>
    <row r="221" spans="1:24" ht="14.25" hidden="1" customHeight="1">
      <c r="A221" s="225">
        <f>ROW()-1</f>
        <v>220</v>
      </c>
      <c r="B221" s="471">
        <v>46136</v>
      </c>
      <c r="C221" s="238" t="s">
        <v>838</v>
      </c>
      <c r="D221" s="486"/>
      <c r="E221" s="236" t="s">
        <v>205</v>
      </c>
      <c r="F221" s="236" t="s">
        <v>73</v>
      </c>
      <c r="G221" s="236" t="s">
        <v>273</v>
      </c>
      <c r="H221" s="237">
        <v>9686723314</v>
      </c>
      <c r="I221" s="255"/>
      <c r="J221" s="488" t="s">
        <v>567</v>
      </c>
      <c r="K221" s="238"/>
      <c r="L221" s="236" t="s">
        <v>58</v>
      </c>
      <c r="M221" s="236" t="s">
        <v>50</v>
      </c>
      <c r="N221" s="238"/>
      <c r="O221" s="238"/>
      <c r="P221" s="589"/>
      <c r="Q221" s="236"/>
      <c r="R221" s="475"/>
      <c r="S221" s="236"/>
      <c r="T221" s="731"/>
      <c r="U221" s="731"/>
      <c r="V221" s="263"/>
      <c r="W221" s="263"/>
      <c r="X221" s="263"/>
    </row>
    <row r="222" spans="1:24" ht="14.25" hidden="1" customHeight="1">
      <c r="A222" s="225">
        <f>ROW()-1</f>
        <v>221</v>
      </c>
      <c r="B222" s="476">
        <v>46136</v>
      </c>
      <c r="C222" s="232" t="s">
        <v>838</v>
      </c>
      <c r="D222" s="484"/>
      <c r="E222" s="232" t="s">
        <v>205</v>
      </c>
      <c r="F222" s="232" t="s">
        <v>73</v>
      </c>
      <c r="G222" s="232" t="s">
        <v>591</v>
      </c>
      <c r="H222" s="233">
        <v>9686723314</v>
      </c>
      <c r="I222" s="232"/>
      <c r="J222" s="258" t="s">
        <v>47</v>
      </c>
      <c r="K222" s="232"/>
      <c r="L222" s="232" t="s">
        <v>58</v>
      </c>
      <c r="M222" s="232" t="s">
        <v>50</v>
      </c>
      <c r="N222" s="234"/>
      <c r="O222" s="234"/>
      <c r="P222" s="590"/>
      <c r="Q222" s="232"/>
      <c r="R222" s="475"/>
      <c r="S222" s="232"/>
      <c r="T222" s="731"/>
      <c r="U222" s="731"/>
      <c r="V222" s="263"/>
      <c r="W222" s="263"/>
      <c r="X222" s="263"/>
    </row>
    <row r="223" spans="1:24" ht="14.25" hidden="1" customHeight="1">
      <c r="A223" s="225">
        <f>ROW()-1</f>
        <v>222</v>
      </c>
      <c r="B223" s="471">
        <v>46136</v>
      </c>
      <c r="C223" s="238" t="s">
        <v>731</v>
      </c>
      <c r="D223" s="240" t="s">
        <v>237</v>
      </c>
      <c r="E223" s="236" t="s">
        <v>143</v>
      </c>
      <c r="F223" s="236" t="s">
        <v>73</v>
      </c>
      <c r="G223" s="238" t="s">
        <v>839</v>
      </c>
      <c r="H223" s="237">
        <v>9686723314</v>
      </c>
      <c r="I223" s="480" t="s">
        <v>139</v>
      </c>
      <c r="J223" s="481" t="s">
        <v>122</v>
      </c>
      <c r="K223" s="238" t="s">
        <v>840</v>
      </c>
      <c r="L223" s="236" t="s">
        <v>49</v>
      </c>
      <c r="M223" s="236" t="s">
        <v>50</v>
      </c>
      <c r="N223" s="238"/>
      <c r="O223" s="493"/>
      <c r="P223" s="589"/>
      <c r="Q223" s="236"/>
      <c r="R223" s="475"/>
      <c r="S223" s="236"/>
      <c r="T223" s="731"/>
      <c r="U223" s="731"/>
      <c r="V223" s="263"/>
      <c r="W223" s="263"/>
      <c r="X223" s="263"/>
    </row>
    <row r="224" spans="1:24" ht="14.25" hidden="1" customHeight="1">
      <c r="A224" s="225">
        <f>ROW()-1</f>
        <v>223</v>
      </c>
      <c r="B224" s="476">
        <v>46136</v>
      </c>
      <c r="C224" s="234" t="s">
        <v>841</v>
      </c>
      <c r="D224" s="242" t="s">
        <v>733</v>
      </c>
      <c r="E224" s="232" t="s">
        <v>22</v>
      </c>
      <c r="F224" s="232" t="s">
        <v>59</v>
      </c>
      <c r="G224" s="234" t="s">
        <v>842</v>
      </c>
      <c r="H224" s="233">
        <v>7302444994</v>
      </c>
      <c r="I224" s="264" t="s">
        <v>843</v>
      </c>
      <c r="J224" s="257" t="s">
        <v>66</v>
      </c>
      <c r="K224" s="234" t="s">
        <v>844</v>
      </c>
      <c r="L224" s="232" t="s">
        <v>117</v>
      </c>
      <c r="M224" s="232" t="s">
        <v>28</v>
      </c>
      <c r="N224" s="234" t="s">
        <v>736</v>
      </c>
      <c r="O224" s="235">
        <v>46138</v>
      </c>
      <c r="P224" s="590">
        <v>345956</v>
      </c>
      <c r="Q224" s="232" t="s">
        <v>70</v>
      </c>
      <c r="R224" s="475"/>
      <c r="S224" s="232"/>
      <c r="T224" s="731"/>
      <c r="U224" s="731"/>
      <c r="V224" s="263"/>
      <c r="W224" s="263"/>
      <c r="X224" s="263"/>
    </row>
    <row r="225" spans="1:24" ht="14.25" hidden="1" customHeight="1">
      <c r="A225" s="225">
        <f>ROW()-1</f>
        <v>224</v>
      </c>
      <c r="B225" s="471">
        <v>46137</v>
      </c>
      <c r="C225" s="238" t="s">
        <v>845</v>
      </c>
      <c r="D225" s="240" t="s">
        <v>131</v>
      </c>
      <c r="E225" s="236" t="s">
        <v>22</v>
      </c>
      <c r="F225" s="236" t="s">
        <v>60</v>
      </c>
      <c r="G225" s="238" t="s">
        <v>180</v>
      </c>
      <c r="H225" s="237">
        <v>9834333102</v>
      </c>
      <c r="I225" s="255" t="s">
        <v>846</v>
      </c>
      <c r="J225" s="483" t="s">
        <v>63</v>
      </c>
      <c r="K225" s="238" t="s">
        <v>387</v>
      </c>
      <c r="L225" s="236" t="s">
        <v>49</v>
      </c>
      <c r="M225" s="232" t="s">
        <v>40</v>
      </c>
      <c r="N225" s="238"/>
      <c r="O225" s="474"/>
      <c r="P225" s="589"/>
      <c r="Q225" s="236"/>
      <c r="R225" s="475"/>
      <c r="S225" s="236"/>
      <c r="T225" s="731"/>
      <c r="U225" s="731"/>
      <c r="V225" s="263"/>
      <c r="W225" s="263"/>
      <c r="X225" s="263"/>
    </row>
    <row r="226" spans="1:24" ht="14.25" hidden="1" customHeight="1">
      <c r="A226" s="225">
        <f>ROW()-1</f>
        <v>225</v>
      </c>
      <c r="B226" s="471">
        <v>46137</v>
      </c>
      <c r="C226" s="238" t="s">
        <v>847</v>
      </c>
      <c r="D226" s="240"/>
      <c r="E226" s="236" t="s">
        <v>193</v>
      </c>
      <c r="F226" s="236" t="s">
        <v>23</v>
      </c>
      <c r="G226" s="238" t="s">
        <v>848</v>
      </c>
      <c r="H226" s="237">
        <v>7879639014</v>
      </c>
      <c r="I226" s="255" t="s">
        <v>849</v>
      </c>
      <c r="J226" s="257" t="s">
        <v>66</v>
      </c>
      <c r="K226" s="238" t="s">
        <v>850</v>
      </c>
      <c r="L226" s="232" t="s">
        <v>49</v>
      </c>
      <c r="M226" s="236" t="s">
        <v>50</v>
      </c>
      <c r="N226" s="238" t="s">
        <v>851</v>
      </c>
      <c r="O226" s="239">
        <v>46138</v>
      </c>
      <c r="P226" s="589">
        <v>525000</v>
      </c>
      <c r="Q226" s="236" t="s">
        <v>70</v>
      </c>
      <c r="R226" s="475"/>
      <c r="S226" s="236"/>
      <c r="T226" s="731"/>
      <c r="U226" s="731"/>
      <c r="V226" s="263"/>
      <c r="W226" s="263"/>
      <c r="X226" s="263"/>
    </row>
    <row r="227" spans="1:24" ht="14.25" hidden="1" customHeight="1">
      <c r="A227" s="225">
        <f>ROW()-1</f>
        <v>226</v>
      </c>
      <c r="B227" s="471">
        <v>46137</v>
      </c>
      <c r="C227" s="238" t="s">
        <v>742</v>
      </c>
      <c r="D227" s="240" t="s">
        <v>655</v>
      </c>
      <c r="E227" s="236" t="s">
        <v>205</v>
      </c>
      <c r="F227" s="236" t="s">
        <v>83</v>
      </c>
      <c r="G227" s="238" t="s">
        <v>852</v>
      </c>
      <c r="H227" s="237">
        <v>8572039025</v>
      </c>
      <c r="I227" s="255" t="s">
        <v>853</v>
      </c>
      <c r="J227" s="258" t="s">
        <v>47</v>
      </c>
      <c r="K227" s="238" t="s">
        <v>854</v>
      </c>
      <c r="L227" s="236" t="s">
        <v>49</v>
      </c>
      <c r="M227" s="236" t="s">
        <v>28</v>
      </c>
      <c r="N227" s="238"/>
      <c r="O227" s="238"/>
      <c r="P227" s="589"/>
      <c r="Q227" s="236"/>
      <c r="R227" s="475"/>
      <c r="S227" s="236"/>
      <c r="T227" s="731"/>
      <c r="U227" s="731"/>
      <c r="V227" s="263"/>
      <c r="W227" s="263"/>
      <c r="X227" s="263"/>
    </row>
    <row r="228" spans="1:24" ht="14.25" hidden="1" customHeight="1">
      <c r="A228" s="225">
        <f>ROW()-1</f>
        <v>227</v>
      </c>
      <c r="B228" s="471">
        <v>46137</v>
      </c>
      <c r="C228" s="238" t="s">
        <v>855</v>
      </c>
      <c r="D228" s="486" t="s">
        <v>747</v>
      </c>
      <c r="E228" s="236" t="s">
        <v>82</v>
      </c>
      <c r="F228" s="236" t="s">
        <v>23</v>
      </c>
      <c r="G228" s="236" t="s">
        <v>856</v>
      </c>
      <c r="H228" s="237">
        <v>9843619971</v>
      </c>
      <c r="I228" s="255"/>
      <c r="J228" s="488" t="s">
        <v>567</v>
      </c>
      <c r="K228" s="236" t="s">
        <v>857</v>
      </c>
      <c r="L228" s="236" t="s">
        <v>58</v>
      </c>
      <c r="M228" s="236" t="s">
        <v>50</v>
      </c>
      <c r="N228" s="238"/>
      <c r="O228" s="474"/>
      <c r="P228" s="589"/>
      <c r="Q228" s="236"/>
      <c r="R228" s="475"/>
      <c r="S228" s="236"/>
      <c r="T228" s="731"/>
      <c r="U228" s="731"/>
      <c r="V228" s="263"/>
      <c r="W228" s="263"/>
      <c r="X228" s="263"/>
    </row>
    <row r="229" spans="1:24" ht="14.25" hidden="1" customHeight="1">
      <c r="A229" s="225">
        <f>ROW()-1</f>
        <v>228</v>
      </c>
      <c r="B229" s="476">
        <v>46137</v>
      </c>
      <c r="C229" s="232" t="s">
        <v>855</v>
      </c>
      <c r="D229" s="484" t="s">
        <v>747</v>
      </c>
      <c r="E229" s="232" t="s">
        <v>82</v>
      </c>
      <c r="F229" s="232" t="s">
        <v>23</v>
      </c>
      <c r="G229" s="232" t="s">
        <v>856</v>
      </c>
      <c r="H229" s="233">
        <v>9843619971</v>
      </c>
      <c r="I229" s="552"/>
      <c r="J229" s="258" t="s">
        <v>47</v>
      </c>
      <c r="K229" s="232" t="s">
        <v>857</v>
      </c>
      <c r="L229" s="232" t="s">
        <v>58</v>
      </c>
      <c r="M229" s="232" t="s">
        <v>50</v>
      </c>
      <c r="N229" s="234"/>
      <c r="O229" s="477"/>
      <c r="P229" s="590"/>
      <c r="Q229" s="232"/>
      <c r="R229" s="475"/>
      <c r="S229" s="232"/>
      <c r="T229" s="731"/>
      <c r="U229" s="731"/>
      <c r="V229" s="263"/>
      <c r="W229" s="263"/>
      <c r="X229" s="263"/>
    </row>
    <row r="230" spans="1:24" ht="14.25" hidden="1" customHeight="1">
      <c r="A230" s="225">
        <f>ROW()-1</f>
        <v>229</v>
      </c>
      <c r="B230" s="476">
        <v>46137</v>
      </c>
      <c r="C230" s="234" t="s">
        <v>858</v>
      </c>
      <c r="D230" s="242" t="s">
        <v>859</v>
      </c>
      <c r="E230" s="232" t="s">
        <v>22</v>
      </c>
      <c r="F230" s="232" t="s">
        <v>73</v>
      </c>
      <c r="G230" s="234" t="s">
        <v>860</v>
      </c>
      <c r="H230" s="233">
        <v>7720076132</v>
      </c>
      <c r="I230" s="264" t="s">
        <v>861</v>
      </c>
      <c r="J230" s="267" t="s">
        <v>86</v>
      </c>
      <c r="K230" s="234" t="s">
        <v>862</v>
      </c>
      <c r="L230" s="232" t="s">
        <v>74</v>
      </c>
      <c r="M230" s="232" t="s">
        <v>77</v>
      </c>
      <c r="N230" s="234" t="s">
        <v>863</v>
      </c>
      <c r="O230" s="235">
        <v>46144</v>
      </c>
      <c r="P230" s="590">
        <v>1644606.09</v>
      </c>
      <c r="Q230" s="270" t="s">
        <v>119</v>
      </c>
      <c r="R230" s="478"/>
      <c r="S230" s="232" t="s">
        <v>752</v>
      </c>
      <c r="T230" s="731"/>
      <c r="U230" s="731"/>
      <c r="V230" s="263"/>
      <c r="W230" s="263"/>
      <c r="X230" s="263"/>
    </row>
    <row r="231" spans="1:24" ht="14.25" hidden="1" customHeight="1">
      <c r="A231" s="225">
        <f>ROW()-1</f>
        <v>230</v>
      </c>
      <c r="B231" s="476">
        <v>46137</v>
      </c>
      <c r="C231" s="234" t="s">
        <v>864</v>
      </c>
      <c r="D231" s="242" t="s">
        <v>655</v>
      </c>
      <c r="E231" s="232" t="s">
        <v>205</v>
      </c>
      <c r="F231" s="232" t="s">
        <v>73</v>
      </c>
      <c r="G231" s="234" t="s">
        <v>865</v>
      </c>
      <c r="H231" s="233">
        <v>8277700089</v>
      </c>
      <c r="I231" s="264" t="s">
        <v>866</v>
      </c>
      <c r="J231" s="257" t="s">
        <v>66</v>
      </c>
      <c r="K231" s="234" t="s">
        <v>867</v>
      </c>
      <c r="L231" s="232" t="s">
        <v>27</v>
      </c>
      <c r="M231" s="232" t="s">
        <v>77</v>
      </c>
      <c r="N231" s="234" t="s">
        <v>868</v>
      </c>
      <c r="O231" s="235">
        <v>46136</v>
      </c>
      <c r="P231" s="590">
        <v>2413549</v>
      </c>
      <c r="Q231" s="232" t="s">
        <v>70</v>
      </c>
      <c r="R231" s="475"/>
      <c r="S231" s="232"/>
      <c r="T231" s="731"/>
      <c r="U231" s="731"/>
      <c r="V231" s="263"/>
      <c r="W231" s="263"/>
      <c r="X231" s="263"/>
    </row>
    <row r="232" spans="1:24" ht="14.25" hidden="1" customHeight="1">
      <c r="A232" s="225">
        <f>ROW()-1</f>
        <v>231</v>
      </c>
      <c r="B232" s="476">
        <v>46137</v>
      </c>
      <c r="C232" s="234" t="s">
        <v>756</v>
      </c>
      <c r="D232" s="242" t="s">
        <v>869</v>
      </c>
      <c r="E232" s="232" t="s">
        <v>22</v>
      </c>
      <c r="F232" s="232" t="s">
        <v>60</v>
      </c>
      <c r="G232" s="234" t="s">
        <v>180</v>
      </c>
      <c r="H232" s="233">
        <v>8600833030</v>
      </c>
      <c r="I232" s="264" t="s">
        <v>870</v>
      </c>
      <c r="J232" s="738" t="s">
        <v>63</v>
      </c>
      <c r="K232" s="234" t="s">
        <v>871</v>
      </c>
      <c r="L232" s="232" t="s">
        <v>49</v>
      </c>
      <c r="M232" s="232" t="s">
        <v>40</v>
      </c>
      <c r="N232" s="234"/>
      <c r="O232" s="234"/>
      <c r="P232" s="590"/>
      <c r="Q232" s="232"/>
      <c r="R232" s="475"/>
      <c r="S232" s="232"/>
      <c r="T232" s="731" t="s">
        <v>872</v>
      </c>
      <c r="U232" s="731"/>
      <c r="V232" s="263"/>
      <c r="W232" s="263"/>
      <c r="X232" s="263"/>
    </row>
    <row r="233" spans="1:24" ht="14.25" hidden="1" customHeight="1">
      <c r="A233" s="225">
        <f>ROW()-1</f>
        <v>232</v>
      </c>
      <c r="B233" s="471">
        <v>46137</v>
      </c>
      <c r="C233" s="238" t="s">
        <v>760</v>
      </c>
      <c r="D233" s="240" t="s">
        <v>873</v>
      </c>
      <c r="E233" s="236" t="s">
        <v>82</v>
      </c>
      <c r="F233" s="236" t="s">
        <v>73</v>
      </c>
      <c r="G233" s="238" t="s">
        <v>874</v>
      </c>
      <c r="H233" s="237">
        <v>7200444746</v>
      </c>
      <c r="I233" s="480" t="s">
        <v>139</v>
      </c>
      <c r="J233" s="483" t="s">
        <v>63</v>
      </c>
      <c r="K233" s="238" t="s">
        <v>760</v>
      </c>
      <c r="L233" s="236" t="s">
        <v>49</v>
      </c>
      <c r="M233" s="236" t="s">
        <v>50</v>
      </c>
      <c r="N233" s="238"/>
      <c r="O233" s="474"/>
      <c r="P233" s="589"/>
      <c r="Q233" s="236"/>
      <c r="R233" s="475"/>
      <c r="S233" s="236"/>
      <c r="T233" s="731"/>
      <c r="U233" s="731"/>
      <c r="V233" s="263"/>
      <c r="W233" s="263"/>
      <c r="X233" s="263"/>
    </row>
    <row r="234" spans="1:24" ht="14.25" hidden="1" customHeight="1">
      <c r="A234" s="225">
        <f>ROW()-1</f>
        <v>233</v>
      </c>
      <c r="B234" s="476">
        <v>46137</v>
      </c>
      <c r="C234" s="234" t="s">
        <v>875</v>
      </c>
      <c r="D234" s="484" t="s">
        <v>730</v>
      </c>
      <c r="E234" s="232" t="s">
        <v>730</v>
      </c>
      <c r="F234" s="232" t="s">
        <v>59</v>
      </c>
      <c r="G234" s="232" t="s">
        <v>876</v>
      </c>
      <c r="H234" s="233">
        <v>7988041988</v>
      </c>
      <c r="I234" s="264"/>
      <c r="J234" s="481" t="s">
        <v>122</v>
      </c>
      <c r="K234" s="232" t="s">
        <v>877</v>
      </c>
      <c r="L234" s="232" t="s">
        <v>58</v>
      </c>
      <c r="M234" s="232" t="s">
        <v>50</v>
      </c>
      <c r="N234" s="234"/>
      <c r="O234" s="477"/>
      <c r="P234" s="590"/>
      <c r="Q234" s="232"/>
      <c r="R234" s="475"/>
      <c r="S234" s="232"/>
      <c r="T234" s="731"/>
      <c r="U234" s="731"/>
      <c r="V234" s="263"/>
      <c r="W234" s="263"/>
      <c r="X234" s="263"/>
    </row>
    <row r="235" spans="1:24" ht="14.25" hidden="1" customHeight="1">
      <c r="A235" s="225">
        <f>ROW()-1</f>
        <v>234</v>
      </c>
      <c r="B235" s="471">
        <v>46137</v>
      </c>
      <c r="C235" s="236" t="s">
        <v>875</v>
      </c>
      <c r="D235" s="486" t="s">
        <v>730</v>
      </c>
      <c r="E235" s="236" t="s">
        <v>730</v>
      </c>
      <c r="F235" s="236" t="s">
        <v>59</v>
      </c>
      <c r="G235" s="236" t="s">
        <v>876</v>
      </c>
      <c r="H235" s="237">
        <v>7988041988</v>
      </c>
      <c r="I235" s="236"/>
      <c r="J235" s="481" t="s">
        <v>122</v>
      </c>
      <c r="K235" s="236" t="s">
        <v>877</v>
      </c>
      <c r="L235" s="236" t="s">
        <v>58</v>
      </c>
      <c r="M235" s="236" t="s">
        <v>50</v>
      </c>
      <c r="N235" s="238"/>
      <c r="O235" s="474"/>
      <c r="P235" s="589"/>
      <c r="Q235" s="236"/>
      <c r="R235" s="475"/>
      <c r="S235" s="236"/>
      <c r="T235" s="731"/>
      <c r="U235" s="731"/>
      <c r="V235" s="263"/>
      <c r="W235" s="263"/>
      <c r="X235" s="263"/>
    </row>
    <row r="236" spans="1:24" ht="14.25" hidden="1" customHeight="1">
      <c r="A236" s="225">
        <f>ROW()-1</f>
        <v>235</v>
      </c>
      <c r="B236" s="476">
        <v>46137</v>
      </c>
      <c r="C236" s="234" t="s">
        <v>763</v>
      </c>
      <c r="D236" s="242" t="s">
        <v>475</v>
      </c>
      <c r="E236" s="232" t="s">
        <v>22</v>
      </c>
      <c r="F236" s="232" t="s">
        <v>44</v>
      </c>
      <c r="G236" s="234" t="s">
        <v>878</v>
      </c>
      <c r="H236" s="233">
        <v>9096952632</v>
      </c>
      <c r="I236" s="264" t="s">
        <v>879</v>
      </c>
      <c r="J236" s="488" t="s">
        <v>567</v>
      </c>
      <c r="K236" s="234" t="s">
        <v>880</v>
      </c>
      <c r="L236" s="232" t="s">
        <v>49</v>
      </c>
      <c r="M236" s="232" t="s">
        <v>50</v>
      </c>
      <c r="N236" s="234"/>
      <c r="O236" s="477"/>
      <c r="P236" s="590"/>
      <c r="Q236" s="232"/>
      <c r="R236" s="475"/>
      <c r="S236" s="232"/>
      <c r="T236" s="731"/>
      <c r="U236" s="731"/>
      <c r="V236" s="263"/>
      <c r="W236" s="263"/>
      <c r="X236" s="263"/>
    </row>
    <row r="237" spans="1:24" ht="14.25" hidden="1" customHeight="1">
      <c r="A237" s="225">
        <f>ROW()-1</f>
        <v>236</v>
      </c>
      <c r="B237" s="476">
        <v>46137</v>
      </c>
      <c r="C237" s="234" t="s">
        <v>766</v>
      </c>
      <c r="D237" s="242" t="s">
        <v>655</v>
      </c>
      <c r="E237" s="232" t="s">
        <v>205</v>
      </c>
      <c r="F237" s="232" t="s">
        <v>23</v>
      </c>
      <c r="G237" s="234" t="s">
        <v>881</v>
      </c>
      <c r="H237" s="233">
        <v>9900422737</v>
      </c>
      <c r="I237" s="264" t="s">
        <v>882</v>
      </c>
      <c r="J237" s="488" t="s">
        <v>567</v>
      </c>
      <c r="K237" s="234" t="s">
        <v>883</v>
      </c>
      <c r="L237" s="232" t="s">
        <v>49</v>
      </c>
      <c r="M237" s="232" t="s">
        <v>50</v>
      </c>
      <c r="N237" s="234"/>
      <c r="O237" s="477"/>
      <c r="P237" s="590"/>
      <c r="Q237" s="232"/>
      <c r="R237" s="475"/>
      <c r="S237" s="232"/>
      <c r="T237" s="731"/>
      <c r="U237" s="731"/>
      <c r="V237" s="263"/>
      <c r="W237" s="263"/>
      <c r="X237" s="263"/>
    </row>
    <row r="238" spans="1:24" ht="14.25" hidden="1" customHeight="1">
      <c r="A238" s="225">
        <f>ROW()-1</f>
        <v>237</v>
      </c>
      <c r="B238" s="471">
        <v>46137</v>
      </c>
      <c r="C238" s="238" t="s">
        <v>884</v>
      </c>
      <c r="D238" s="240" t="s">
        <v>362</v>
      </c>
      <c r="E238" s="236" t="s">
        <v>143</v>
      </c>
      <c r="F238" s="236" t="s">
        <v>73</v>
      </c>
      <c r="G238" s="238" t="s">
        <v>885</v>
      </c>
      <c r="H238" s="237">
        <v>9217414404</v>
      </c>
      <c r="I238" s="255" t="s">
        <v>769</v>
      </c>
      <c r="J238" s="488" t="s">
        <v>567</v>
      </c>
      <c r="K238" s="621" t="s">
        <v>886</v>
      </c>
      <c r="L238" s="236" t="s">
        <v>49</v>
      </c>
      <c r="M238" s="236" t="s">
        <v>50</v>
      </c>
      <c r="N238" s="238"/>
      <c r="O238" s="474"/>
      <c r="P238" s="589"/>
      <c r="Q238" s="236"/>
      <c r="R238" s="475"/>
      <c r="S238" s="236"/>
      <c r="T238" s="731"/>
      <c r="U238" s="731"/>
      <c r="V238" s="263"/>
      <c r="W238" s="263"/>
      <c r="X238" s="263"/>
    </row>
    <row r="239" spans="1:24" ht="14.25" hidden="1" customHeight="1">
      <c r="A239" s="225">
        <f>ROW()-1</f>
        <v>238</v>
      </c>
      <c r="B239" s="471">
        <v>46138</v>
      </c>
      <c r="C239" s="238" t="s">
        <v>887</v>
      </c>
      <c r="D239" s="240" t="s">
        <v>888</v>
      </c>
      <c r="E239" s="236" t="s">
        <v>82</v>
      </c>
      <c r="F239" s="236" t="s">
        <v>73</v>
      </c>
      <c r="G239" s="238" t="s">
        <v>889</v>
      </c>
      <c r="H239" s="237">
        <v>9787979454</v>
      </c>
      <c r="I239" s="255" t="s">
        <v>890</v>
      </c>
      <c r="J239" s="258" t="s">
        <v>47</v>
      </c>
      <c r="K239" s="549" t="s">
        <v>773</v>
      </c>
      <c r="L239" s="236" t="s">
        <v>49</v>
      </c>
      <c r="M239" s="236" t="s">
        <v>50</v>
      </c>
      <c r="N239" s="238"/>
      <c r="O239" s="238"/>
      <c r="P239" s="589"/>
      <c r="Q239" s="236"/>
      <c r="R239" s="475"/>
      <c r="S239" s="236"/>
      <c r="T239" s="731" t="s">
        <v>441</v>
      </c>
      <c r="U239" s="731"/>
      <c r="V239" s="263"/>
      <c r="W239" s="263"/>
      <c r="X239" s="263"/>
    </row>
    <row r="240" spans="1:24" ht="14.25" hidden="1" customHeight="1">
      <c r="A240" s="225">
        <f>ROW()-1</f>
        <v>239</v>
      </c>
      <c r="B240" s="471">
        <v>46138</v>
      </c>
      <c r="C240" s="238" t="s">
        <v>262</v>
      </c>
      <c r="D240" s="240" t="s">
        <v>131</v>
      </c>
      <c r="E240" s="236" t="s">
        <v>22</v>
      </c>
      <c r="F240" s="236" t="s">
        <v>32</v>
      </c>
      <c r="G240" s="238" t="s">
        <v>891</v>
      </c>
      <c r="H240" s="237">
        <v>8600120115</v>
      </c>
      <c r="I240" s="472" t="s">
        <v>264</v>
      </c>
      <c r="J240" s="257" t="s">
        <v>66</v>
      </c>
      <c r="K240" s="549" t="s">
        <v>265</v>
      </c>
      <c r="L240" s="236" t="s">
        <v>27</v>
      </c>
      <c r="M240" s="236" t="s">
        <v>28</v>
      </c>
      <c r="N240" s="238" t="s">
        <v>892</v>
      </c>
      <c r="O240" s="239">
        <v>46139</v>
      </c>
      <c r="P240" s="589">
        <v>177770</v>
      </c>
      <c r="Q240" s="232" t="s">
        <v>70</v>
      </c>
      <c r="R240" s="475"/>
      <c r="S240" s="236"/>
      <c r="T240" s="731"/>
      <c r="U240" s="731"/>
      <c r="V240" s="263"/>
      <c r="W240" s="263"/>
      <c r="X240" s="263"/>
    </row>
    <row r="241" spans="1:24" ht="14.25" hidden="1" customHeight="1">
      <c r="A241" s="225">
        <f>ROW()-1</f>
        <v>240</v>
      </c>
      <c r="B241" s="476">
        <v>46138</v>
      </c>
      <c r="C241" s="234" t="s">
        <v>262</v>
      </c>
      <c r="D241" s="242" t="s">
        <v>131</v>
      </c>
      <c r="E241" s="232" t="s">
        <v>22</v>
      </c>
      <c r="F241" s="232" t="s">
        <v>32</v>
      </c>
      <c r="G241" s="234" t="s">
        <v>893</v>
      </c>
      <c r="H241" s="233">
        <v>8600120115</v>
      </c>
      <c r="I241" s="266" t="s">
        <v>264</v>
      </c>
      <c r="J241" s="257" t="s">
        <v>66</v>
      </c>
      <c r="K241" s="234" t="s">
        <v>265</v>
      </c>
      <c r="L241" s="232" t="s">
        <v>27</v>
      </c>
      <c r="M241" s="232" t="s">
        <v>28</v>
      </c>
      <c r="N241" s="234" t="s">
        <v>894</v>
      </c>
      <c r="O241" s="235">
        <v>46140</v>
      </c>
      <c r="P241" s="590">
        <v>2381746</v>
      </c>
      <c r="Q241" s="232" t="s">
        <v>70</v>
      </c>
      <c r="R241" s="475"/>
      <c r="S241" s="232"/>
      <c r="T241" s="731"/>
      <c r="U241" s="731"/>
      <c r="V241" s="263"/>
      <c r="W241" s="263"/>
      <c r="X241" s="263"/>
    </row>
    <row r="242" spans="1:24" ht="25.5" hidden="1" customHeight="1">
      <c r="A242" s="225">
        <f>ROW()-1</f>
        <v>241</v>
      </c>
      <c r="B242" s="476">
        <v>46138</v>
      </c>
      <c r="C242" s="232" t="s">
        <v>895</v>
      </c>
      <c r="D242" s="242" t="s">
        <v>131</v>
      </c>
      <c r="E242" s="232" t="s">
        <v>22</v>
      </c>
      <c r="F242" s="232" t="s">
        <v>60</v>
      </c>
      <c r="G242" s="234" t="s">
        <v>896</v>
      </c>
      <c r="H242" s="494">
        <v>9022689822</v>
      </c>
      <c r="I242" s="264" t="s">
        <v>897</v>
      </c>
      <c r="J242" s="257" t="s">
        <v>86</v>
      </c>
      <c r="K242" s="234" t="s">
        <v>898</v>
      </c>
      <c r="L242" s="232" t="s">
        <v>27</v>
      </c>
      <c r="M242" s="232" t="s">
        <v>40</v>
      </c>
      <c r="N242" s="234" t="s">
        <v>899</v>
      </c>
      <c r="O242" s="235">
        <v>46138</v>
      </c>
      <c r="P242" s="590">
        <v>1073806</v>
      </c>
      <c r="Q242" s="232" t="s">
        <v>79</v>
      </c>
      <c r="R242" s="475"/>
      <c r="S242" s="232"/>
      <c r="T242" s="731"/>
      <c r="U242" s="731"/>
      <c r="V242" s="263"/>
      <c r="W242" s="263"/>
      <c r="X242" s="263"/>
    </row>
    <row r="243" spans="1:24" ht="14.25" hidden="1" customHeight="1">
      <c r="A243" s="225">
        <f>ROW()-1</f>
        <v>242</v>
      </c>
      <c r="B243" s="471">
        <v>46138</v>
      </c>
      <c r="C243" s="238" t="s">
        <v>900</v>
      </c>
      <c r="D243" s="240" t="s">
        <v>780</v>
      </c>
      <c r="E243" s="236" t="s">
        <v>22</v>
      </c>
      <c r="F243" s="236" t="s">
        <v>60</v>
      </c>
      <c r="G243" s="238" t="s">
        <v>901</v>
      </c>
      <c r="H243" s="237"/>
      <c r="I243" s="255" t="s">
        <v>902</v>
      </c>
      <c r="J243" s="257" t="s">
        <v>66</v>
      </c>
      <c r="K243" s="234" t="s">
        <v>139</v>
      </c>
      <c r="L243" s="232" t="s">
        <v>49</v>
      </c>
      <c r="M243" s="236" t="s">
        <v>50</v>
      </c>
      <c r="N243" s="238" t="s">
        <v>903</v>
      </c>
      <c r="O243" s="239">
        <v>46138</v>
      </c>
      <c r="P243" s="589">
        <v>2370000</v>
      </c>
      <c r="Q243" s="232" t="s">
        <v>70</v>
      </c>
      <c r="R243" s="475"/>
      <c r="S243" s="236"/>
      <c r="T243" s="731"/>
      <c r="U243" s="731"/>
      <c r="V243" s="263"/>
      <c r="W243" s="263"/>
      <c r="X243" s="263"/>
    </row>
    <row r="244" spans="1:24" ht="14.25" hidden="1" customHeight="1">
      <c r="A244" s="225">
        <f>ROW()-1</f>
        <v>243</v>
      </c>
      <c r="B244" s="476">
        <v>46138</v>
      </c>
      <c r="C244" s="234" t="s">
        <v>904</v>
      </c>
      <c r="D244" s="242" t="s">
        <v>100</v>
      </c>
      <c r="E244" s="232" t="s">
        <v>22</v>
      </c>
      <c r="F244" s="232" t="s">
        <v>59</v>
      </c>
      <c r="G244" s="234" t="s">
        <v>905</v>
      </c>
      <c r="H244" s="233"/>
      <c r="I244" s="264" t="s">
        <v>906</v>
      </c>
      <c r="J244" s="257" t="s">
        <v>56</v>
      </c>
      <c r="K244" s="234" t="s">
        <v>139</v>
      </c>
      <c r="L244" s="232" t="s">
        <v>49</v>
      </c>
      <c r="M244" s="232" t="s">
        <v>50</v>
      </c>
      <c r="N244" s="234" t="s">
        <v>784</v>
      </c>
      <c r="O244" s="235">
        <v>46138</v>
      </c>
      <c r="P244" s="590">
        <v>336600</v>
      </c>
      <c r="Q244" s="232" t="s">
        <v>70</v>
      </c>
      <c r="R244" s="475"/>
      <c r="S244" s="232" t="s">
        <v>907</v>
      </c>
      <c r="T244" s="731"/>
      <c r="U244" s="731"/>
      <c r="V244" s="263"/>
      <c r="W244" s="263"/>
      <c r="X244" s="263"/>
    </row>
    <row r="245" spans="1:24" ht="14.25" hidden="1" customHeight="1">
      <c r="A245" s="225">
        <f>ROW()-1</f>
        <v>244</v>
      </c>
      <c r="B245" s="471">
        <v>46139</v>
      </c>
      <c r="C245" s="238" t="s">
        <v>908</v>
      </c>
      <c r="D245" s="240"/>
      <c r="E245" s="236" t="s">
        <v>621</v>
      </c>
      <c r="F245" s="236" t="s">
        <v>59</v>
      </c>
      <c r="G245" s="238" t="s">
        <v>909</v>
      </c>
      <c r="H245" s="237"/>
      <c r="I245" s="255" t="s">
        <v>910</v>
      </c>
      <c r="J245" s="257" t="s">
        <v>66</v>
      </c>
      <c r="K245" s="549" t="s">
        <v>911</v>
      </c>
      <c r="L245" s="236" t="s">
        <v>27</v>
      </c>
      <c r="M245" s="236" t="s">
        <v>28</v>
      </c>
      <c r="N245" s="238" t="s">
        <v>787</v>
      </c>
      <c r="O245" s="239">
        <v>46140</v>
      </c>
      <c r="P245" s="589">
        <v>205690.32</v>
      </c>
      <c r="Q245" s="232" t="s">
        <v>70</v>
      </c>
      <c r="R245" s="475"/>
      <c r="S245" s="236"/>
      <c r="T245" s="731"/>
      <c r="U245" s="731"/>
      <c r="V245" s="263"/>
      <c r="W245" s="263"/>
      <c r="X245" s="263"/>
    </row>
    <row r="246" spans="1:24" ht="14.25" hidden="1" customHeight="1">
      <c r="A246" s="225">
        <f>ROW()-1</f>
        <v>245</v>
      </c>
      <c r="B246" s="471">
        <v>46139</v>
      </c>
      <c r="C246" s="238" t="s">
        <v>912</v>
      </c>
      <c r="D246" s="240" t="s">
        <v>913</v>
      </c>
      <c r="E246" s="236" t="s">
        <v>22</v>
      </c>
      <c r="F246" s="236" t="s">
        <v>59</v>
      </c>
      <c r="G246" s="238" t="s">
        <v>914</v>
      </c>
      <c r="H246" s="237">
        <v>8308005299</v>
      </c>
      <c r="I246" s="236" t="s">
        <v>915</v>
      </c>
      <c r="J246" s="257" t="s">
        <v>25</v>
      </c>
      <c r="K246" s="236" t="s">
        <v>791</v>
      </c>
      <c r="L246" s="236" t="s">
        <v>27</v>
      </c>
      <c r="M246" s="236" t="s">
        <v>77</v>
      </c>
      <c r="N246" s="238" t="s">
        <v>916</v>
      </c>
      <c r="O246" s="474">
        <v>46139</v>
      </c>
      <c r="P246" s="589">
        <v>290000</v>
      </c>
      <c r="Q246" s="236" t="s">
        <v>30</v>
      </c>
      <c r="R246" s="478">
        <v>46157</v>
      </c>
      <c r="S246" s="236"/>
      <c r="T246" s="731"/>
      <c r="U246" s="731"/>
      <c r="V246" s="263"/>
      <c r="W246" s="263"/>
      <c r="X246" s="263"/>
    </row>
    <row r="247" spans="1:24" ht="14.25" hidden="1" customHeight="1">
      <c r="A247" s="225">
        <f>ROW()-1</f>
        <v>246</v>
      </c>
      <c r="B247" s="476">
        <v>46139</v>
      </c>
      <c r="C247" s="232" t="s">
        <v>917</v>
      </c>
      <c r="D247" s="484" t="s">
        <v>618</v>
      </c>
      <c r="E247" s="232" t="s">
        <v>82</v>
      </c>
      <c r="F247" s="232" t="s">
        <v>73</v>
      </c>
      <c r="G247" s="232" t="s">
        <v>591</v>
      </c>
      <c r="H247" s="233">
        <v>9840903662</v>
      </c>
      <c r="I247" s="232" t="s">
        <v>918</v>
      </c>
      <c r="J247" s="258" t="s">
        <v>47</v>
      </c>
      <c r="K247" s="232" t="s">
        <v>919</v>
      </c>
      <c r="L247" s="232" t="s">
        <v>58</v>
      </c>
      <c r="M247" s="232" t="s">
        <v>50</v>
      </c>
      <c r="N247" s="234"/>
      <c r="O247" s="477"/>
      <c r="P247" s="590"/>
      <c r="Q247" s="232"/>
      <c r="R247" s="475"/>
      <c r="S247" s="232"/>
      <c r="T247" s="731"/>
      <c r="U247" s="731"/>
      <c r="V247" s="263"/>
      <c r="W247" s="263"/>
      <c r="X247" s="263"/>
    </row>
    <row r="248" spans="1:24" ht="14.25" hidden="1" customHeight="1">
      <c r="A248" s="225">
        <f>ROW()-1</f>
        <v>247</v>
      </c>
      <c r="B248" s="471">
        <v>46139</v>
      </c>
      <c r="C248" s="236" t="s">
        <v>920</v>
      </c>
      <c r="D248" s="486" t="s">
        <v>655</v>
      </c>
      <c r="E248" s="236" t="s">
        <v>205</v>
      </c>
      <c r="F248" s="236" t="s">
        <v>73</v>
      </c>
      <c r="G248" s="236" t="s">
        <v>921</v>
      </c>
      <c r="H248" s="237">
        <v>8494945408</v>
      </c>
      <c r="I248" s="236"/>
      <c r="J248" s="258" t="s">
        <v>47</v>
      </c>
      <c r="K248" s="236" t="s">
        <v>796</v>
      </c>
      <c r="L248" s="236" t="s">
        <v>58</v>
      </c>
      <c r="M248" s="236" t="s">
        <v>50</v>
      </c>
      <c r="N248" s="238"/>
      <c r="O248" s="493"/>
      <c r="P248" s="589"/>
      <c r="Q248" s="236"/>
      <c r="R248" s="475"/>
      <c r="S248" s="236"/>
      <c r="T248" s="731"/>
      <c r="U248" s="731"/>
      <c r="V248" s="263"/>
      <c r="W248" s="263"/>
      <c r="X248" s="263"/>
    </row>
    <row r="249" spans="1:24" ht="14.25" hidden="1" customHeight="1">
      <c r="A249" s="225">
        <f>ROW()-1</f>
        <v>248</v>
      </c>
      <c r="B249" s="476">
        <v>46139</v>
      </c>
      <c r="C249" s="232" t="s">
        <v>922</v>
      </c>
      <c r="D249" s="484" t="s">
        <v>923</v>
      </c>
      <c r="E249" s="232" t="s">
        <v>416</v>
      </c>
      <c r="F249" s="232" t="s">
        <v>60</v>
      </c>
      <c r="G249" s="232" t="s">
        <v>742</v>
      </c>
      <c r="H249" s="233">
        <v>9121645609</v>
      </c>
      <c r="I249" s="232"/>
      <c r="J249" s="258" t="s">
        <v>47</v>
      </c>
      <c r="K249" s="232"/>
      <c r="L249" s="232" t="s">
        <v>58</v>
      </c>
      <c r="M249" s="232" t="s">
        <v>50</v>
      </c>
      <c r="N249" s="234"/>
      <c r="O249" s="477"/>
      <c r="P249" s="590"/>
      <c r="Q249" s="232"/>
      <c r="R249" s="475"/>
      <c r="S249" s="232"/>
      <c r="T249" s="731"/>
      <c r="U249" s="731"/>
      <c r="V249" s="263"/>
      <c r="W249" s="263"/>
      <c r="X249" s="263"/>
    </row>
    <row r="250" spans="1:24" ht="14.25" hidden="1" customHeight="1">
      <c r="A250" s="225">
        <f>ROW()-1</f>
        <v>249</v>
      </c>
      <c r="B250" s="476">
        <v>46139</v>
      </c>
      <c r="C250" s="234" t="s">
        <v>924</v>
      </c>
      <c r="D250" s="242" t="s">
        <v>21</v>
      </c>
      <c r="E250" s="232" t="s">
        <v>22</v>
      </c>
      <c r="F250" s="232" t="s">
        <v>23</v>
      </c>
      <c r="G250" s="234" t="s">
        <v>925</v>
      </c>
      <c r="H250" s="233">
        <v>7796771706</v>
      </c>
      <c r="I250" s="264" t="s">
        <v>926</v>
      </c>
      <c r="J250" s="257" t="s">
        <v>66</v>
      </c>
      <c r="K250" s="234" t="s">
        <v>139</v>
      </c>
      <c r="L250" s="232" t="s">
        <v>49</v>
      </c>
      <c r="M250" s="232" t="s">
        <v>50</v>
      </c>
      <c r="N250" s="234">
        <v>80</v>
      </c>
      <c r="O250" s="235">
        <v>46139</v>
      </c>
      <c r="P250" s="590">
        <v>500000</v>
      </c>
      <c r="Q250" s="232" t="s">
        <v>70</v>
      </c>
      <c r="R250" s="475"/>
      <c r="S250" s="232"/>
      <c r="T250" s="731"/>
      <c r="U250" s="731"/>
      <c r="V250" s="263"/>
      <c r="W250" s="263"/>
      <c r="X250" s="263"/>
    </row>
    <row r="251" spans="1:24" ht="14.25" hidden="1" customHeight="1">
      <c r="A251" s="225">
        <f>ROW()-1</f>
        <v>250</v>
      </c>
      <c r="B251" s="471">
        <v>46140</v>
      </c>
      <c r="C251" s="238" t="s">
        <v>908</v>
      </c>
      <c r="D251" s="240" t="s">
        <v>927</v>
      </c>
      <c r="E251" s="236" t="s">
        <v>621</v>
      </c>
      <c r="F251" s="236" t="s">
        <v>59</v>
      </c>
      <c r="G251" s="238" t="s">
        <v>928</v>
      </c>
      <c r="H251" s="237" t="s">
        <v>800</v>
      </c>
      <c r="I251" s="255" t="s">
        <v>910</v>
      </c>
      <c r="J251" s="257" t="s">
        <v>66</v>
      </c>
      <c r="K251" s="238" t="s">
        <v>911</v>
      </c>
      <c r="L251" s="236" t="s">
        <v>27</v>
      </c>
      <c r="M251" s="236" t="s">
        <v>28</v>
      </c>
      <c r="N251" s="238" t="s">
        <v>929</v>
      </c>
      <c r="O251" s="239">
        <v>46141</v>
      </c>
      <c r="P251" s="589">
        <v>17057186.16</v>
      </c>
      <c r="Q251" s="232" t="s">
        <v>292</v>
      </c>
      <c r="R251" s="475"/>
      <c r="S251" s="236"/>
      <c r="T251" s="731"/>
      <c r="U251" s="731"/>
      <c r="V251" s="263"/>
      <c r="W251" s="263"/>
      <c r="X251" s="263"/>
    </row>
    <row r="252" spans="1:24" ht="14.25" hidden="1" customHeight="1">
      <c r="A252" s="225">
        <f>ROW()-1</f>
        <v>251</v>
      </c>
      <c r="B252" s="476">
        <v>46140</v>
      </c>
      <c r="C252" s="234" t="s">
        <v>496</v>
      </c>
      <c r="D252" s="242" t="s">
        <v>72</v>
      </c>
      <c r="E252" s="232" t="s">
        <v>22</v>
      </c>
      <c r="F252" s="232" t="s">
        <v>59</v>
      </c>
      <c r="G252" s="234" t="s">
        <v>930</v>
      </c>
      <c r="H252" s="233" t="s">
        <v>931</v>
      </c>
      <c r="I252" s="264" t="s">
        <v>803</v>
      </c>
      <c r="J252" s="257" t="s">
        <v>25</v>
      </c>
      <c r="K252" s="234" t="s">
        <v>932</v>
      </c>
      <c r="L252" s="232" t="s">
        <v>27</v>
      </c>
      <c r="M252" s="232" t="s">
        <v>40</v>
      </c>
      <c r="N252" s="232" t="s">
        <v>933</v>
      </c>
      <c r="O252" s="235">
        <v>46140</v>
      </c>
      <c r="P252" s="590">
        <v>1130000</v>
      </c>
      <c r="Q252" s="232" t="s">
        <v>30</v>
      </c>
      <c r="R252" s="478">
        <v>46180</v>
      </c>
      <c r="S252" s="232"/>
      <c r="T252" s="731"/>
      <c r="U252" s="731"/>
      <c r="V252" s="263"/>
      <c r="W252" s="263"/>
      <c r="X252" s="263"/>
    </row>
    <row r="253" spans="1:24" ht="14.25" hidden="1" customHeight="1">
      <c r="A253" s="225">
        <f>ROW()-1</f>
        <v>252</v>
      </c>
      <c r="B253" s="476">
        <v>46140</v>
      </c>
      <c r="C253" s="234" t="s">
        <v>139</v>
      </c>
      <c r="D253" s="242" t="s">
        <v>934</v>
      </c>
      <c r="E253" s="232" t="s">
        <v>193</v>
      </c>
      <c r="F253" s="232" t="s">
        <v>60</v>
      </c>
      <c r="G253" s="234" t="s">
        <v>220</v>
      </c>
      <c r="H253" s="233">
        <v>7041025596</v>
      </c>
      <c r="I253" s="264" t="s">
        <v>806</v>
      </c>
      <c r="J253" s="267" t="s">
        <v>122</v>
      </c>
      <c r="K253" s="495" t="s">
        <v>935</v>
      </c>
      <c r="L253" s="232" t="s">
        <v>49</v>
      </c>
      <c r="M253" s="232" t="s">
        <v>40</v>
      </c>
      <c r="N253" s="234"/>
      <c r="O253" s="477"/>
      <c r="P253" s="590"/>
      <c r="Q253" s="232"/>
      <c r="R253" s="475"/>
      <c r="S253" s="496"/>
      <c r="T253" s="750" t="s">
        <v>936</v>
      </c>
      <c r="U253" s="751"/>
      <c r="V253" s="263"/>
      <c r="W253" s="263"/>
      <c r="X253" s="263"/>
    </row>
    <row r="254" spans="1:24" ht="14.25" hidden="1" customHeight="1">
      <c r="A254" s="225">
        <f>ROW()-1</f>
        <v>253</v>
      </c>
      <c r="B254" s="476">
        <v>46140</v>
      </c>
      <c r="C254" s="232" t="s">
        <v>937</v>
      </c>
      <c r="D254" s="484" t="s">
        <v>938</v>
      </c>
      <c r="E254" s="232" t="s">
        <v>82</v>
      </c>
      <c r="F254" s="232" t="s">
        <v>59</v>
      </c>
      <c r="G254" s="232" t="s">
        <v>939</v>
      </c>
      <c r="H254" s="233">
        <v>9787822179</v>
      </c>
      <c r="I254" s="232" t="s">
        <v>940</v>
      </c>
      <c r="J254" s="481" t="s">
        <v>122</v>
      </c>
      <c r="K254" s="232" t="s">
        <v>941</v>
      </c>
      <c r="L254" s="232" t="s">
        <v>58</v>
      </c>
      <c r="M254" s="232" t="s">
        <v>50</v>
      </c>
      <c r="N254" s="234"/>
      <c r="O254" s="234"/>
      <c r="P254" s="590"/>
      <c r="Q254" s="232"/>
      <c r="R254" s="475"/>
      <c r="S254" s="232"/>
      <c r="T254" s="731"/>
      <c r="U254" s="731"/>
      <c r="V254" s="263"/>
      <c r="W254" s="263"/>
      <c r="X254" s="263"/>
    </row>
    <row r="255" spans="1:24" ht="14.25" hidden="1" customHeight="1">
      <c r="A255" s="225">
        <f>ROW()-1</f>
        <v>254</v>
      </c>
      <c r="B255" s="471">
        <v>46140</v>
      </c>
      <c r="C255" s="238" t="s">
        <v>942</v>
      </c>
      <c r="D255" s="240" t="s">
        <v>131</v>
      </c>
      <c r="E255" s="236" t="s">
        <v>22</v>
      </c>
      <c r="F255" s="236" t="s">
        <v>73</v>
      </c>
      <c r="G255" s="238"/>
      <c r="H255" s="237">
        <v>9511674353</v>
      </c>
      <c r="I255" s="255" t="s">
        <v>943</v>
      </c>
      <c r="J255" s="258" t="s">
        <v>47</v>
      </c>
      <c r="K255" s="238" t="s">
        <v>812</v>
      </c>
      <c r="L255" s="236" t="s">
        <v>49</v>
      </c>
      <c r="M255" s="236" t="s">
        <v>50</v>
      </c>
      <c r="N255" s="238"/>
      <c r="O255" s="238"/>
      <c r="P255" s="589"/>
      <c r="Q255" s="236"/>
      <c r="R255" s="475"/>
      <c r="S255" s="236"/>
      <c r="T255" s="731"/>
      <c r="U255" s="731"/>
      <c r="V255" s="263"/>
      <c r="W255" s="263"/>
      <c r="X255" s="263"/>
    </row>
    <row r="256" spans="1:24" ht="14.25" hidden="1" customHeight="1">
      <c r="A256" s="225">
        <f>ROW()-1</f>
        <v>255</v>
      </c>
      <c r="B256" s="476">
        <v>46141</v>
      </c>
      <c r="C256" s="234" t="s">
        <v>908</v>
      </c>
      <c r="D256" s="242"/>
      <c r="E256" s="232" t="s">
        <v>621</v>
      </c>
      <c r="F256" s="232" t="s">
        <v>59</v>
      </c>
      <c r="G256" s="234" t="s">
        <v>944</v>
      </c>
      <c r="H256" s="233"/>
      <c r="I256" s="522" t="s">
        <v>945</v>
      </c>
      <c r="J256" s="257" t="s">
        <v>66</v>
      </c>
      <c r="K256" s="234" t="s">
        <v>911</v>
      </c>
      <c r="L256" s="232" t="s">
        <v>27</v>
      </c>
      <c r="M256" s="232" t="s">
        <v>28</v>
      </c>
      <c r="N256" s="234" t="s">
        <v>946</v>
      </c>
      <c r="O256" s="235">
        <v>46141</v>
      </c>
      <c r="P256" s="590">
        <v>139582.32</v>
      </c>
      <c r="Q256" s="232" t="s">
        <v>70</v>
      </c>
      <c r="R256" s="475"/>
      <c r="S256" s="232"/>
      <c r="T256" s="731"/>
      <c r="U256" s="731"/>
      <c r="V256" s="263"/>
      <c r="W256" s="263"/>
      <c r="X256" s="263"/>
    </row>
    <row r="257" spans="1:24" ht="14.25" hidden="1" customHeight="1">
      <c r="A257" s="225">
        <f>ROW()-1</f>
        <v>256</v>
      </c>
      <c r="B257" s="471">
        <v>46141</v>
      </c>
      <c r="C257" s="238" t="s">
        <v>306</v>
      </c>
      <c r="D257" s="240"/>
      <c r="E257" s="236" t="s">
        <v>621</v>
      </c>
      <c r="F257" s="236" t="s">
        <v>73</v>
      </c>
      <c r="G257" s="238" t="s">
        <v>947</v>
      </c>
      <c r="H257" s="237"/>
      <c r="I257" s="255" t="s">
        <v>948</v>
      </c>
      <c r="J257" s="257" t="s">
        <v>86</v>
      </c>
      <c r="K257" s="238" t="s">
        <v>949</v>
      </c>
      <c r="L257" s="236" t="s">
        <v>27</v>
      </c>
      <c r="M257" s="236" t="s">
        <v>40</v>
      </c>
      <c r="N257" s="238" t="s">
        <v>817</v>
      </c>
      <c r="O257" s="239">
        <v>46142</v>
      </c>
      <c r="P257" s="589">
        <v>1766105.9</v>
      </c>
      <c r="Q257" s="236" t="s">
        <v>70</v>
      </c>
      <c r="R257" s="475"/>
      <c r="S257" s="236"/>
      <c r="T257" s="731"/>
      <c r="U257" s="731"/>
      <c r="V257" s="263"/>
      <c r="W257" s="263"/>
      <c r="X257" s="263"/>
    </row>
    <row r="258" spans="1:24" ht="14.25" hidden="1" customHeight="1">
      <c r="A258" s="225">
        <f>ROW()-1</f>
        <v>257</v>
      </c>
      <c r="B258" s="471">
        <v>46141</v>
      </c>
      <c r="C258" s="238" t="s">
        <v>80</v>
      </c>
      <c r="D258" s="240" t="s">
        <v>131</v>
      </c>
      <c r="E258" s="236" t="s">
        <v>22</v>
      </c>
      <c r="F258" s="236" t="s">
        <v>32</v>
      </c>
      <c r="G258" s="238" t="s">
        <v>950</v>
      </c>
      <c r="H258" s="237"/>
      <c r="I258" s="255" t="s">
        <v>951</v>
      </c>
      <c r="J258" s="267" t="s">
        <v>86</v>
      </c>
      <c r="K258" s="236" t="s">
        <v>818</v>
      </c>
      <c r="L258" s="236" t="s">
        <v>27</v>
      </c>
      <c r="M258" s="236" t="s">
        <v>28</v>
      </c>
      <c r="N258" s="238" t="s">
        <v>952</v>
      </c>
      <c r="O258" s="239">
        <v>46144</v>
      </c>
      <c r="P258" s="589">
        <v>4500000</v>
      </c>
      <c r="Q258" s="232" t="s">
        <v>70</v>
      </c>
      <c r="R258" s="475"/>
      <c r="S258" s="236"/>
      <c r="T258" s="731"/>
      <c r="U258" s="731"/>
      <c r="V258" s="263"/>
      <c r="W258" s="263"/>
      <c r="X258" s="263"/>
    </row>
    <row r="259" spans="1:24" ht="14.25" hidden="1" customHeight="1">
      <c r="A259" s="225">
        <f>ROW()-1</f>
        <v>258</v>
      </c>
      <c r="B259" s="471">
        <v>46141</v>
      </c>
      <c r="C259" s="238" t="s">
        <v>820</v>
      </c>
      <c r="D259" s="240" t="s">
        <v>953</v>
      </c>
      <c r="E259" s="236" t="s">
        <v>22</v>
      </c>
      <c r="F259" s="236" t="s">
        <v>23</v>
      </c>
      <c r="G259" s="238" t="s">
        <v>954</v>
      </c>
      <c r="H259" s="237">
        <v>8308822885</v>
      </c>
      <c r="I259" s="255" t="s">
        <v>822</v>
      </c>
      <c r="J259" s="257" t="s">
        <v>66</v>
      </c>
      <c r="K259" s="238" t="s">
        <v>955</v>
      </c>
      <c r="L259" s="236" t="s">
        <v>27</v>
      </c>
      <c r="M259" s="236" t="s">
        <v>28</v>
      </c>
      <c r="N259" s="238" t="s">
        <v>956</v>
      </c>
      <c r="O259" s="239">
        <v>46141</v>
      </c>
      <c r="P259" s="589">
        <v>185000</v>
      </c>
      <c r="Q259" s="232" t="s">
        <v>70</v>
      </c>
      <c r="R259" s="475"/>
      <c r="S259" s="236"/>
      <c r="T259" s="731"/>
      <c r="U259" s="731"/>
      <c r="V259" s="263"/>
      <c r="W259" s="263"/>
      <c r="X259" s="263"/>
    </row>
    <row r="260" spans="1:24" ht="14.25" hidden="1" customHeight="1">
      <c r="A260" s="225">
        <f>ROW()-1</f>
        <v>259</v>
      </c>
      <c r="B260" s="476">
        <v>46141</v>
      </c>
      <c r="C260" s="234" t="s">
        <v>825</v>
      </c>
      <c r="D260" s="242" t="s">
        <v>957</v>
      </c>
      <c r="E260" s="232" t="s">
        <v>22</v>
      </c>
      <c r="F260" s="232" t="s">
        <v>32</v>
      </c>
      <c r="G260" s="234" t="s">
        <v>958</v>
      </c>
      <c r="H260" s="497" t="s">
        <v>959</v>
      </c>
      <c r="I260" s="264" t="s">
        <v>960</v>
      </c>
      <c r="J260" s="257" t="s">
        <v>66</v>
      </c>
      <c r="K260" s="234" t="s">
        <v>961</v>
      </c>
      <c r="L260" s="232" t="s">
        <v>49</v>
      </c>
      <c r="M260" s="232" t="s">
        <v>50</v>
      </c>
      <c r="N260" s="234" t="s">
        <v>830</v>
      </c>
      <c r="O260" s="235">
        <v>46141</v>
      </c>
      <c r="P260" s="590">
        <v>390083</v>
      </c>
      <c r="Q260" s="232" t="s">
        <v>70</v>
      </c>
      <c r="R260" s="475"/>
      <c r="S260" s="232"/>
      <c r="T260" s="731"/>
      <c r="U260" s="731"/>
      <c r="V260" s="263"/>
      <c r="W260" s="263"/>
      <c r="X260" s="263"/>
    </row>
    <row r="261" spans="1:24" ht="14.25" hidden="1" customHeight="1">
      <c r="A261" s="225">
        <f>ROW()-1</f>
        <v>260</v>
      </c>
      <c r="B261" s="476">
        <v>46141</v>
      </c>
      <c r="C261" s="234" t="s">
        <v>962</v>
      </c>
      <c r="D261" s="242" t="s">
        <v>963</v>
      </c>
      <c r="E261" s="232" t="s">
        <v>22</v>
      </c>
      <c r="F261" s="232" t="s">
        <v>59</v>
      </c>
      <c r="G261" s="234" t="s">
        <v>964</v>
      </c>
      <c r="H261" s="233"/>
      <c r="I261" s="265" t="s">
        <v>965</v>
      </c>
      <c r="J261" s="267" t="s">
        <v>86</v>
      </c>
      <c r="K261" s="234" t="s">
        <v>966</v>
      </c>
      <c r="L261" s="232" t="s">
        <v>27</v>
      </c>
      <c r="M261" s="232" t="s">
        <v>28</v>
      </c>
      <c r="N261" s="234" t="s">
        <v>967</v>
      </c>
      <c r="O261" s="235">
        <v>46141</v>
      </c>
      <c r="P261" s="590">
        <v>905000</v>
      </c>
      <c r="Q261" s="232" t="s">
        <v>70</v>
      </c>
      <c r="R261" s="478"/>
      <c r="S261" s="232"/>
      <c r="T261" s="731"/>
      <c r="U261" s="731"/>
      <c r="V261" s="263"/>
      <c r="W261" s="263"/>
      <c r="X261" s="263"/>
    </row>
    <row r="262" spans="1:24" ht="14.25" hidden="1" customHeight="1">
      <c r="A262" s="225">
        <f>ROW()-1</f>
        <v>261</v>
      </c>
      <c r="B262" s="476">
        <v>46141</v>
      </c>
      <c r="C262" s="234" t="s">
        <v>968</v>
      </c>
      <c r="D262" s="242" t="s">
        <v>836</v>
      </c>
      <c r="E262" s="232" t="s">
        <v>22</v>
      </c>
      <c r="F262" s="232" t="s">
        <v>23</v>
      </c>
      <c r="G262" s="234" t="s">
        <v>969</v>
      </c>
      <c r="H262" s="233" t="s">
        <v>970</v>
      </c>
      <c r="I262" s="264" t="s">
        <v>971</v>
      </c>
      <c r="J262" s="257" t="s">
        <v>66</v>
      </c>
      <c r="K262" s="234" t="s">
        <v>972</v>
      </c>
      <c r="L262" s="232" t="s">
        <v>27</v>
      </c>
      <c r="M262" s="232" t="s">
        <v>40</v>
      </c>
      <c r="N262" s="234" t="s">
        <v>839</v>
      </c>
      <c r="O262" s="235">
        <v>46141</v>
      </c>
      <c r="P262" s="590">
        <v>285000</v>
      </c>
      <c r="Q262" s="232" t="s">
        <v>70</v>
      </c>
      <c r="R262" s="475"/>
      <c r="S262" s="232" t="s">
        <v>973</v>
      </c>
      <c r="T262" s="731"/>
      <c r="U262" s="731"/>
      <c r="V262" s="263"/>
      <c r="W262" s="263"/>
      <c r="X262" s="263"/>
    </row>
    <row r="263" spans="1:24" ht="14.25" hidden="1" customHeight="1">
      <c r="A263" s="225">
        <f>ROW()-1</f>
        <v>262</v>
      </c>
      <c r="B263" s="476">
        <v>46141</v>
      </c>
      <c r="C263" s="232" t="s">
        <v>974</v>
      </c>
      <c r="D263" s="484" t="s">
        <v>237</v>
      </c>
      <c r="E263" s="232" t="s">
        <v>143</v>
      </c>
      <c r="F263" s="232" t="s">
        <v>73</v>
      </c>
      <c r="G263" s="232" t="s">
        <v>591</v>
      </c>
      <c r="H263" s="233">
        <v>9811217854</v>
      </c>
      <c r="I263" s="232" t="s">
        <v>975</v>
      </c>
      <c r="J263" s="258" t="s">
        <v>47</v>
      </c>
      <c r="K263" s="232" t="s">
        <v>842</v>
      </c>
      <c r="L263" s="232" t="s">
        <v>58</v>
      </c>
      <c r="M263" s="232" t="s">
        <v>50</v>
      </c>
      <c r="N263" s="234"/>
      <c r="O263" s="499"/>
      <c r="P263" s="590"/>
      <c r="Q263" s="232"/>
      <c r="R263" s="475"/>
      <c r="S263" s="232"/>
      <c r="T263" s="731"/>
      <c r="U263" s="731"/>
      <c r="V263" s="263"/>
      <c r="W263" s="263"/>
      <c r="X263" s="263"/>
    </row>
    <row r="264" spans="1:24" ht="14.25" hidden="1" customHeight="1">
      <c r="A264" s="225">
        <f>ROW()-1</f>
        <v>263</v>
      </c>
      <c r="B264" s="476">
        <v>46141</v>
      </c>
      <c r="C264" s="232" t="s">
        <v>976</v>
      </c>
      <c r="D264" s="484"/>
      <c r="E264" s="232"/>
      <c r="F264" s="232" t="s">
        <v>73</v>
      </c>
      <c r="G264" s="232" t="s">
        <v>591</v>
      </c>
      <c r="H264" s="233">
        <v>2266666081</v>
      </c>
      <c r="I264" s="232"/>
      <c r="J264" s="488" t="s">
        <v>567</v>
      </c>
      <c r="K264" s="232" t="s">
        <v>977</v>
      </c>
      <c r="L264" s="232" t="s">
        <v>58</v>
      </c>
      <c r="M264" s="232" t="s">
        <v>50</v>
      </c>
      <c r="N264" s="234"/>
      <c r="O264" s="234"/>
      <c r="P264" s="590"/>
      <c r="Q264" s="232"/>
      <c r="R264" s="475"/>
      <c r="S264" s="232"/>
      <c r="T264" s="731"/>
      <c r="U264" s="731"/>
      <c r="V264" s="263"/>
      <c r="W264" s="263"/>
      <c r="X264" s="263"/>
    </row>
    <row r="265" spans="1:24" ht="14.25" hidden="1" customHeight="1">
      <c r="A265" s="225">
        <f>ROW()-1</f>
        <v>264</v>
      </c>
      <c r="B265" s="476">
        <v>46141</v>
      </c>
      <c r="C265" s="234" t="s">
        <v>978</v>
      </c>
      <c r="D265" s="242" t="s">
        <v>131</v>
      </c>
      <c r="E265" s="232" t="s">
        <v>22</v>
      </c>
      <c r="F265" s="232" t="s">
        <v>60</v>
      </c>
      <c r="G265" s="234"/>
      <c r="H265" s="233">
        <v>9960278606</v>
      </c>
      <c r="I265" s="264" t="s">
        <v>979</v>
      </c>
      <c r="J265" s="267" t="s">
        <v>122</v>
      </c>
      <c r="K265" s="234" t="s">
        <v>139</v>
      </c>
      <c r="L265" s="232" t="s">
        <v>49</v>
      </c>
      <c r="M265" s="232" t="s">
        <v>40</v>
      </c>
      <c r="N265" s="234"/>
      <c r="O265" s="234"/>
      <c r="P265" s="590"/>
      <c r="Q265" s="232"/>
      <c r="R265" s="475"/>
      <c r="S265" s="232"/>
      <c r="T265" s="731"/>
      <c r="U265" s="731"/>
      <c r="V265" s="263"/>
      <c r="W265" s="263"/>
      <c r="X265" s="263"/>
    </row>
    <row r="266" spans="1:24" ht="14.25" hidden="1" customHeight="1">
      <c r="A266" s="225">
        <f>ROW()-1</f>
        <v>265</v>
      </c>
      <c r="B266" s="476">
        <v>46141</v>
      </c>
      <c r="C266" s="232" t="s">
        <v>980</v>
      </c>
      <c r="D266" s="484" t="s">
        <v>749</v>
      </c>
      <c r="E266" s="232" t="s">
        <v>214</v>
      </c>
      <c r="F266" s="232" t="s">
        <v>59</v>
      </c>
      <c r="G266" s="232" t="s">
        <v>981</v>
      </c>
      <c r="H266" s="233">
        <v>9000255200</v>
      </c>
      <c r="I266" s="232" t="s">
        <v>982</v>
      </c>
      <c r="J266" s="258" t="s">
        <v>47</v>
      </c>
      <c r="K266" s="552" t="s">
        <v>848</v>
      </c>
      <c r="L266" s="232" t="s">
        <v>58</v>
      </c>
      <c r="M266" s="232" t="s">
        <v>50</v>
      </c>
      <c r="N266" s="234"/>
      <c r="O266" s="234"/>
      <c r="P266" s="590"/>
      <c r="Q266" s="232"/>
      <c r="R266" s="475"/>
      <c r="S266" s="232"/>
      <c r="T266" s="731"/>
      <c r="U266" s="731"/>
      <c r="V266" s="263"/>
      <c r="W266" s="263"/>
      <c r="X266" s="263"/>
    </row>
    <row r="267" spans="1:24" ht="14.25" hidden="1" customHeight="1">
      <c r="A267" s="225">
        <f>ROW()-1</f>
        <v>266</v>
      </c>
      <c r="B267" s="471">
        <v>46141</v>
      </c>
      <c r="C267" s="236" t="s">
        <v>983</v>
      </c>
      <c r="D267" s="486" t="s">
        <v>984</v>
      </c>
      <c r="E267" s="236" t="s">
        <v>82</v>
      </c>
      <c r="F267" s="236" t="s">
        <v>73</v>
      </c>
      <c r="G267" s="236" t="s">
        <v>985</v>
      </c>
      <c r="H267" s="237">
        <v>9944756868</v>
      </c>
      <c r="I267" s="236" t="s">
        <v>986</v>
      </c>
      <c r="J267" s="258" t="s">
        <v>47</v>
      </c>
      <c r="K267" s="236" t="s">
        <v>987</v>
      </c>
      <c r="L267" s="236" t="s">
        <v>58</v>
      </c>
      <c r="M267" s="236" t="s">
        <v>50</v>
      </c>
      <c r="N267" s="238"/>
      <c r="O267" s="498"/>
      <c r="P267" s="589"/>
      <c r="Q267" s="236"/>
      <c r="R267" s="475"/>
      <c r="S267" s="236"/>
      <c r="T267" s="731"/>
      <c r="U267" s="731"/>
      <c r="V267" s="263"/>
      <c r="W267" s="263"/>
      <c r="X267" s="263"/>
    </row>
    <row r="268" spans="1:24" ht="14.25" hidden="1" customHeight="1">
      <c r="A268" s="225">
        <f>ROW()-1</f>
        <v>267</v>
      </c>
      <c r="B268" s="471">
        <v>46141</v>
      </c>
      <c r="C268" s="238" t="s">
        <v>469</v>
      </c>
      <c r="D268" s="240" t="s">
        <v>988</v>
      </c>
      <c r="E268" s="236" t="s">
        <v>22</v>
      </c>
      <c r="F268" s="236" t="s">
        <v>73</v>
      </c>
      <c r="G268" s="238" t="s">
        <v>989</v>
      </c>
      <c r="H268" s="237"/>
      <c r="I268" s="236"/>
      <c r="J268" s="257" t="s">
        <v>86</v>
      </c>
      <c r="K268" s="238" t="s">
        <v>990</v>
      </c>
      <c r="L268" s="236" t="s">
        <v>27</v>
      </c>
      <c r="M268" s="236" t="s">
        <v>40</v>
      </c>
      <c r="N268" s="238" t="s">
        <v>991</v>
      </c>
      <c r="O268" s="239">
        <v>46144</v>
      </c>
      <c r="P268" s="589">
        <v>15482238</v>
      </c>
      <c r="Q268" s="236" t="s">
        <v>292</v>
      </c>
      <c r="R268" s="475"/>
      <c r="S268" s="236"/>
      <c r="T268" s="731"/>
      <c r="U268" s="731"/>
      <c r="V268" s="263"/>
      <c r="W268" s="263"/>
      <c r="X268" s="263"/>
    </row>
    <row r="269" spans="1:24" ht="14.25" hidden="1" customHeight="1">
      <c r="A269" s="225">
        <f>ROW()-1</f>
        <v>268</v>
      </c>
      <c r="B269" s="471">
        <v>46141</v>
      </c>
      <c r="C269" s="238" t="s">
        <v>992</v>
      </c>
      <c r="D269" s="240" t="s">
        <v>927</v>
      </c>
      <c r="E269" s="236" t="s">
        <v>621</v>
      </c>
      <c r="F269" s="236" t="s">
        <v>23</v>
      </c>
      <c r="G269" s="238"/>
      <c r="H269" s="237"/>
      <c r="I269" s="255" t="s">
        <v>993</v>
      </c>
      <c r="J269" s="258" t="s">
        <v>47</v>
      </c>
      <c r="K269" s="238" t="s">
        <v>856</v>
      </c>
      <c r="L269" s="236" t="s">
        <v>27</v>
      </c>
      <c r="M269" s="236" t="s">
        <v>28</v>
      </c>
      <c r="N269" s="238" t="s">
        <v>994</v>
      </c>
      <c r="O269" s="625">
        <v>46141</v>
      </c>
      <c r="P269" s="589">
        <f>9070*95.4</f>
        <v>865278</v>
      </c>
      <c r="Q269" s="232" t="s">
        <v>70</v>
      </c>
      <c r="R269" s="475"/>
      <c r="S269" s="236"/>
      <c r="T269" s="731"/>
      <c r="U269" s="731"/>
      <c r="V269" s="263"/>
      <c r="W269" s="263"/>
      <c r="X269" s="263"/>
    </row>
    <row r="270" spans="1:24" ht="14.25" hidden="1" customHeight="1">
      <c r="A270" s="225">
        <f>ROW()-1</f>
        <v>269</v>
      </c>
      <c r="B270" s="471">
        <v>46141</v>
      </c>
      <c r="C270" s="236" t="s">
        <v>995</v>
      </c>
      <c r="D270" s="486" t="s">
        <v>996</v>
      </c>
      <c r="E270" s="236" t="s">
        <v>199</v>
      </c>
      <c r="F270" s="236" t="s">
        <v>73</v>
      </c>
      <c r="G270" s="236" t="s">
        <v>997</v>
      </c>
      <c r="H270" s="237">
        <v>9413516419</v>
      </c>
      <c r="I270" s="236" t="s">
        <v>860</v>
      </c>
      <c r="J270" s="483" t="s">
        <v>63</v>
      </c>
      <c r="K270" s="236" t="s">
        <v>998</v>
      </c>
      <c r="L270" s="236" t="s">
        <v>58</v>
      </c>
      <c r="M270" s="236" t="s">
        <v>50</v>
      </c>
      <c r="N270" s="238"/>
      <c r="O270" s="238"/>
      <c r="P270" s="589"/>
      <c r="Q270" s="236"/>
      <c r="R270" s="475"/>
      <c r="S270" s="236"/>
      <c r="T270" s="731"/>
      <c r="U270" s="731"/>
      <c r="V270" s="263"/>
      <c r="W270" s="263"/>
      <c r="X270" s="263"/>
    </row>
    <row r="271" spans="1:24" ht="14.25" hidden="1" customHeight="1">
      <c r="A271" s="225">
        <f>ROW()-1</f>
        <v>270</v>
      </c>
      <c r="B271" s="471">
        <v>46141</v>
      </c>
      <c r="C271" s="236" t="s">
        <v>999</v>
      </c>
      <c r="D271" s="486"/>
      <c r="E271" s="236"/>
      <c r="F271" s="236" t="s">
        <v>23</v>
      </c>
      <c r="G271" s="236" t="s">
        <v>1000</v>
      </c>
      <c r="H271" s="237">
        <v>8742906588</v>
      </c>
      <c r="I271" s="236"/>
      <c r="J271" s="258" t="s">
        <v>47</v>
      </c>
      <c r="K271" s="236" t="s">
        <v>1001</v>
      </c>
      <c r="L271" s="236" t="s">
        <v>58</v>
      </c>
      <c r="M271" s="236" t="s">
        <v>50</v>
      </c>
      <c r="N271" s="238"/>
      <c r="O271" s="238"/>
      <c r="P271" s="589"/>
      <c r="Q271" s="236"/>
      <c r="R271" s="475"/>
      <c r="S271" s="236"/>
      <c r="T271" s="731"/>
      <c r="U271" s="731"/>
      <c r="V271" s="263"/>
      <c r="W271" s="263"/>
      <c r="X271" s="263"/>
    </row>
    <row r="272" spans="1:24" ht="14.25" hidden="1" customHeight="1">
      <c r="A272" s="225">
        <f>ROW()-1</f>
        <v>271</v>
      </c>
      <c r="B272" s="476">
        <v>46142</v>
      </c>
      <c r="C272" s="232" t="s">
        <v>1002</v>
      </c>
      <c r="D272" s="484" t="s">
        <v>362</v>
      </c>
      <c r="E272" s="232" t="s">
        <v>143</v>
      </c>
      <c r="F272" s="232" t="s">
        <v>73</v>
      </c>
      <c r="G272" s="232" t="s">
        <v>1003</v>
      </c>
      <c r="H272" s="233">
        <v>9818682726</v>
      </c>
      <c r="I272" s="232" t="s">
        <v>1004</v>
      </c>
      <c r="J272" s="258" t="s">
        <v>47</v>
      </c>
      <c r="K272" s="232" t="s">
        <v>865</v>
      </c>
      <c r="L272" s="232" t="s">
        <v>58</v>
      </c>
      <c r="M272" s="232" t="s">
        <v>50</v>
      </c>
      <c r="N272" s="234"/>
      <c r="O272" s="234"/>
      <c r="P272" s="590"/>
      <c r="Q272" s="232"/>
      <c r="R272" s="475"/>
      <c r="S272" s="232"/>
      <c r="T272" s="731"/>
      <c r="U272" s="731"/>
      <c r="V272" s="263"/>
      <c r="W272" s="263"/>
      <c r="X272" s="263"/>
    </row>
    <row r="273" spans="1:24" ht="14.25" hidden="1" customHeight="1">
      <c r="A273" s="225">
        <f>ROW()-1</f>
        <v>272</v>
      </c>
      <c r="B273" s="471">
        <v>46142</v>
      </c>
      <c r="C273" s="238" t="s">
        <v>1005</v>
      </c>
      <c r="D273" s="240" t="s">
        <v>131</v>
      </c>
      <c r="E273" s="236" t="s">
        <v>22</v>
      </c>
      <c r="F273" s="236" t="s">
        <v>23</v>
      </c>
      <c r="G273" s="238" t="s">
        <v>1006</v>
      </c>
      <c r="H273" s="500">
        <v>8956032043</v>
      </c>
      <c r="I273" s="255" t="s">
        <v>1007</v>
      </c>
      <c r="J273" s="257" t="s">
        <v>66</v>
      </c>
      <c r="K273" s="238" t="s">
        <v>1008</v>
      </c>
      <c r="L273" s="236" t="s">
        <v>27</v>
      </c>
      <c r="M273" s="236" t="s">
        <v>40</v>
      </c>
      <c r="N273" s="238" t="s">
        <v>1009</v>
      </c>
      <c r="O273" s="239">
        <v>46142</v>
      </c>
      <c r="P273" s="589">
        <v>3905000</v>
      </c>
      <c r="Q273" s="236" t="s">
        <v>70</v>
      </c>
      <c r="R273" s="475"/>
      <c r="S273" s="236"/>
      <c r="T273" s="731"/>
      <c r="U273" s="731"/>
      <c r="V273" s="263"/>
      <c r="W273" s="263"/>
      <c r="X273" s="263"/>
    </row>
    <row r="274" spans="1:24" ht="14.25" hidden="1" customHeight="1">
      <c r="A274" s="225">
        <f>ROW()-1</f>
        <v>273</v>
      </c>
      <c r="B274" s="471">
        <v>46142</v>
      </c>
      <c r="C274" s="236" t="s">
        <v>1010</v>
      </c>
      <c r="D274" s="486" t="s">
        <v>655</v>
      </c>
      <c r="E274" s="236" t="s">
        <v>205</v>
      </c>
      <c r="F274" s="236" t="s">
        <v>32</v>
      </c>
      <c r="G274" s="236" t="s">
        <v>1011</v>
      </c>
      <c r="H274" s="237">
        <v>9448131687</v>
      </c>
      <c r="I274" s="236" t="s">
        <v>1012</v>
      </c>
      <c r="J274" s="481" t="s">
        <v>122</v>
      </c>
      <c r="K274" s="236" t="s">
        <v>1013</v>
      </c>
      <c r="L274" s="236" t="s">
        <v>58</v>
      </c>
      <c r="M274" s="236" t="s">
        <v>50</v>
      </c>
      <c r="N274" s="238"/>
      <c r="O274" s="238"/>
      <c r="P274" s="589"/>
      <c r="Q274" s="236"/>
      <c r="R274" s="475"/>
      <c r="S274" s="236"/>
      <c r="T274" s="731"/>
      <c r="U274" s="731"/>
      <c r="V274" s="263"/>
      <c r="W274" s="263"/>
      <c r="X274" s="263"/>
    </row>
    <row r="275" spans="1:24" ht="14.25" hidden="1" customHeight="1">
      <c r="A275" s="225">
        <f>ROW()-1</f>
        <v>274</v>
      </c>
      <c r="B275" s="471">
        <v>46143</v>
      </c>
      <c r="C275" s="236" t="s">
        <v>1014</v>
      </c>
      <c r="D275" s="486" t="s">
        <v>293</v>
      </c>
      <c r="E275" s="236" t="s">
        <v>22</v>
      </c>
      <c r="F275" s="236" t="s">
        <v>60</v>
      </c>
      <c r="G275" s="236" t="s">
        <v>1000</v>
      </c>
      <c r="H275" s="237">
        <v>9819623517</v>
      </c>
      <c r="I275" s="236" t="s">
        <v>1015</v>
      </c>
      <c r="J275" s="738" t="s">
        <v>63</v>
      </c>
      <c r="K275" s="236" t="s">
        <v>1016</v>
      </c>
      <c r="L275" s="236" t="s">
        <v>58</v>
      </c>
      <c r="M275" s="236" t="s">
        <v>40</v>
      </c>
      <c r="N275" s="238"/>
      <c r="O275" s="238"/>
      <c r="P275" s="589"/>
      <c r="Q275" s="236"/>
      <c r="R275" s="475"/>
      <c r="S275" s="236"/>
      <c r="T275" s="731"/>
      <c r="U275" s="731"/>
      <c r="V275" s="263"/>
      <c r="W275" s="263"/>
      <c r="X275" s="263"/>
    </row>
    <row r="276" spans="1:24" ht="14.25" hidden="1" customHeight="1">
      <c r="A276" s="225">
        <f>ROW()-1</f>
        <v>275</v>
      </c>
      <c r="B276" s="471">
        <v>46143</v>
      </c>
      <c r="C276" s="238" t="s">
        <v>874</v>
      </c>
      <c r="D276" s="240"/>
      <c r="E276" s="236" t="s">
        <v>22</v>
      </c>
      <c r="F276" s="236" t="s">
        <v>60</v>
      </c>
      <c r="G276" s="238" t="s">
        <v>1017</v>
      </c>
      <c r="H276" s="237">
        <v>7887875020</v>
      </c>
      <c r="I276" s="255" t="s">
        <v>1018</v>
      </c>
      <c r="J276" s="257" t="s">
        <v>25</v>
      </c>
      <c r="K276" s="501" t="s">
        <v>876</v>
      </c>
      <c r="L276" s="236" t="s">
        <v>117</v>
      </c>
      <c r="M276" s="236" t="s">
        <v>28</v>
      </c>
      <c r="N276" s="238" t="s">
        <v>1019</v>
      </c>
      <c r="O276" s="239">
        <v>46058</v>
      </c>
      <c r="P276" s="589">
        <v>4458576</v>
      </c>
      <c r="Q276" s="236" t="s">
        <v>30</v>
      </c>
      <c r="R276" s="478">
        <v>46170</v>
      </c>
      <c r="S276" s="236"/>
      <c r="T276" s="731"/>
      <c r="U276" s="731"/>
      <c r="V276" s="263"/>
      <c r="W276" s="263"/>
      <c r="X276" s="263"/>
    </row>
    <row r="277" spans="1:24" ht="14.25" hidden="1" customHeight="1">
      <c r="A277" s="225">
        <f>ROW()-1</f>
        <v>276</v>
      </c>
      <c r="B277" s="476">
        <v>46143</v>
      </c>
      <c r="C277" s="234" t="s">
        <v>1020</v>
      </c>
      <c r="D277" s="242" t="s">
        <v>859</v>
      </c>
      <c r="E277" s="232" t="s">
        <v>22</v>
      </c>
      <c r="F277" s="232" t="s">
        <v>73</v>
      </c>
      <c r="G277" s="234" t="s">
        <v>878</v>
      </c>
      <c r="H277" s="233">
        <v>7774062559</v>
      </c>
      <c r="I277" s="264" t="s">
        <v>1021</v>
      </c>
      <c r="J277" s="267" t="s">
        <v>86</v>
      </c>
      <c r="K277" s="234" t="s">
        <v>1022</v>
      </c>
      <c r="L277" s="232" t="s">
        <v>117</v>
      </c>
      <c r="M277" s="232" t="s">
        <v>77</v>
      </c>
      <c r="N277" s="234" t="s">
        <v>1023</v>
      </c>
      <c r="O277" s="235">
        <v>46058</v>
      </c>
      <c r="P277" s="590">
        <v>10480405</v>
      </c>
      <c r="Q277" s="232" t="s">
        <v>70</v>
      </c>
      <c r="R277" s="478"/>
      <c r="S277" s="232"/>
      <c r="T277" s="731"/>
      <c r="U277" s="731"/>
      <c r="V277" s="263"/>
      <c r="W277" s="263"/>
      <c r="X277" s="263"/>
    </row>
    <row r="278" spans="1:24" ht="14.25" hidden="1" customHeight="1">
      <c r="A278" s="225">
        <f>ROW()-1</f>
        <v>277</v>
      </c>
      <c r="B278" s="476">
        <v>46143</v>
      </c>
      <c r="C278" s="232" t="s">
        <v>881</v>
      </c>
      <c r="D278" s="484" t="s">
        <v>795</v>
      </c>
      <c r="E278" s="232" t="s">
        <v>162</v>
      </c>
      <c r="F278" s="232" t="s">
        <v>23</v>
      </c>
      <c r="G278" s="232" t="s">
        <v>1024</v>
      </c>
      <c r="H278" s="233">
        <v>7000629389</v>
      </c>
      <c r="I278" s="232"/>
      <c r="J278" s="481" t="s">
        <v>122</v>
      </c>
      <c r="K278" s="232" t="s">
        <v>1025</v>
      </c>
      <c r="L278" s="232" t="s">
        <v>58</v>
      </c>
      <c r="M278" s="232" t="s">
        <v>50</v>
      </c>
      <c r="N278" s="234"/>
      <c r="O278" s="234"/>
      <c r="P278" s="590"/>
      <c r="Q278" s="232"/>
      <c r="R278" s="475"/>
      <c r="S278" s="232"/>
      <c r="T278" s="731"/>
      <c r="U278" s="731"/>
      <c r="V278" s="263"/>
      <c r="W278" s="263"/>
      <c r="X278" s="263"/>
    </row>
    <row r="279" spans="1:24" ht="14.25" hidden="1" customHeight="1">
      <c r="A279" s="225">
        <f>ROW()-1</f>
        <v>278</v>
      </c>
      <c r="B279" s="471">
        <v>46143</v>
      </c>
      <c r="C279" s="236" t="s">
        <v>1026</v>
      </c>
      <c r="D279" s="486" t="s">
        <v>730</v>
      </c>
      <c r="E279" s="236" t="s">
        <v>730</v>
      </c>
      <c r="F279" s="236" t="s">
        <v>23</v>
      </c>
      <c r="G279" s="236" t="s">
        <v>1027</v>
      </c>
      <c r="H279" s="237">
        <v>7011288663</v>
      </c>
      <c r="I279" s="236"/>
      <c r="J279" s="488" t="s">
        <v>567</v>
      </c>
      <c r="K279" s="236" t="s">
        <v>1028</v>
      </c>
      <c r="L279" s="236" t="s">
        <v>58</v>
      </c>
      <c r="M279" s="236" t="s">
        <v>50</v>
      </c>
      <c r="N279" s="238"/>
      <c r="O279" s="238"/>
      <c r="P279" s="589"/>
      <c r="Q279" s="236"/>
      <c r="R279" s="475"/>
      <c r="S279" s="236"/>
      <c r="T279" s="731"/>
      <c r="U279" s="731"/>
      <c r="V279" s="263"/>
      <c r="W279" s="263"/>
      <c r="X279" s="263"/>
    </row>
    <row r="280" spans="1:24" ht="14.25" hidden="1" customHeight="1">
      <c r="A280" s="225">
        <f>ROW()-1</f>
        <v>279</v>
      </c>
      <c r="B280" s="476">
        <v>46143</v>
      </c>
      <c r="C280" s="612" t="s">
        <v>885</v>
      </c>
      <c r="D280" s="613" t="s">
        <v>205</v>
      </c>
      <c r="E280" s="232" t="s">
        <v>22</v>
      </c>
      <c r="F280" s="232"/>
      <c r="G280" s="234"/>
      <c r="H280" s="233"/>
      <c r="I280" s="232" t="s">
        <v>1029</v>
      </c>
      <c r="J280" s="481" t="s">
        <v>122</v>
      </c>
      <c r="K280" s="234"/>
      <c r="L280" s="232" t="s">
        <v>117</v>
      </c>
      <c r="M280" s="232" t="s">
        <v>77</v>
      </c>
      <c r="N280" s="234"/>
      <c r="O280" s="234"/>
      <c r="P280" s="590"/>
      <c r="Q280" s="232"/>
      <c r="R280" s="475"/>
      <c r="S280" s="232"/>
      <c r="T280" s="731"/>
      <c r="U280" s="731"/>
      <c r="V280" s="263"/>
      <c r="W280" s="263"/>
      <c r="X280" s="263"/>
    </row>
    <row r="281" spans="1:24" ht="14.25" hidden="1" customHeight="1">
      <c r="A281" s="225">
        <f>ROW()-1</f>
        <v>280</v>
      </c>
      <c r="B281" s="476">
        <v>46144</v>
      </c>
      <c r="C281" s="234" t="s">
        <v>1030</v>
      </c>
      <c r="D281" s="242" t="s">
        <v>668</v>
      </c>
      <c r="E281" s="232" t="s">
        <v>193</v>
      </c>
      <c r="F281" s="232" t="s">
        <v>23</v>
      </c>
      <c r="G281" s="234"/>
      <c r="H281" s="233">
        <v>7621020162</v>
      </c>
      <c r="I281" s="558" t="s">
        <v>139</v>
      </c>
      <c r="J281" s="481" t="s">
        <v>122</v>
      </c>
      <c r="K281" s="234" t="s">
        <v>1030</v>
      </c>
      <c r="L281" s="232" t="s">
        <v>49</v>
      </c>
      <c r="M281" s="232" t="s">
        <v>50</v>
      </c>
      <c r="N281" s="234"/>
      <c r="O281" s="234"/>
      <c r="P281" s="590"/>
      <c r="Q281" s="232"/>
      <c r="R281" s="475"/>
      <c r="S281" s="232"/>
      <c r="T281" s="731" t="s">
        <v>1031</v>
      </c>
      <c r="U281" s="731"/>
      <c r="V281" s="263"/>
      <c r="W281" s="263"/>
      <c r="X281" s="263"/>
    </row>
    <row r="282" spans="1:24" ht="14.25" hidden="1" customHeight="1">
      <c r="A282" s="225">
        <f>ROW()-1</f>
        <v>281</v>
      </c>
      <c r="B282" s="476">
        <v>46144</v>
      </c>
      <c r="C282" s="234" t="s">
        <v>609</v>
      </c>
      <c r="D282" s="242" t="s">
        <v>131</v>
      </c>
      <c r="E282" s="232" t="s">
        <v>22</v>
      </c>
      <c r="F282" s="232" t="s">
        <v>59</v>
      </c>
      <c r="G282" s="234" t="s">
        <v>1032</v>
      </c>
      <c r="H282" s="233"/>
      <c r="I282" s="600" t="s">
        <v>1033</v>
      </c>
      <c r="J282" s="257" t="s">
        <v>66</v>
      </c>
      <c r="K282" s="560" t="s">
        <v>889</v>
      </c>
      <c r="L282" s="232" t="s">
        <v>27</v>
      </c>
      <c r="M282" s="232" t="s">
        <v>40</v>
      </c>
      <c r="N282" s="234" t="s">
        <v>1034</v>
      </c>
      <c r="O282" s="235">
        <v>46059</v>
      </c>
      <c r="P282" s="590">
        <v>76464</v>
      </c>
      <c r="Q282" s="232" t="s">
        <v>70</v>
      </c>
      <c r="R282" s="475"/>
      <c r="S282" s="232"/>
      <c r="T282" s="731"/>
      <c r="U282" s="731"/>
      <c r="V282" s="263"/>
      <c r="W282" s="263"/>
      <c r="X282" s="263"/>
    </row>
    <row r="283" spans="1:24" ht="14.25" hidden="1" customHeight="1">
      <c r="A283" s="225">
        <f>ROW()-1</f>
        <v>282</v>
      </c>
      <c r="B283" s="471">
        <v>46144</v>
      </c>
      <c r="C283" s="236" t="s">
        <v>1035</v>
      </c>
      <c r="D283" s="486" t="s">
        <v>891</v>
      </c>
      <c r="E283" s="236" t="s">
        <v>199</v>
      </c>
      <c r="F283" s="236" t="s">
        <v>73</v>
      </c>
      <c r="G283" s="236" t="s">
        <v>591</v>
      </c>
      <c r="H283" s="237">
        <v>7976928435</v>
      </c>
      <c r="I283" s="236"/>
      <c r="J283" s="488" t="s">
        <v>122</v>
      </c>
      <c r="K283" s="236" t="s">
        <v>1036</v>
      </c>
      <c r="L283" s="236" t="s">
        <v>58</v>
      </c>
      <c r="M283" s="236" t="s">
        <v>50</v>
      </c>
      <c r="N283" s="238"/>
      <c r="O283" s="238"/>
      <c r="P283" s="589"/>
      <c r="Q283" s="236"/>
      <c r="R283" s="475"/>
      <c r="S283" s="236"/>
      <c r="T283" s="731"/>
      <c r="U283" s="731"/>
      <c r="V283" s="263"/>
      <c r="W283" s="263"/>
      <c r="X283" s="263"/>
    </row>
    <row r="284" spans="1:24" ht="14.25" hidden="1" customHeight="1">
      <c r="A284" s="225">
        <f>ROW()-1</f>
        <v>283</v>
      </c>
      <c r="B284" s="476">
        <v>46144</v>
      </c>
      <c r="C284" s="234" t="s">
        <v>893</v>
      </c>
      <c r="D284" s="242" t="s">
        <v>618</v>
      </c>
      <c r="E284" s="232" t="s">
        <v>82</v>
      </c>
      <c r="F284" s="232" t="s">
        <v>32</v>
      </c>
      <c r="G284" s="234"/>
      <c r="H284" s="233">
        <v>8925825233</v>
      </c>
      <c r="I284" s="600" t="s">
        <v>1037</v>
      </c>
      <c r="J284" s="488" t="s">
        <v>567</v>
      </c>
      <c r="K284" s="560" t="s">
        <v>898</v>
      </c>
      <c r="L284" s="232" t="s">
        <v>49</v>
      </c>
      <c r="M284" s="232" t="s">
        <v>50</v>
      </c>
      <c r="N284" s="234"/>
      <c r="O284" s="509"/>
      <c r="P284" s="590"/>
      <c r="Q284" s="232"/>
      <c r="R284" s="475"/>
      <c r="S284" s="232"/>
      <c r="T284" s="731"/>
      <c r="U284" s="731"/>
      <c r="V284" s="263"/>
      <c r="W284" s="263"/>
      <c r="X284" s="263"/>
    </row>
    <row r="285" spans="1:24" ht="14.25" hidden="1" customHeight="1">
      <c r="A285" s="225">
        <f>ROW()-1</f>
        <v>284</v>
      </c>
      <c r="B285" s="471">
        <v>46144</v>
      </c>
      <c r="C285" s="238" t="s">
        <v>1038</v>
      </c>
      <c r="D285" s="240" t="s">
        <v>424</v>
      </c>
      <c r="E285" s="236" t="s">
        <v>22</v>
      </c>
      <c r="F285" s="236" t="s">
        <v>44</v>
      </c>
      <c r="G285" s="238"/>
      <c r="H285" s="237">
        <v>9922448290</v>
      </c>
      <c r="I285" s="480" t="s">
        <v>139</v>
      </c>
      <c r="J285" s="488" t="s">
        <v>567</v>
      </c>
      <c r="K285" s="560" t="s">
        <v>139</v>
      </c>
      <c r="L285" s="236" t="s">
        <v>49</v>
      </c>
      <c r="M285" s="236" t="s">
        <v>50</v>
      </c>
      <c r="N285" s="238"/>
      <c r="O285" s="238"/>
      <c r="P285" s="589"/>
      <c r="Q285" s="236"/>
      <c r="R285" s="475"/>
      <c r="S285" s="236"/>
      <c r="T285" s="731"/>
      <c r="U285" s="731"/>
      <c r="V285" s="263"/>
      <c r="W285" s="263"/>
      <c r="X285" s="263"/>
    </row>
    <row r="286" spans="1:24" ht="14.25" hidden="1" customHeight="1">
      <c r="A286" s="225">
        <f>ROW()-1</f>
        <v>285</v>
      </c>
      <c r="B286" s="471">
        <v>46144</v>
      </c>
      <c r="C286" s="502" t="s">
        <v>35</v>
      </c>
      <c r="D286" s="503" t="s">
        <v>988</v>
      </c>
      <c r="E286" s="504" t="s">
        <v>22</v>
      </c>
      <c r="F286" s="504" t="s">
        <v>60</v>
      </c>
      <c r="G286" s="502" t="s">
        <v>1039</v>
      </c>
      <c r="H286" s="505">
        <v>9403746979</v>
      </c>
      <c r="I286" s="506" t="s">
        <v>896</v>
      </c>
      <c r="J286" s="257" t="s">
        <v>66</v>
      </c>
      <c r="K286" s="502" t="s">
        <v>1040</v>
      </c>
      <c r="L286" s="504" t="s">
        <v>27</v>
      </c>
      <c r="M286" s="504" t="s">
        <v>40</v>
      </c>
      <c r="N286" s="502" t="s">
        <v>1041</v>
      </c>
      <c r="O286" s="507">
        <v>46144</v>
      </c>
      <c r="P286" s="592">
        <v>117007</v>
      </c>
      <c r="Q286" s="504" t="s">
        <v>98</v>
      </c>
      <c r="R286" s="508"/>
      <c r="S286" s="504"/>
      <c r="T286" s="731"/>
      <c r="U286" s="731"/>
      <c r="V286" s="263"/>
      <c r="W286" s="263"/>
      <c r="X286" s="263"/>
    </row>
    <row r="287" spans="1:24" ht="14.25" hidden="1" customHeight="1">
      <c r="A287" s="225">
        <f>ROW()-1</f>
        <v>286</v>
      </c>
      <c r="B287" s="471">
        <v>46144</v>
      </c>
      <c r="C287" s="502" t="s">
        <v>35</v>
      </c>
      <c r="D287" s="503" t="s">
        <v>988</v>
      </c>
      <c r="E287" s="732" t="s">
        <v>22</v>
      </c>
      <c r="F287" s="504" t="s">
        <v>60</v>
      </c>
      <c r="G287" s="502" t="s">
        <v>1042</v>
      </c>
      <c r="H287" s="505">
        <v>7738346212</v>
      </c>
      <c r="I287" s="504" t="s">
        <v>1043</v>
      </c>
      <c r="J287" s="257" t="s">
        <v>66</v>
      </c>
      <c r="K287" s="502" t="s">
        <v>1044</v>
      </c>
      <c r="L287" s="504" t="s">
        <v>27</v>
      </c>
      <c r="M287" s="504" t="s">
        <v>40</v>
      </c>
      <c r="N287" s="502" t="s">
        <v>1045</v>
      </c>
      <c r="O287" s="507">
        <v>46144</v>
      </c>
      <c r="P287" s="592">
        <v>313347</v>
      </c>
      <c r="Q287" s="504" t="s">
        <v>292</v>
      </c>
      <c r="R287" s="508">
        <v>46146</v>
      </c>
      <c r="S287" s="504"/>
      <c r="T287" s="731"/>
      <c r="U287" s="731"/>
      <c r="V287" s="263"/>
      <c r="W287" s="263"/>
      <c r="X287" s="263"/>
    </row>
    <row r="288" spans="1:24" ht="14.25" hidden="1" customHeight="1">
      <c r="A288" s="225">
        <f>ROW()-1</f>
        <v>287</v>
      </c>
      <c r="B288" s="471">
        <v>46144</v>
      </c>
      <c r="C288" s="238" t="s">
        <v>520</v>
      </c>
      <c r="D288" s="240" t="s">
        <v>237</v>
      </c>
      <c r="E288" s="236" t="s">
        <v>143</v>
      </c>
      <c r="F288" s="236" t="s">
        <v>73</v>
      </c>
      <c r="G288" s="473" t="s">
        <v>901</v>
      </c>
      <c r="H288" s="237">
        <v>7982466305</v>
      </c>
      <c r="I288" s="480" t="s">
        <v>139</v>
      </c>
      <c r="J288" s="481" t="s">
        <v>122</v>
      </c>
      <c r="K288" s="234" t="s">
        <v>139</v>
      </c>
      <c r="L288" s="236" t="s">
        <v>49</v>
      </c>
      <c r="M288" s="236" t="s">
        <v>50</v>
      </c>
      <c r="N288" s="238"/>
      <c r="O288" s="493"/>
      <c r="P288" s="589"/>
      <c r="Q288" s="236"/>
      <c r="R288" s="475"/>
      <c r="S288" s="236"/>
      <c r="T288" s="731"/>
      <c r="U288" s="731"/>
      <c r="V288" s="263"/>
      <c r="W288" s="263"/>
      <c r="X288" s="263"/>
    </row>
    <row r="289" spans="1:24" ht="14.25" hidden="1" customHeight="1">
      <c r="A289" s="225">
        <f>ROW()-1</f>
        <v>288</v>
      </c>
      <c r="B289" s="476">
        <v>46144</v>
      </c>
      <c r="C289" s="234" t="s">
        <v>721</v>
      </c>
      <c r="D289" s="242" t="s">
        <v>131</v>
      </c>
      <c r="E289" s="232" t="s">
        <v>22</v>
      </c>
      <c r="F289" s="232" t="s">
        <v>23</v>
      </c>
      <c r="G289" s="234"/>
      <c r="H289" s="233">
        <v>9168227695</v>
      </c>
      <c r="I289" s="264" t="s">
        <v>722</v>
      </c>
      <c r="J289" s="483" t="s">
        <v>63</v>
      </c>
      <c r="K289" s="234" t="s">
        <v>139</v>
      </c>
      <c r="L289" s="232" t="s">
        <v>49</v>
      </c>
      <c r="M289" s="232" t="s">
        <v>50</v>
      </c>
      <c r="N289" s="234"/>
      <c r="O289" s="234"/>
      <c r="P289" s="590"/>
      <c r="Q289" s="232"/>
      <c r="R289" s="475"/>
      <c r="S289" s="232"/>
      <c r="T289" s="731"/>
      <c r="U289" s="731"/>
      <c r="V289" s="263"/>
      <c r="W289" s="263"/>
      <c r="X289" s="263"/>
    </row>
    <row r="290" spans="1:24" ht="14.25" hidden="1" customHeight="1">
      <c r="A290" s="225">
        <f>ROW()-1</f>
        <v>289</v>
      </c>
      <c r="B290" s="476">
        <v>46144</v>
      </c>
      <c r="C290" s="232" t="s">
        <v>1046</v>
      </c>
      <c r="D290" s="484" t="s">
        <v>655</v>
      </c>
      <c r="E290" s="232" t="s">
        <v>205</v>
      </c>
      <c r="F290" s="232" t="s">
        <v>59</v>
      </c>
      <c r="G290" s="232" t="s">
        <v>1047</v>
      </c>
      <c r="H290" s="233">
        <v>9035186288</v>
      </c>
      <c r="I290" s="232"/>
      <c r="J290" s="258" t="s">
        <v>47</v>
      </c>
      <c r="K290" s="232" t="s">
        <v>1048</v>
      </c>
      <c r="L290" s="232" t="s">
        <v>58</v>
      </c>
      <c r="M290" s="232" t="s">
        <v>50</v>
      </c>
      <c r="N290" s="234"/>
      <c r="O290" s="234"/>
      <c r="P290" s="590"/>
      <c r="Q290" s="232"/>
      <c r="R290" s="475"/>
      <c r="S290" s="232"/>
      <c r="T290" s="731"/>
      <c r="U290" s="731"/>
      <c r="V290" s="263"/>
      <c r="W290" s="263"/>
      <c r="X290" s="263"/>
    </row>
    <row r="291" spans="1:24" ht="14.25" hidden="1" customHeight="1">
      <c r="A291" s="225">
        <f>ROW()-1</f>
        <v>290</v>
      </c>
      <c r="B291" s="476">
        <v>46144</v>
      </c>
      <c r="C291" s="232" t="s">
        <v>1049</v>
      </c>
      <c r="D291" s="484"/>
      <c r="E291" s="232" t="s">
        <v>193</v>
      </c>
      <c r="F291" s="232" t="s">
        <v>60</v>
      </c>
      <c r="G291" s="232" t="s">
        <v>553</v>
      </c>
      <c r="H291" s="233">
        <v>8169626112</v>
      </c>
      <c r="I291" s="232"/>
      <c r="J291" s="739" t="s">
        <v>567</v>
      </c>
      <c r="K291" s="232"/>
      <c r="L291" s="232" t="s">
        <v>58</v>
      </c>
      <c r="M291" s="232" t="s">
        <v>40</v>
      </c>
      <c r="N291" s="234"/>
      <c r="O291" s="234"/>
      <c r="P291" s="590"/>
      <c r="Q291" s="232"/>
      <c r="R291" s="475"/>
      <c r="S291" s="232"/>
      <c r="T291" s="731"/>
      <c r="U291" s="731"/>
      <c r="V291" s="263"/>
      <c r="W291" s="263"/>
      <c r="X291" s="263"/>
    </row>
    <row r="292" spans="1:24" ht="14.25" hidden="1" customHeight="1">
      <c r="A292" s="225">
        <f>ROW()-1</f>
        <v>291</v>
      </c>
      <c r="B292" s="471">
        <v>46144</v>
      </c>
      <c r="C292" s="236" t="s">
        <v>905</v>
      </c>
      <c r="D292" s="486" t="s">
        <v>142</v>
      </c>
      <c r="E292" s="236" t="s">
        <v>143</v>
      </c>
      <c r="F292" s="236" t="s">
        <v>73</v>
      </c>
      <c r="G292" s="236" t="s">
        <v>591</v>
      </c>
      <c r="H292" s="237">
        <v>8265868052</v>
      </c>
      <c r="I292" s="236" t="s">
        <v>1050</v>
      </c>
      <c r="J292" s="488" t="s">
        <v>567</v>
      </c>
      <c r="K292" s="236" t="s">
        <v>1051</v>
      </c>
      <c r="L292" s="236" t="s">
        <v>58</v>
      </c>
      <c r="M292" s="236" t="s">
        <v>50</v>
      </c>
      <c r="N292" s="238"/>
      <c r="O292" s="238"/>
      <c r="P292" s="589"/>
      <c r="Q292" s="236"/>
      <c r="R292" s="475"/>
      <c r="S292" s="236"/>
      <c r="T292" s="731"/>
      <c r="U292" s="731"/>
      <c r="V292" s="263"/>
      <c r="W292" s="263"/>
      <c r="X292" s="263"/>
    </row>
    <row r="293" spans="1:24" ht="14.25" hidden="1" customHeight="1">
      <c r="A293" s="225">
        <f>ROW()-1</f>
        <v>292</v>
      </c>
      <c r="B293" s="476">
        <v>46144</v>
      </c>
      <c r="C293" s="232" t="s">
        <v>1052</v>
      </c>
      <c r="D293" s="484" t="s">
        <v>1053</v>
      </c>
      <c r="E293" s="232" t="s">
        <v>759</v>
      </c>
      <c r="F293" s="232" t="s">
        <v>60</v>
      </c>
      <c r="G293" s="232" t="s">
        <v>1054</v>
      </c>
      <c r="H293" s="233">
        <v>9371067788</v>
      </c>
      <c r="I293" s="232" t="s">
        <v>909</v>
      </c>
      <c r="J293" s="737" t="s">
        <v>171</v>
      </c>
      <c r="K293" s="232" t="s">
        <v>1055</v>
      </c>
      <c r="L293" s="232" t="s">
        <v>58</v>
      </c>
      <c r="M293" s="232" t="s">
        <v>40</v>
      </c>
      <c r="N293" s="234"/>
      <c r="O293" s="234"/>
      <c r="P293" s="590"/>
      <c r="Q293" s="232"/>
      <c r="R293" s="475"/>
      <c r="S293" s="232"/>
      <c r="T293" s="731"/>
      <c r="U293" s="731"/>
      <c r="V293" s="263"/>
      <c r="W293" s="263"/>
      <c r="X293" s="263"/>
    </row>
    <row r="294" spans="1:24" ht="14.25" hidden="1" customHeight="1">
      <c r="A294" s="225">
        <f>ROW()-1</f>
        <v>293</v>
      </c>
      <c r="B294" s="471">
        <v>46144</v>
      </c>
      <c r="C294" s="236" t="s">
        <v>1056</v>
      </c>
      <c r="D294" s="486"/>
      <c r="E294" s="236"/>
      <c r="F294" s="236" t="s">
        <v>23</v>
      </c>
      <c r="G294" s="236" t="s">
        <v>1057</v>
      </c>
      <c r="H294" s="237">
        <v>9528115504</v>
      </c>
      <c r="I294" s="236"/>
      <c r="J294" s="481" t="s">
        <v>122</v>
      </c>
      <c r="K294" s="236" t="s">
        <v>1058</v>
      </c>
      <c r="L294" s="236" t="s">
        <v>58</v>
      </c>
      <c r="M294" s="236" t="s">
        <v>50</v>
      </c>
      <c r="N294" s="238"/>
      <c r="O294" s="498"/>
      <c r="P294" s="589"/>
      <c r="Q294" s="236"/>
      <c r="R294" s="475"/>
      <c r="S294" s="236"/>
      <c r="T294" s="731"/>
      <c r="U294" s="731"/>
      <c r="V294" s="263"/>
      <c r="W294" s="263"/>
      <c r="X294" s="263"/>
    </row>
    <row r="295" spans="1:24" ht="14.25" hidden="1" customHeight="1">
      <c r="A295" s="225">
        <f>ROW()-1</f>
        <v>294</v>
      </c>
      <c r="B295" s="471">
        <v>46145</v>
      </c>
      <c r="C295" s="238" t="s">
        <v>1059</v>
      </c>
      <c r="D295" s="240" t="s">
        <v>1060</v>
      </c>
      <c r="E295" s="236" t="s">
        <v>199</v>
      </c>
      <c r="F295" s="236" t="s">
        <v>59</v>
      </c>
      <c r="G295" s="238" t="s">
        <v>1061</v>
      </c>
      <c r="H295" s="237">
        <v>9411220500</v>
      </c>
      <c r="I295" s="255" t="s">
        <v>914</v>
      </c>
      <c r="J295" s="481" t="s">
        <v>122</v>
      </c>
      <c r="K295" s="238" t="s">
        <v>1059</v>
      </c>
      <c r="L295" s="236" t="s">
        <v>49</v>
      </c>
      <c r="M295" s="236" t="s">
        <v>50</v>
      </c>
      <c r="N295" s="238"/>
      <c r="O295" s="238"/>
      <c r="P295" s="589"/>
      <c r="Q295" s="236"/>
      <c r="R295" s="475"/>
      <c r="S295" s="236"/>
      <c r="T295" s="731"/>
      <c r="U295" s="731"/>
      <c r="V295" s="263"/>
      <c r="W295" s="263"/>
      <c r="X295" s="263"/>
    </row>
    <row r="296" spans="1:24" ht="14.25" hidden="1" customHeight="1">
      <c r="A296" s="225">
        <f>ROW()-1</f>
        <v>295</v>
      </c>
      <c r="B296" s="476">
        <v>46145</v>
      </c>
      <c r="C296" s="234" t="s">
        <v>1062</v>
      </c>
      <c r="D296" s="242" t="s">
        <v>131</v>
      </c>
      <c r="E296" s="232" t="s">
        <v>22</v>
      </c>
      <c r="F296" s="232" t="s">
        <v>73</v>
      </c>
      <c r="G296" s="234" t="s">
        <v>1063</v>
      </c>
      <c r="H296" s="233"/>
      <c r="I296" s="600" t="s">
        <v>1064</v>
      </c>
      <c r="J296" s="257" t="s">
        <v>66</v>
      </c>
      <c r="K296" s="560"/>
      <c r="L296" s="232" t="s">
        <v>117</v>
      </c>
      <c r="M296" s="232" t="s">
        <v>28</v>
      </c>
      <c r="N296" s="234" t="s">
        <v>1065</v>
      </c>
      <c r="O296" s="235">
        <v>46146</v>
      </c>
      <c r="P296" s="590">
        <v>5090031</v>
      </c>
      <c r="Q296" s="232" t="s">
        <v>70</v>
      </c>
      <c r="R296" s="475"/>
      <c r="S296" s="232"/>
      <c r="T296" s="731"/>
      <c r="U296" s="731"/>
      <c r="V296" s="263"/>
      <c r="W296" s="263"/>
      <c r="X296" s="263"/>
    </row>
    <row r="297" spans="1:24" ht="14.25" hidden="1" customHeight="1">
      <c r="A297" s="225">
        <f>ROW()-1</f>
        <v>296</v>
      </c>
      <c r="B297" s="471">
        <v>46145</v>
      </c>
      <c r="C297" s="238" t="s">
        <v>1066</v>
      </c>
      <c r="D297" s="240" t="s">
        <v>131</v>
      </c>
      <c r="E297" s="236" t="s">
        <v>22</v>
      </c>
      <c r="F297" s="236" t="s">
        <v>59</v>
      </c>
      <c r="G297" s="238" t="s">
        <v>1067</v>
      </c>
      <c r="H297" s="237"/>
      <c r="I297" s="255" t="s">
        <v>1068</v>
      </c>
      <c r="J297" s="257" t="s">
        <v>66</v>
      </c>
      <c r="K297" s="238" t="s">
        <v>1069</v>
      </c>
      <c r="L297" s="232" t="s">
        <v>49</v>
      </c>
      <c r="M297" s="236" t="s">
        <v>50</v>
      </c>
      <c r="N297" s="238" t="s">
        <v>1070</v>
      </c>
      <c r="O297" s="239">
        <v>46146</v>
      </c>
      <c r="P297" s="589">
        <v>3060000</v>
      </c>
      <c r="Q297" s="232" t="s">
        <v>70</v>
      </c>
      <c r="R297" s="475"/>
      <c r="S297" s="236"/>
      <c r="T297" s="731"/>
      <c r="U297" s="731"/>
      <c r="V297" s="263"/>
      <c r="W297" s="263"/>
      <c r="X297" s="263"/>
    </row>
    <row r="298" spans="1:24" ht="14.25" hidden="1" customHeight="1">
      <c r="A298" s="225">
        <f>ROW()-1</f>
        <v>297</v>
      </c>
      <c r="B298" s="476">
        <v>46145</v>
      </c>
      <c r="C298" s="234" t="s">
        <v>921</v>
      </c>
      <c r="D298" s="242" t="s">
        <v>1071</v>
      </c>
      <c r="E298" s="232" t="s">
        <v>126</v>
      </c>
      <c r="F298" s="232" t="s">
        <v>23</v>
      </c>
      <c r="G298" s="234"/>
      <c r="H298" s="233">
        <v>9896752774</v>
      </c>
      <c r="I298" s="480" t="s">
        <v>139</v>
      </c>
      <c r="J298" s="481" t="s">
        <v>122</v>
      </c>
      <c r="K298" s="234" t="s">
        <v>139</v>
      </c>
      <c r="L298" s="232" t="s">
        <v>49</v>
      </c>
      <c r="M298" s="232" t="s">
        <v>50</v>
      </c>
      <c r="N298" s="234"/>
      <c r="O298" s="509"/>
      <c r="P298" s="590"/>
      <c r="Q298" s="232"/>
      <c r="R298" s="475"/>
      <c r="S298" s="232"/>
      <c r="T298" s="731"/>
      <c r="U298" s="731"/>
      <c r="V298" s="263"/>
      <c r="W298" s="263"/>
      <c r="X298" s="263"/>
    </row>
    <row r="299" spans="1:24" ht="14.25" hidden="1" customHeight="1">
      <c r="A299" s="225">
        <f>ROW()-1</f>
        <v>298</v>
      </c>
      <c r="B299" s="476">
        <v>46146</v>
      </c>
      <c r="C299" s="234" t="s">
        <v>874</v>
      </c>
      <c r="D299" s="242"/>
      <c r="E299" s="232" t="s">
        <v>22</v>
      </c>
      <c r="F299" s="232" t="s">
        <v>32</v>
      </c>
      <c r="G299" s="234" t="s">
        <v>1072</v>
      </c>
      <c r="H299" s="233">
        <v>7887875020</v>
      </c>
      <c r="I299" s="264" t="s">
        <v>1018</v>
      </c>
      <c r="J299" s="257" t="s">
        <v>25</v>
      </c>
      <c r="K299" s="510" t="s">
        <v>876</v>
      </c>
      <c r="L299" s="232" t="s">
        <v>117</v>
      </c>
      <c r="M299" s="232" t="s">
        <v>28</v>
      </c>
      <c r="N299" s="234" t="s">
        <v>1073</v>
      </c>
      <c r="O299" s="235">
        <v>46117</v>
      </c>
      <c r="P299" s="590">
        <v>4202156</v>
      </c>
      <c r="Q299" s="236" t="s">
        <v>30</v>
      </c>
      <c r="R299" s="478">
        <v>46170</v>
      </c>
      <c r="S299" s="232"/>
      <c r="T299" s="731"/>
      <c r="U299" s="731"/>
      <c r="V299" s="263"/>
      <c r="W299" s="263"/>
      <c r="X299" s="263"/>
    </row>
    <row r="300" spans="1:24" ht="14.25" hidden="1" customHeight="1">
      <c r="A300" s="225">
        <f>ROW()-1</f>
        <v>299</v>
      </c>
      <c r="B300" s="476">
        <v>46146</v>
      </c>
      <c r="C300" s="234" t="s">
        <v>1074</v>
      </c>
      <c r="D300" s="242" t="s">
        <v>1075</v>
      </c>
      <c r="E300" s="232" t="s">
        <v>126</v>
      </c>
      <c r="F300" s="232" t="s">
        <v>44</v>
      </c>
      <c r="G300" s="234" t="s">
        <v>149</v>
      </c>
      <c r="H300" s="233">
        <v>9899707898</v>
      </c>
      <c r="I300" s="264" t="s">
        <v>925</v>
      </c>
      <c r="J300" s="485" t="s">
        <v>171</v>
      </c>
      <c r="K300" s="234" t="s">
        <v>1076</v>
      </c>
      <c r="L300" s="232" t="s">
        <v>49</v>
      </c>
      <c r="M300" s="232" t="s">
        <v>50</v>
      </c>
      <c r="N300" s="234"/>
      <c r="O300" s="234"/>
      <c r="P300" s="590"/>
      <c r="Q300" s="232"/>
      <c r="R300" s="475"/>
      <c r="S300" s="232"/>
      <c r="T300" s="731"/>
      <c r="U300" s="731"/>
      <c r="V300" s="263"/>
      <c r="W300" s="263"/>
      <c r="X300" s="263"/>
    </row>
    <row r="301" spans="1:24" ht="14.25" hidden="1" customHeight="1">
      <c r="A301" s="225">
        <f>ROW()-1</f>
        <v>300</v>
      </c>
      <c r="B301" s="471">
        <v>46146</v>
      </c>
      <c r="C301" s="238" t="s">
        <v>1077</v>
      </c>
      <c r="D301" s="240" t="s">
        <v>928</v>
      </c>
      <c r="E301" s="236" t="s">
        <v>162</v>
      </c>
      <c r="F301" s="236" t="s">
        <v>59</v>
      </c>
      <c r="G301" s="238" t="s">
        <v>1078</v>
      </c>
      <c r="H301" s="237">
        <v>6281458384</v>
      </c>
      <c r="I301" s="255" t="s">
        <v>1079</v>
      </c>
      <c r="J301" s="481" t="s">
        <v>122</v>
      </c>
      <c r="K301" s="238" t="s">
        <v>1080</v>
      </c>
      <c r="L301" s="236" t="s">
        <v>49</v>
      </c>
      <c r="M301" s="236" t="s">
        <v>50</v>
      </c>
      <c r="N301" s="238"/>
      <c r="O301" s="238"/>
      <c r="P301" s="589"/>
      <c r="Q301" s="236"/>
      <c r="R301" s="475"/>
      <c r="S301" s="236"/>
      <c r="T301" s="731"/>
      <c r="U301" s="731"/>
      <c r="V301" s="263"/>
      <c r="W301" s="263"/>
      <c r="X301" s="263"/>
    </row>
    <row r="302" spans="1:24" ht="14.25" hidden="1" customHeight="1">
      <c r="A302" s="225">
        <f>ROW()-1</f>
        <v>301</v>
      </c>
      <c r="B302" s="471">
        <v>46146</v>
      </c>
      <c r="C302" s="238" t="s">
        <v>930</v>
      </c>
      <c r="D302" s="240" t="s">
        <v>131</v>
      </c>
      <c r="E302" s="236" t="s">
        <v>22</v>
      </c>
      <c r="F302" s="236" t="s">
        <v>60</v>
      </c>
      <c r="G302" s="238"/>
      <c r="H302" s="237">
        <v>7709655238</v>
      </c>
      <c r="I302" s="480" t="s">
        <v>139</v>
      </c>
      <c r="J302" s="482" t="s">
        <v>47</v>
      </c>
      <c r="K302" s="234" t="s">
        <v>139</v>
      </c>
      <c r="L302" s="236" t="s">
        <v>49</v>
      </c>
      <c r="M302" s="236" t="s">
        <v>40</v>
      </c>
      <c r="N302" s="238"/>
      <c r="O302" s="493"/>
      <c r="P302" s="589"/>
      <c r="Q302" s="236"/>
      <c r="R302" s="475"/>
      <c r="S302" s="236"/>
      <c r="T302" s="731"/>
      <c r="U302" s="731"/>
      <c r="V302" s="263"/>
      <c r="W302" s="263"/>
      <c r="X302" s="263"/>
    </row>
    <row r="303" spans="1:24" ht="14.25" hidden="1" customHeight="1">
      <c r="A303" s="225">
        <f>ROW()-1</f>
        <v>302</v>
      </c>
      <c r="B303" s="476">
        <v>46146</v>
      </c>
      <c r="C303" s="234" t="s">
        <v>1081</v>
      </c>
      <c r="D303" s="242" t="s">
        <v>131</v>
      </c>
      <c r="E303" s="232" t="s">
        <v>22</v>
      </c>
      <c r="F303" s="232" t="s">
        <v>60</v>
      </c>
      <c r="G303" s="234"/>
      <c r="H303" s="233">
        <v>9822104686</v>
      </c>
      <c r="I303" s="600" t="s">
        <v>1082</v>
      </c>
      <c r="J303" s="739" t="s">
        <v>567</v>
      </c>
      <c r="K303" s="560" t="s">
        <v>588</v>
      </c>
      <c r="L303" s="232" t="s">
        <v>49</v>
      </c>
      <c r="M303" s="232" t="s">
        <v>40</v>
      </c>
      <c r="N303" s="234"/>
      <c r="O303" s="511"/>
      <c r="P303" s="590"/>
      <c r="Q303" s="232"/>
      <c r="R303" s="475"/>
      <c r="S303" s="232"/>
      <c r="T303" s="731"/>
      <c r="U303" s="731"/>
      <c r="V303" s="263"/>
      <c r="W303" s="263"/>
      <c r="X303" s="263"/>
    </row>
    <row r="304" spans="1:24" ht="14.25" hidden="1" customHeight="1">
      <c r="A304" s="225">
        <f>ROW()-1</f>
        <v>303</v>
      </c>
      <c r="B304" s="471">
        <v>46146</v>
      </c>
      <c r="C304" s="238" t="s">
        <v>921</v>
      </c>
      <c r="D304" s="240" t="s">
        <v>1071</v>
      </c>
      <c r="E304" s="236" t="s">
        <v>126</v>
      </c>
      <c r="F304" s="236" t="s">
        <v>23</v>
      </c>
      <c r="G304" s="238" t="s">
        <v>1083</v>
      </c>
      <c r="H304" s="237">
        <v>9896752774</v>
      </c>
      <c r="I304" s="255" t="s">
        <v>1084</v>
      </c>
      <c r="J304" s="483" t="s">
        <v>63</v>
      </c>
      <c r="K304" s="238" t="s">
        <v>921</v>
      </c>
      <c r="L304" s="236" t="s">
        <v>49</v>
      </c>
      <c r="M304" s="236" t="s">
        <v>50</v>
      </c>
      <c r="N304" s="238"/>
      <c r="O304" s="498"/>
      <c r="P304" s="589"/>
      <c r="Q304" s="236"/>
      <c r="R304" s="475"/>
      <c r="S304" s="236"/>
      <c r="T304" s="731"/>
      <c r="U304" s="731"/>
      <c r="V304" s="263"/>
      <c r="W304" s="263"/>
      <c r="X304" s="263"/>
    </row>
    <row r="305" spans="1:24" ht="14.25" hidden="1" customHeight="1">
      <c r="A305" s="225">
        <f>ROW()-1</f>
        <v>304</v>
      </c>
      <c r="B305" s="476">
        <v>46146</v>
      </c>
      <c r="C305" s="234" t="s">
        <v>1085</v>
      </c>
      <c r="D305" s="242" t="s">
        <v>131</v>
      </c>
      <c r="E305" s="232" t="s">
        <v>22</v>
      </c>
      <c r="F305" s="232" t="s">
        <v>60</v>
      </c>
      <c r="G305" s="234" t="s">
        <v>1086</v>
      </c>
      <c r="H305" s="233" t="s">
        <v>1087</v>
      </c>
      <c r="I305" s="264" t="s">
        <v>1088</v>
      </c>
      <c r="J305" s="257" t="s">
        <v>66</v>
      </c>
      <c r="K305" s="234" t="s">
        <v>1089</v>
      </c>
      <c r="L305" s="232" t="s">
        <v>117</v>
      </c>
      <c r="M305" s="232" t="s">
        <v>77</v>
      </c>
      <c r="N305" s="234" t="s">
        <v>1090</v>
      </c>
      <c r="O305" s="235">
        <v>46146</v>
      </c>
      <c r="P305" s="590">
        <v>188525.3</v>
      </c>
      <c r="Q305" s="232" t="s">
        <v>70</v>
      </c>
      <c r="R305" s="475"/>
      <c r="S305" s="232"/>
      <c r="T305" s="731"/>
      <c r="U305" s="731"/>
      <c r="V305" s="263"/>
      <c r="W305" s="263"/>
      <c r="X305" s="263"/>
    </row>
    <row r="306" spans="1:24" ht="14.25" hidden="1" customHeight="1">
      <c r="A306" s="225">
        <f>ROW()-1</f>
        <v>305</v>
      </c>
      <c r="B306" s="471">
        <v>46146</v>
      </c>
      <c r="C306" s="238" t="s">
        <v>1091</v>
      </c>
      <c r="D306" s="240" t="s">
        <v>1092</v>
      </c>
      <c r="E306" s="236" t="s">
        <v>22</v>
      </c>
      <c r="F306" s="236" t="s">
        <v>59</v>
      </c>
      <c r="G306" s="238" t="s">
        <v>1093</v>
      </c>
      <c r="H306" s="237">
        <v>9226023807</v>
      </c>
      <c r="I306" s="255" t="s">
        <v>939</v>
      </c>
      <c r="J306" s="257" t="s">
        <v>66</v>
      </c>
      <c r="K306" s="238" t="s">
        <v>335</v>
      </c>
      <c r="L306" s="236" t="s">
        <v>27</v>
      </c>
      <c r="M306" s="236" t="s">
        <v>28</v>
      </c>
      <c r="N306" s="238" t="s">
        <v>1094</v>
      </c>
      <c r="O306" s="239">
        <v>46150</v>
      </c>
      <c r="P306" s="589">
        <v>450000</v>
      </c>
      <c r="Q306" s="232" t="s">
        <v>70</v>
      </c>
      <c r="R306" s="475"/>
      <c r="S306" s="236"/>
      <c r="T306" s="731"/>
      <c r="U306" s="731"/>
      <c r="V306" s="263"/>
      <c r="W306" s="263"/>
      <c r="X306" s="263"/>
    </row>
    <row r="307" spans="1:24" ht="14.25" hidden="1" customHeight="1">
      <c r="A307" s="225">
        <f>ROW()-1</f>
        <v>306</v>
      </c>
      <c r="B307" s="476">
        <v>46147</v>
      </c>
      <c r="C307" s="234" t="s">
        <v>1095</v>
      </c>
      <c r="D307" s="242" t="s">
        <v>21</v>
      </c>
      <c r="E307" s="232" t="s">
        <v>22</v>
      </c>
      <c r="F307" s="232" t="s">
        <v>23</v>
      </c>
      <c r="G307" s="234" t="s">
        <v>1096</v>
      </c>
      <c r="H307" s="233"/>
      <c r="I307" s="264" t="s">
        <v>1097</v>
      </c>
      <c r="J307" s="257" t="s">
        <v>66</v>
      </c>
      <c r="K307" s="234" t="s">
        <v>1098</v>
      </c>
      <c r="L307" s="232" t="s">
        <v>49</v>
      </c>
      <c r="M307" s="232" t="s">
        <v>28</v>
      </c>
      <c r="N307" s="234" t="s">
        <v>1099</v>
      </c>
      <c r="O307" s="235">
        <v>46147</v>
      </c>
      <c r="P307" s="590">
        <v>495000</v>
      </c>
      <c r="Q307" s="232" t="s">
        <v>70</v>
      </c>
      <c r="R307" s="475"/>
      <c r="S307" s="232"/>
      <c r="T307" s="731"/>
      <c r="U307" s="731"/>
      <c r="V307" s="263"/>
      <c r="W307" s="263"/>
      <c r="X307" s="263"/>
    </row>
    <row r="308" spans="1:24" ht="14.25" hidden="1" customHeight="1">
      <c r="A308" s="225">
        <f>ROW()-1</f>
        <v>307</v>
      </c>
      <c r="B308" s="476">
        <v>46147</v>
      </c>
      <c r="C308" s="234" t="s">
        <v>944</v>
      </c>
      <c r="D308" s="242" t="s">
        <v>1100</v>
      </c>
      <c r="E308" s="232" t="s">
        <v>22</v>
      </c>
      <c r="F308" s="232" t="s">
        <v>73</v>
      </c>
      <c r="G308" s="234" t="s">
        <v>1101</v>
      </c>
      <c r="H308" s="233">
        <v>7837628344</v>
      </c>
      <c r="I308" s="264" t="s">
        <v>1102</v>
      </c>
      <c r="J308" s="483" t="s">
        <v>63</v>
      </c>
      <c r="K308" s="234" t="s">
        <v>947</v>
      </c>
      <c r="L308" s="232" t="s">
        <v>49</v>
      </c>
      <c r="M308" s="232" t="s">
        <v>50</v>
      </c>
      <c r="N308" s="234"/>
      <c r="O308" s="509"/>
      <c r="P308" s="590"/>
      <c r="Q308" s="232"/>
      <c r="R308" s="475"/>
      <c r="S308" s="232"/>
      <c r="T308" s="731"/>
      <c r="U308" s="731"/>
      <c r="V308" s="263"/>
      <c r="W308" s="263"/>
      <c r="X308" s="263"/>
    </row>
    <row r="309" spans="1:24" ht="14.25" hidden="1" customHeight="1">
      <c r="A309" s="225">
        <f>ROW()-1</f>
        <v>308</v>
      </c>
      <c r="B309" s="471">
        <v>46147</v>
      </c>
      <c r="C309" s="238" t="s">
        <v>1103</v>
      </c>
      <c r="D309" s="240" t="s">
        <v>142</v>
      </c>
      <c r="E309" s="236" t="s">
        <v>143</v>
      </c>
      <c r="F309" s="236" t="s">
        <v>73</v>
      </c>
      <c r="G309" s="238" t="s">
        <v>1104</v>
      </c>
      <c r="H309" s="237">
        <v>9997708970</v>
      </c>
      <c r="I309" s="255" t="s">
        <v>1105</v>
      </c>
      <c r="J309" s="481" t="s">
        <v>122</v>
      </c>
      <c r="K309" s="238" t="s">
        <v>1103</v>
      </c>
      <c r="L309" s="236" t="s">
        <v>49</v>
      </c>
      <c r="M309" s="236" t="s">
        <v>50</v>
      </c>
      <c r="N309" s="238"/>
      <c r="O309" s="493"/>
      <c r="P309" s="589"/>
      <c r="Q309" s="236"/>
      <c r="R309" s="475"/>
      <c r="S309" s="236"/>
      <c r="T309" s="750" t="s">
        <v>1106</v>
      </c>
      <c r="U309" s="751"/>
      <c r="V309" s="263"/>
      <c r="W309" s="263"/>
      <c r="X309" s="263"/>
    </row>
    <row r="310" spans="1:24" ht="14.25" hidden="1" customHeight="1">
      <c r="A310" s="225">
        <f>ROW()-1</f>
        <v>309</v>
      </c>
      <c r="B310" s="471">
        <v>46147</v>
      </c>
      <c r="C310" s="236" t="s">
        <v>950</v>
      </c>
      <c r="D310" s="486" t="s">
        <v>1107</v>
      </c>
      <c r="E310" s="236"/>
      <c r="F310" s="236" t="s">
        <v>23</v>
      </c>
      <c r="G310" s="236" t="s">
        <v>1108</v>
      </c>
      <c r="H310" s="237">
        <v>9835044214</v>
      </c>
      <c r="I310" s="236"/>
      <c r="J310" s="488" t="s">
        <v>47</v>
      </c>
      <c r="K310" s="236" t="s">
        <v>1109</v>
      </c>
      <c r="L310" s="236" t="s">
        <v>58</v>
      </c>
      <c r="M310" s="236" t="s">
        <v>50</v>
      </c>
      <c r="N310" s="238"/>
      <c r="O310" s="238"/>
      <c r="P310" s="589"/>
      <c r="Q310" s="236"/>
      <c r="R310" s="475"/>
      <c r="S310" s="236"/>
      <c r="T310" s="731"/>
      <c r="U310" s="731"/>
      <c r="V310" s="263"/>
      <c r="W310" s="263"/>
      <c r="X310" s="263"/>
    </row>
    <row r="311" spans="1:24" ht="14.25" hidden="1" customHeight="1">
      <c r="A311" s="225">
        <f>ROW()-1</f>
        <v>310</v>
      </c>
      <c r="B311" s="471">
        <v>46147</v>
      </c>
      <c r="C311" s="236" t="s">
        <v>1110</v>
      </c>
      <c r="D311" s="486" t="s">
        <v>1111</v>
      </c>
      <c r="E311" s="236"/>
      <c r="F311" s="236" t="s">
        <v>59</v>
      </c>
      <c r="G311" s="236" t="s">
        <v>1112</v>
      </c>
      <c r="H311" s="237">
        <v>9415678473</v>
      </c>
      <c r="I311" s="236"/>
      <c r="J311" s="488" t="s">
        <v>1113</v>
      </c>
      <c r="K311" s="236" t="s">
        <v>954</v>
      </c>
      <c r="L311" s="236" t="s">
        <v>58</v>
      </c>
      <c r="M311" s="236" t="s">
        <v>50</v>
      </c>
      <c r="N311" s="238"/>
      <c r="O311" s="238"/>
      <c r="P311" s="589"/>
      <c r="Q311" s="236"/>
      <c r="R311" s="475"/>
      <c r="S311" s="236"/>
      <c r="T311" s="731"/>
      <c r="U311" s="731"/>
      <c r="V311" s="263"/>
      <c r="W311" s="263"/>
      <c r="X311" s="263"/>
    </row>
    <row r="312" spans="1:24" ht="14.25" hidden="1" customHeight="1">
      <c r="A312" s="225">
        <f>ROW()-1</f>
        <v>311</v>
      </c>
      <c r="B312" s="476">
        <v>46147</v>
      </c>
      <c r="C312" s="232" t="s">
        <v>1114</v>
      </c>
      <c r="D312" s="484" t="s">
        <v>1115</v>
      </c>
      <c r="E312" s="232" t="s">
        <v>22</v>
      </c>
      <c r="F312" s="232" t="s">
        <v>73</v>
      </c>
      <c r="G312" s="232" t="s">
        <v>1116</v>
      </c>
      <c r="H312" s="233">
        <v>8983104577</v>
      </c>
      <c r="I312" s="232"/>
      <c r="J312" s="488" t="s">
        <v>63</v>
      </c>
      <c r="K312" s="232" t="s">
        <v>1117</v>
      </c>
      <c r="L312" s="232" t="s">
        <v>58</v>
      </c>
      <c r="M312" s="232" t="s">
        <v>50</v>
      </c>
      <c r="N312" s="234"/>
      <c r="O312" s="234"/>
      <c r="P312" s="590"/>
      <c r="Q312" s="232"/>
      <c r="R312" s="475"/>
      <c r="S312" s="232"/>
      <c r="T312" s="731"/>
      <c r="U312" s="731"/>
      <c r="V312" s="263"/>
      <c r="W312" s="263"/>
      <c r="X312" s="263"/>
    </row>
    <row r="313" spans="1:24" ht="14.25" hidden="1" customHeight="1">
      <c r="A313" s="225">
        <f>ROW()-1</f>
        <v>312</v>
      </c>
      <c r="B313" s="471">
        <v>46147</v>
      </c>
      <c r="C313" s="236" t="s">
        <v>1118</v>
      </c>
      <c r="D313" s="486" t="s">
        <v>1107</v>
      </c>
      <c r="E313" s="236" t="s">
        <v>205</v>
      </c>
      <c r="F313" s="236" t="s">
        <v>73</v>
      </c>
      <c r="G313" s="236" t="s">
        <v>591</v>
      </c>
      <c r="H313" s="237">
        <v>7973828004</v>
      </c>
      <c r="I313" s="236"/>
      <c r="J313" s="488" t="s">
        <v>567</v>
      </c>
      <c r="K313" s="236"/>
      <c r="L313" s="236" t="s">
        <v>58</v>
      </c>
      <c r="M313" s="236" t="s">
        <v>50</v>
      </c>
      <c r="N313" s="238"/>
      <c r="O313" s="238"/>
      <c r="P313" s="589"/>
      <c r="Q313" s="236"/>
      <c r="R313" s="475"/>
      <c r="S313" s="236"/>
      <c r="T313" s="731"/>
      <c r="U313" s="731"/>
      <c r="V313" s="263"/>
      <c r="W313" s="263"/>
      <c r="X313" s="263"/>
    </row>
    <row r="314" spans="1:24" ht="14.25" hidden="1" customHeight="1">
      <c r="A314" s="225">
        <f>ROW()-1</f>
        <v>313</v>
      </c>
      <c r="B314" s="476">
        <v>46147</v>
      </c>
      <c r="C314" s="232" t="s">
        <v>1119</v>
      </c>
      <c r="D314" s="484" t="s">
        <v>1107</v>
      </c>
      <c r="E314" s="232" t="s">
        <v>205</v>
      </c>
      <c r="F314" s="232" t="s">
        <v>60</v>
      </c>
      <c r="G314" s="232" t="s">
        <v>1120</v>
      </c>
      <c r="H314" s="233">
        <v>9042480937</v>
      </c>
      <c r="I314" s="232"/>
      <c r="J314" s="738" t="s">
        <v>63</v>
      </c>
      <c r="K314" s="232" t="s">
        <v>958</v>
      </c>
      <c r="L314" s="232" t="s">
        <v>58</v>
      </c>
      <c r="M314" s="232" t="s">
        <v>40</v>
      </c>
      <c r="N314" s="234"/>
      <c r="O314" s="234"/>
      <c r="P314" s="590"/>
      <c r="Q314" s="232"/>
      <c r="R314" s="475"/>
      <c r="S314" s="232"/>
      <c r="T314" s="731"/>
      <c r="U314" s="731"/>
      <c r="V314" s="263"/>
      <c r="W314" s="263"/>
      <c r="X314" s="263"/>
    </row>
    <row r="315" spans="1:24" ht="14.25" hidden="1" customHeight="1">
      <c r="A315" s="225">
        <f>ROW()-1</f>
        <v>314</v>
      </c>
      <c r="B315" s="476">
        <v>46148</v>
      </c>
      <c r="C315" s="234" t="s">
        <v>1121</v>
      </c>
      <c r="D315" s="242" t="s">
        <v>131</v>
      </c>
      <c r="E315" s="232" t="s">
        <v>22</v>
      </c>
      <c r="F315" s="232" t="s">
        <v>73</v>
      </c>
      <c r="G315" s="234"/>
      <c r="H315" s="233">
        <v>9309821395</v>
      </c>
      <c r="I315" s="264" t="s">
        <v>1122</v>
      </c>
      <c r="J315" s="481" t="s">
        <v>122</v>
      </c>
      <c r="K315" s="234" t="s">
        <v>1123</v>
      </c>
      <c r="L315" s="232" t="s">
        <v>49</v>
      </c>
      <c r="M315" s="232" t="s">
        <v>50</v>
      </c>
      <c r="N315" s="234"/>
      <c r="O315" s="234"/>
      <c r="P315" s="590"/>
      <c r="Q315" s="232"/>
      <c r="R315" s="475"/>
      <c r="S315" s="232"/>
      <c r="T315" s="731"/>
      <c r="U315" s="731"/>
      <c r="V315" s="263"/>
      <c r="W315" s="263"/>
      <c r="X315" s="263"/>
    </row>
    <row r="316" spans="1:24" ht="14.25" hidden="1" customHeight="1">
      <c r="A316" s="225">
        <f>ROW()-1</f>
        <v>315</v>
      </c>
      <c r="B316" s="476">
        <v>46148</v>
      </c>
      <c r="C316" s="234" t="s">
        <v>1124</v>
      </c>
      <c r="D316" s="242" t="s">
        <v>131</v>
      </c>
      <c r="E316" s="232" t="s">
        <v>22</v>
      </c>
      <c r="F316" s="232" t="s">
        <v>23</v>
      </c>
      <c r="G316" s="234"/>
      <c r="H316" s="233">
        <v>9822623605</v>
      </c>
      <c r="I316" s="264" t="s">
        <v>1125</v>
      </c>
      <c r="J316" s="488" t="s">
        <v>567</v>
      </c>
      <c r="K316" s="234" t="s">
        <v>1126</v>
      </c>
      <c r="L316" s="232" t="s">
        <v>49</v>
      </c>
      <c r="M316" s="232" t="s">
        <v>50</v>
      </c>
      <c r="N316" s="234"/>
      <c r="O316" s="234"/>
      <c r="P316" s="590"/>
      <c r="Q316" s="232"/>
      <c r="R316" s="475"/>
      <c r="S316" s="232"/>
      <c r="T316" s="731"/>
      <c r="U316" s="731"/>
      <c r="V316" s="263"/>
      <c r="W316" s="263"/>
      <c r="X316" s="263"/>
    </row>
    <row r="317" spans="1:24" ht="14.25" hidden="1" customHeight="1">
      <c r="A317" s="225">
        <f>ROW()-1</f>
        <v>316</v>
      </c>
      <c r="B317" s="471">
        <v>46148</v>
      </c>
      <c r="C317" s="238" t="s">
        <v>964</v>
      </c>
      <c r="D317" s="240" t="s">
        <v>131</v>
      </c>
      <c r="E317" s="236" t="s">
        <v>22</v>
      </c>
      <c r="F317" s="236" t="s">
        <v>59</v>
      </c>
      <c r="G317" s="238"/>
      <c r="H317" s="237">
        <v>9892583719</v>
      </c>
      <c r="I317" s="255" t="s">
        <v>1127</v>
      </c>
      <c r="J317" s="481" t="s">
        <v>122</v>
      </c>
      <c r="K317" s="238" t="s">
        <v>1128</v>
      </c>
      <c r="L317" s="236" t="s">
        <v>49</v>
      </c>
      <c r="M317" s="236" t="s">
        <v>50</v>
      </c>
      <c r="N317" s="238"/>
      <c r="O317" s="238"/>
      <c r="P317" s="589"/>
      <c r="Q317" s="236"/>
      <c r="R317" s="475"/>
      <c r="S317" s="236"/>
      <c r="T317" s="731"/>
      <c r="U317" s="731"/>
      <c r="V317" s="263"/>
      <c r="W317" s="263"/>
      <c r="X317" s="263"/>
    </row>
    <row r="318" spans="1:24" ht="14.25" hidden="1" customHeight="1">
      <c r="A318" s="225">
        <f>ROW()-1</f>
        <v>317</v>
      </c>
      <c r="B318" s="476">
        <v>46148</v>
      </c>
      <c r="C318" s="232" t="s">
        <v>1129</v>
      </c>
      <c r="D318" s="484" t="s">
        <v>1130</v>
      </c>
      <c r="E318" s="232" t="s">
        <v>730</v>
      </c>
      <c r="F318" s="232" t="s">
        <v>83</v>
      </c>
      <c r="G318" s="232" t="s">
        <v>1131</v>
      </c>
      <c r="H318" s="233">
        <v>9015031059</v>
      </c>
      <c r="I318" s="232"/>
      <c r="J318" s="488" t="s">
        <v>567</v>
      </c>
      <c r="K318" s="232" t="s">
        <v>1132</v>
      </c>
      <c r="L318" s="232" t="s">
        <v>58</v>
      </c>
      <c r="M318" s="232" t="s">
        <v>50</v>
      </c>
      <c r="N318" s="234"/>
      <c r="O318" s="234"/>
      <c r="P318" s="590"/>
      <c r="Q318" s="232"/>
      <c r="R318" s="475"/>
      <c r="S318" s="232"/>
      <c r="T318" s="731"/>
      <c r="U318" s="731"/>
      <c r="V318" s="263"/>
      <c r="W318" s="263"/>
      <c r="X318" s="263"/>
    </row>
    <row r="319" spans="1:24" ht="14.25" hidden="1" customHeight="1">
      <c r="A319" s="225">
        <f>ROW()-1</f>
        <v>318</v>
      </c>
      <c r="B319" s="476">
        <v>46148</v>
      </c>
      <c r="C319" s="232" t="s">
        <v>969</v>
      </c>
      <c r="D319" s="484" t="s">
        <v>1133</v>
      </c>
      <c r="E319" s="232" t="s">
        <v>205</v>
      </c>
      <c r="F319" s="232" t="s">
        <v>23</v>
      </c>
      <c r="G319" s="232" t="s">
        <v>1134</v>
      </c>
      <c r="H319" s="233">
        <v>7735355978</v>
      </c>
      <c r="I319" s="232"/>
      <c r="J319" s="488" t="s">
        <v>122</v>
      </c>
      <c r="K319" s="232" t="s">
        <v>1135</v>
      </c>
      <c r="L319" s="232" t="s">
        <v>58</v>
      </c>
      <c r="M319" s="232" t="s">
        <v>50</v>
      </c>
      <c r="N319" s="234"/>
      <c r="O319" s="234"/>
      <c r="P319" s="590"/>
      <c r="Q319" s="232"/>
      <c r="R319" s="475"/>
      <c r="S319" s="232"/>
      <c r="T319" s="731"/>
      <c r="U319" s="731"/>
      <c r="V319" s="263"/>
      <c r="W319" s="263"/>
      <c r="X319" s="263"/>
    </row>
    <row r="320" spans="1:24" ht="14.25" hidden="1" customHeight="1">
      <c r="A320" s="225">
        <f>ROW()-1</f>
        <v>319</v>
      </c>
      <c r="B320" s="471">
        <v>46148</v>
      </c>
      <c r="C320" s="236" t="s">
        <v>1136</v>
      </c>
      <c r="D320" s="486" t="s">
        <v>1107</v>
      </c>
      <c r="E320" s="236" t="s">
        <v>205</v>
      </c>
      <c r="F320" s="236" t="s">
        <v>73</v>
      </c>
      <c r="G320" s="236" t="s">
        <v>1137</v>
      </c>
      <c r="H320" s="237">
        <v>7069094865</v>
      </c>
      <c r="I320" s="236"/>
      <c r="J320" s="488" t="s">
        <v>63</v>
      </c>
      <c r="K320" s="236"/>
      <c r="L320" s="236" t="s">
        <v>58</v>
      </c>
      <c r="M320" s="236" t="s">
        <v>50</v>
      </c>
      <c r="N320" s="238"/>
      <c r="O320" s="238"/>
      <c r="P320" s="589"/>
      <c r="Q320" s="236"/>
      <c r="R320" s="475"/>
      <c r="S320" s="236"/>
      <c r="T320" s="731"/>
      <c r="U320" s="731"/>
      <c r="V320" s="263"/>
      <c r="W320" s="263"/>
      <c r="X320" s="263"/>
    </row>
    <row r="321" spans="1:24" ht="14.25" hidden="1" customHeight="1">
      <c r="A321" s="225">
        <f>ROW()-1</f>
        <v>320</v>
      </c>
      <c r="B321" s="471">
        <v>46148</v>
      </c>
      <c r="C321" s="238" t="s">
        <v>790</v>
      </c>
      <c r="D321" s="240" t="s">
        <v>21</v>
      </c>
      <c r="E321" s="236" t="s">
        <v>22</v>
      </c>
      <c r="F321" s="236" t="s">
        <v>60</v>
      </c>
      <c r="G321" s="238" t="s">
        <v>1138</v>
      </c>
      <c r="H321" s="237">
        <v>7720050063</v>
      </c>
      <c r="I321" s="255" t="s">
        <v>792</v>
      </c>
      <c r="J321" s="512" t="s">
        <v>25</v>
      </c>
      <c r="K321" s="238" t="s">
        <v>694</v>
      </c>
      <c r="L321" s="236" t="s">
        <v>117</v>
      </c>
      <c r="M321" s="236" t="s">
        <v>40</v>
      </c>
      <c r="N321" s="238"/>
      <c r="O321" s="238"/>
      <c r="P321" s="589">
        <v>420000</v>
      </c>
      <c r="Q321" s="236" t="s">
        <v>30</v>
      </c>
      <c r="R321" s="478">
        <v>46157</v>
      </c>
      <c r="S321" s="236"/>
      <c r="T321" s="731"/>
      <c r="U321" s="731"/>
      <c r="V321" s="263"/>
      <c r="W321" s="263"/>
      <c r="X321" s="263"/>
    </row>
    <row r="322" spans="1:24" ht="14.25" hidden="1" customHeight="1">
      <c r="A322" s="225">
        <f>ROW()-1</f>
        <v>321</v>
      </c>
      <c r="B322" s="471">
        <v>46148</v>
      </c>
      <c r="C322" s="236" t="s">
        <v>1139</v>
      </c>
      <c r="D322" s="486" t="s">
        <v>1140</v>
      </c>
      <c r="E322" s="236"/>
      <c r="F322" s="236" t="s">
        <v>60</v>
      </c>
      <c r="G322" s="236" t="s">
        <v>1141</v>
      </c>
      <c r="H322" s="237">
        <v>9963998919</v>
      </c>
      <c r="I322" s="236" t="s">
        <v>1142</v>
      </c>
      <c r="J322" s="739" t="s">
        <v>567</v>
      </c>
      <c r="K322" s="236" t="s">
        <v>1143</v>
      </c>
      <c r="L322" s="236" t="s">
        <v>58</v>
      </c>
      <c r="M322" s="236" t="s">
        <v>40</v>
      </c>
      <c r="N322" s="238"/>
      <c r="O322" s="238"/>
      <c r="P322" s="589"/>
      <c r="Q322" s="236"/>
      <c r="R322" s="475"/>
      <c r="S322" s="236"/>
      <c r="T322" s="731"/>
      <c r="U322" s="731"/>
      <c r="V322" s="263"/>
      <c r="W322" s="263"/>
      <c r="X322" s="263"/>
    </row>
    <row r="323" spans="1:24" ht="14.25" hidden="1" customHeight="1">
      <c r="A323" s="225">
        <f>ROW()-1</f>
        <v>322</v>
      </c>
      <c r="B323" s="476">
        <v>46148</v>
      </c>
      <c r="C323" s="232" t="s">
        <v>1144</v>
      </c>
      <c r="D323" s="484" t="s">
        <v>1130</v>
      </c>
      <c r="E323" s="232"/>
      <c r="F323" s="232" t="s">
        <v>73</v>
      </c>
      <c r="G323" s="232" t="s">
        <v>1145</v>
      </c>
      <c r="H323" s="233">
        <v>9871306364</v>
      </c>
      <c r="I323" s="232"/>
      <c r="J323" s="488" t="s">
        <v>171</v>
      </c>
      <c r="K323" s="232" t="s">
        <v>1146</v>
      </c>
      <c r="L323" s="232" t="s">
        <v>58</v>
      </c>
      <c r="M323" s="232" t="s">
        <v>50</v>
      </c>
      <c r="N323" s="234"/>
      <c r="O323" s="234"/>
      <c r="P323" s="590"/>
      <c r="Q323" s="232"/>
      <c r="R323" s="475"/>
      <c r="S323" s="232"/>
      <c r="T323" s="731"/>
      <c r="U323" s="731"/>
      <c r="V323" s="263"/>
      <c r="W323" s="263"/>
      <c r="X323" s="263"/>
    </row>
    <row r="324" spans="1:24" ht="14.25" hidden="1" customHeight="1">
      <c r="A324" s="225">
        <f>ROW()-1</f>
        <v>323</v>
      </c>
      <c r="B324" s="476">
        <v>46149</v>
      </c>
      <c r="C324" s="234" t="s">
        <v>1147</v>
      </c>
      <c r="D324" s="242" t="s">
        <v>193</v>
      </c>
      <c r="E324" s="232" t="s">
        <v>193</v>
      </c>
      <c r="F324" s="232" t="s">
        <v>23</v>
      </c>
      <c r="G324" s="234" t="s">
        <v>1148</v>
      </c>
      <c r="H324" s="233">
        <v>9227539635</v>
      </c>
      <c r="I324" s="264" t="s">
        <v>1149</v>
      </c>
      <c r="J324" s="483" t="s">
        <v>63</v>
      </c>
      <c r="K324" s="234" t="s">
        <v>1150</v>
      </c>
      <c r="L324" s="232" t="s">
        <v>49</v>
      </c>
      <c r="M324" s="232" t="s">
        <v>50</v>
      </c>
      <c r="N324" s="234"/>
      <c r="O324" s="234"/>
      <c r="P324" s="590"/>
      <c r="Q324" s="232"/>
      <c r="R324" s="475"/>
      <c r="S324" s="232"/>
      <c r="T324" s="731"/>
      <c r="U324" s="731"/>
      <c r="V324" s="263"/>
      <c r="W324" s="263"/>
      <c r="X324" s="263"/>
    </row>
    <row r="325" spans="1:24" ht="14.25" hidden="1" customHeight="1">
      <c r="A325" s="225">
        <f>ROW()-1</f>
        <v>324</v>
      </c>
      <c r="B325" s="476">
        <v>46149</v>
      </c>
      <c r="C325" s="232" t="s">
        <v>1151</v>
      </c>
      <c r="D325" s="484" t="s">
        <v>981</v>
      </c>
      <c r="E325" s="232" t="s">
        <v>214</v>
      </c>
      <c r="F325" s="232" t="s">
        <v>73</v>
      </c>
      <c r="G325" s="232" t="s">
        <v>1152</v>
      </c>
      <c r="H325" s="233">
        <v>9513734480</v>
      </c>
      <c r="I325" s="232"/>
      <c r="J325" s="488" t="s">
        <v>122</v>
      </c>
      <c r="K325" s="232" t="s">
        <v>1153</v>
      </c>
      <c r="L325" s="232" t="s">
        <v>58</v>
      </c>
      <c r="M325" s="232" t="s">
        <v>50</v>
      </c>
      <c r="N325" s="234"/>
      <c r="O325" s="234"/>
      <c r="P325" s="590"/>
      <c r="Q325" s="232"/>
      <c r="R325" s="475"/>
      <c r="S325" s="232"/>
      <c r="T325" s="731"/>
      <c r="U325" s="731"/>
      <c r="V325" s="263"/>
      <c r="W325" s="263"/>
      <c r="X325" s="263"/>
    </row>
    <row r="326" spans="1:24" ht="14.25" hidden="1" customHeight="1">
      <c r="A326" s="225">
        <f>ROW()-1</f>
        <v>325</v>
      </c>
      <c r="B326" s="471">
        <v>46149</v>
      </c>
      <c r="C326" s="236" t="s">
        <v>1154</v>
      </c>
      <c r="D326" s="486" t="s">
        <v>1155</v>
      </c>
      <c r="E326" s="236" t="s">
        <v>82</v>
      </c>
      <c r="F326" s="236" t="s">
        <v>23</v>
      </c>
      <c r="G326" s="236" t="s">
        <v>1156</v>
      </c>
      <c r="H326" s="237">
        <v>9443712584</v>
      </c>
      <c r="I326" s="236" t="s">
        <v>1157</v>
      </c>
      <c r="J326" s="488" t="s">
        <v>63</v>
      </c>
      <c r="K326" s="236" t="s">
        <v>985</v>
      </c>
      <c r="L326" s="236" t="s">
        <v>58</v>
      </c>
      <c r="M326" s="236" t="s">
        <v>50</v>
      </c>
      <c r="N326" s="238"/>
      <c r="O326" s="238"/>
      <c r="P326" s="589"/>
      <c r="Q326" s="236"/>
      <c r="R326" s="475"/>
      <c r="S326" s="236"/>
      <c r="T326" s="731"/>
      <c r="U326" s="731"/>
      <c r="V326" s="263"/>
      <c r="W326" s="263"/>
      <c r="X326" s="263"/>
    </row>
    <row r="327" spans="1:24" ht="14.25" hidden="1" customHeight="1">
      <c r="A327" s="225">
        <f>ROW()-1</f>
        <v>326</v>
      </c>
      <c r="B327" s="471">
        <v>46149</v>
      </c>
      <c r="C327" s="238" t="s">
        <v>992</v>
      </c>
      <c r="D327" s="240" t="s">
        <v>927</v>
      </c>
      <c r="E327" s="236" t="s">
        <v>621</v>
      </c>
      <c r="F327" s="236" t="s">
        <v>59</v>
      </c>
      <c r="G327" s="238" t="s">
        <v>1158</v>
      </c>
      <c r="H327" s="237">
        <v>97339624285</v>
      </c>
      <c r="I327" s="255" t="s">
        <v>993</v>
      </c>
      <c r="J327" s="257" t="s">
        <v>25</v>
      </c>
      <c r="K327" s="238" t="s">
        <v>856</v>
      </c>
      <c r="L327" s="236" t="s">
        <v>27</v>
      </c>
      <c r="M327" s="236" t="s">
        <v>28</v>
      </c>
      <c r="N327" s="238" t="s">
        <v>1159</v>
      </c>
      <c r="O327" s="625">
        <v>46154</v>
      </c>
      <c r="P327" s="589">
        <v>3447168</v>
      </c>
      <c r="Q327" s="236" t="s">
        <v>30</v>
      </c>
      <c r="R327" s="478">
        <v>46157</v>
      </c>
      <c r="S327" s="236"/>
      <c r="T327" s="731"/>
      <c r="U327" s="731"/>
      <c r="V327" s="263"/>
      <c r="W327" s="263"/>
      <c r="X327" s="263"/>
    </row>
    <row r="328" spans="1:24" ht="14.25" hidden="1" customHeight="1">
      <c r="A328" s="225">
        <f>ROW()-1</f>
        <v>327</v>
      </c>
      <c r="B328" s="471">
        <v>46150</v>
      </c>
      <c r="C328" s="238" t="s">
        <v>1160</v>
      </c>
      <c r="D328" s="240" t="s">
        <v>131</v>
      </c>
      <c r="E328" s="236" t="s">
        <v>22</v>
      </c>
      <c r="F328" s="236" t="s">
        <v>44</v>
      </c>
      <c r="G328" s="238" t="s">
        <v>1161</v>
      </c>
      <c r="H328" s="237">
        <v>8329513391</v>
      </c>
      <c r="I328" s="255" t="s">
        <v>1162</v>
      </c>
      <c r="J328" s="257" t="s">
        <v>66</v>
      </c>
      <c r="K328" s="238"/>
      <c r="L328" s="236" t="s">
        <v>27</v>
      </c>
      <c r="M328" s="236" t="s">
        <v>28</v>
      </c>
      <c r="N328" s="238" t="s">
        <v>989</v>
      </c>
      <c r="O328" s="239">
        <v>46153</v>
      </c>
      <c r="P328" s="589">
        <v>2493871.5099999998</v>
      </c>
      <c r="Q328" s="232" t="s">
        <v>70</v>
      </c>
      <c r="R328" s="475"/>
      <c r="S328" s="236"/>
      <c r="T328" s="731"/>
      <c r="U328" s="731"/>
      <c r="V328" s="263"/>
      <c r="W328" s="263"/>
      <c r="X328" s="263"/>
    </row>
    <row r="329" spans="1:24" ht="14.25" hidden="1" customHeight="1">
      <c r="A329" s="225">
        <f>ROW()-1</f>
        <v>328</v>
      </c>
      <c r="B329" s="471">
        <v>46150</v>
      </c>
      <c r="C329" s="238" t="s">
        <v>1163</v>
      </c>
      <c r="D329" s="240" t="s">
        <v>131</v>
      </c>
      <c r="E329" s="236" t="s">
        <v>22</v>
      </c>
      <c r="F329" s="236" t="s">
        <v>73</v>
      </c>
      <c r="G329" s="238" t="s">
        <v>839</v>
      </c>
      <c r="H329" s="237">
        <v>9823129393</v>
      </c>
      <c r="I329" s="601" t="s">
        <v>1164</v>
      </c>
      <c r="J329" s="257" t="s">
        <v>567</v>
      </c>
      <c r="K329" s="549" t="s">
        <v>1165</v>
      </c>
      <c r="L329" s="236" t="s">
        <v>49</v>
      </c>
      <c r="M329" s="236" t="s">
        <v>50</v>
      </c>
      <c r="N329" s="238"/>
      <c r="O329" s="238"/>
      <c r="P329" s="589"/>
      <c r="Q329" s="236"/>
      <c r="R329" s="478"/>
      <c r="S329" s="236"/>
      <c r="T329" s="731"/>
      <c r="U329" s="731"/>
      <c r="V329" s="263"/>
      <c r="W329" s="263"/>
      <c r="X329" s="263"/>
    </row>
    <row r="330" spans="1:24" ht="14.25" hidden="1" customHeight="1">
      <c r="A330" s="225">
        <f>ROW()-1</f>
        <v>329</v>
      </c>
      <c r="B330" s="471">
        <v>46150</v>
      </c>
      <c r="C330" s="238" t="s">
        <v>820</v>
      </c>
      <c r="D330" s="240" t="s">
        <v>131</v>
      </c>
      <c r="E330" s="236" t="s">
        <v>22</v>
      </c>
      <c r="F330" s="236" t="s">
        <v>23</v>
      </c>
      <c r="G330" s="238"/>
      <c r="H330" s="237"/>
      <c r="I330" s="236"/>
      <c r="J330" s="257" t="s">
        <v>66</v>
      </c>
      <c r="K330" s="238"/>
      <c r="L330" s="236" t="s">
        <v>27</v>
      </c>
      <c r="M330" s="236" t="s">
        <v>28</v>
      </c>
      <c r="N330" s="238" t="s">
        <v>1166</v>
      </c>
      <c r="O330" s="239">
        <v>46150</v>
      </c>
      <c r="P330" s="589">
        <v>1600000</v>
      </c>
      <c r="Q330" s="232" t="s">
        <v>70</v>
      </c>
      <c r="R330" s="475"/>
      <c r="S330" s="236"/>
      <c r="T330" s="731"/>
      <c r="U330" s="731"/>
      <c r="V330" s="263"/>
      <c r="W330" s="263"/>
      <c r="X330" s="263"/>
    </row>
    <row r="331" spans="1:24" ht="14.25" hidden="1" customHeight="1">
      <c r="A331" s="225">
        <f>ROW()-1</f>
        <v>330</v>
      </c>
      <c r="B331" s="476">
        <v>46150</v>
      </c>
      <c r="C331" s="234" t="s">
        <v>262</v>
      </c>
      <c r="D331" s="242" t="s">
        <v>131</v>
      </c>
      <c r="E331" s="232" t="s">
        <v>22</v>
      </c>
      <c r="F331" s="232" t="s">
        <v>23</v>
      </c>
      <c r="G331" s="234"/>
      <c r="H331" s="233">
        <v>8600120115</v>
      </c>
      <c r="I331" s="266" t="s">
        <v>264</v>
      </c>
      <c r="J331" s="261" t="s">
        <v>66</v>
      </c>
      <c r="K331" s="234" t="s">
        <v>265</v>
      </c>
      <c r="L331" s="232" t="s">
        <v>27</v>
      </c>
      <c r="M331" s="232" t="s">
        <v>28</v>
      </c>
      <c r="N331" s="234"/>
      <c r="O331" s="235">
        <v>46154</v>
      </c>
      <c r="P331" s="590"/>
      <c r="Q331" s="232" t="s">
        <v>70</v>
      </c>
      <c r="R331" s="478"/>
      <c r="S331" s="232"/>
      <c r="T331" s="731"/>
      <c r="U331" s="731"/>
      <c r="V331" s="263"/>
      <c r="W331" s="263"/>
      <c r="X331" s="263"/>
    </row>
    <row r="332" spans="1:24" ht="14.25" hidden="1" customHeight="1">
      <c r="A332" s="225">
        <f>ROW()-1</f>
        <v>331</v>
      </c>
      <c r="B332" s="471">
        <v>46150</v>
      </c>
      <c r="C332" s="238" t="s">
        <v>1167</v>
      </c>
      <c r="D332" s="240" t="s">
        <v>1168</v>
      </c>
      <c r="E332" s="236" t="s">
        <v>22</v>
      </c>
      <c r="F332" s="236" t="s">
        <v>60</v>
      </c>
      <c r="G332" s="238" t="s">
        <v>1169</v>
      </c>
      <c r="H332" s="237">
        <v>9823999222</v>
      </c>
      <c r="I332" s="255" t="s">
        <v>1170</v>
      </c>
      <c r="J332" s="739" t="s">
        <v>567</v>
      </c>
      <c r="K332" s="238" t="s">
        <v>1171</v>
      </c>
      <c r="L332" s="236" t="s">
        <v>49</v>
      </c>
      <c r="M332" s="236" t="s">
        <v>40</v>
      </c>
      <c r="N332" s="238"/>
      <c r="O332" s="238"/>
      <c r="P332" s="589"/>
      <c r="Q332" s="236"/>
      <c r="R332" s="478"/>
      <c r="S332" s="236"/>
      <c r="T332" s="731"/>
      <c r="U332" s="731"/>
      <c r="V332" s="263"/>
      <c r="W332" s="263"/>
      <c r="X332" s="263"/>
    </row>
    <row r="333" spans="1:24" ht="14.25" hidden="1" customHeight="1">
      <c r="A333" s="225">
        <f>ROW()-1</f>
        <v>332</v>
      </c>
      <c r="B333" s="476">
        <v>46150</v>
      </c>
      <c r="C333" s="234" t="s">
        <v>997</v>
      </c>
      <c r="D333" s="242" t="s">
        <v>749</v>
      </c>
      <c r="E333" s="232" t="s">
        <v>214</v>
      </c>
      <c r="F333" s="232" t="s">
        <v>73</v>
      </c>
      <c r="G333" s="234"/>
      <c r="H333" s="233"/>
      <c r="I333" s="232"/>
      <c r="J333" s="257" t="s">
        <v>25</v>
      </c>
      <c r="K333" s="234"/>
      <c r="L333" s="232" t="s">
        <v>27</v>
      </c>
      <c r="M333" s="232" t="s">
        <v>28</v>
      </c>
      <c r="N333" s="234" t="s">
        <v>1172</v>
      </c>
      <c r="O333" s="235">
        <v>46159</v>
      </c>
      <c r="P333" s="590">
        <v>4008279</v>
      </c>
      <c r="Q333" s="236" t="s">
        <v>30</v>
      </c>
      <c r="R333" s="478">
        <v>46160</v>
      </c>
      <c r="S333" s="232"/>
      <c r="T333" s="731"/>
      <c r="U333" s="731"/>
      <c r="V333" s="263"/>
      <c r="W333" s="263"/>
      <c r="X333" s="263"/>
    </row>
    <row r="334" spans="1:24" ht="14.25" hidden="1" customHeight="1">
      <c r="A334" s="225">
        <f>ROW()-1</f>
        <v>333</v>
      </c>
      <c r="B334" s="476">
        <v>46150</v>
      </c>
      <c r="C334" s="234" t="s">
        <v>1173</v>
      </c>
      <c r="D334" s="242" t="s">
        <v>131</v>
      </c>
      <c r="E334" s="232" t="s">
        <v>22</v>
      </c>
      <c r="F334" s="232" t="s">
        <v>73</v>
      </c>
      <c r="G334" s="234"/>
      <c r="H334" s="233"/>
      <c r="I334" s="232"/>
      <c r="J334" s="257" t="s">
        <v>66</v>
      </c>
      <c r="K334" s="234"/>
      <c r="L334" s="232" t="s">
        <v>27</v>
      </c>
      <c r="M334" s="232" t="s">
        <v>28</v>
      </c>
      <c r="N334" s="234" t="s">
        <v>1174</v>
      </c>
      <c r="O334" s="235">
        <v>46157</v>
      </c>
      <c r="P334" s="590">
        <v>13225762.67</v>
      </c>
      <c r="Q334" s="232" t="s">
        <v>70</v>
      </c>
      <c r="R334" s="475"/>
      <c r="S334" s="232"/>
      <c r="T334" s="731"/>
      <c r="U334" s="731"/>
      <c r="V334" s="263"/>
      <c r="W334" s="263"/>
      <c r="X334" s="263"/>
    </row>
    <row r="335" spans="1:24" ht="14.25" hidden="1" customHeight="1">
      <c r="A335" s="225">
        <f>ROW()-1</f>
        <v>334</v>
      </c>
      <c r="B335" s="476">
        <v>46150</v>
      </c>
      <c r="C335" s="232" t="s">
        <v>1000</v>
      </c>
      <c r="D335" s="484" t="s">
        <v>981</v>
      </c>
      <c r="E335" s="232" t="s">
        <v>214</v>
      </c>
      <c r="F335" s="232" t="s">
        <v>60</v>
      </c>
      <c r="G335" s="232" t="s">
        <v>1175</v>
      </c>
      <c r="H335" s="233">
        <v>7760969178</v>
      </c>
      <c r="I335" s="232"/>
      <c r="J335" s="739" t="s">
        <v>567</v>
      </c>
      <c r="K335" s="232" t="s">
        <v>1176</v>
      </c>
      <c r="L335" s="232" t="s">
        <v>58</v>
      </c>
      <c r="M335" s="232" t="s">
        <v>40</v>
      </c>
      <c r="N335" s="234"/>
      <c r="O335" s="234"/>
      <c r="P335" s="590"/>
      <c r="Q335" s="232"/>
      <c r="R335" s="478"/>
      <c r="S335" s="232"/>
      <c r="T335" s="731"/>
      <c r="U335" s="731"/>
      <c r="V335" s="263"/>
      <c r="W335" s="263"/>
      <c r="X335" s="263"/>
    </row>
    <row r="336" spans="1:24" ht="14.25" hidden="1" customHeight="1">
      <c r="A336" s="225">
        <f>ROW()-1</f>
        <v>335</v>
      </c>
      <c r="B336" s="476">
        <v>46150</v>
      </c>
      <c r="C336" s="234" t="s">
        <v>1177</v>
      </c>
      <c r="D336" s="242" t="s">
        <v>1003</v>
      </c>
      <c r="E336" s="232" t="s">
        <v>22</v>
      </c>
      <c r="F336" s="232" t="s">
        <v>60</v>
      </c>
      <c r="G336" s="234" t="s">
        <v>1178</v>
      </c>
      <c r="H336" s="233"/>
      <c r="I336" s="243" t="s">
        <v>1179</v>
      </c>
      <c r="J336" s="257" t="s">
        <v>86</v>
      </c>
      <c r="K336" s="234" t="s">
        <v>1180</v>
      </c>
      <c r="L336" s="232" t="s">
        <v>27</v>
      </c>
      <c r="M336" s="232" t="s">
        <v>40</v>
      </c>
      <c r="N336" s="234" t="s">
        <v>1181</v>
      </c>
      <c r="O336" s="235">
        <v>46150</v>
      </c>
      <c r="P336" s="590">
        <v>111717</v>
      </c>
      <c r="Q336" s="232" t="s">
        <v>70</v>
      </c>
      <c r="R336" s="475"/>
      <c r="S336" s="232"/>
      <c r="T336" s="731"/>
      <c r="U336" s="731"/>
      <c r="V336" s="263"/>
      <c r="W336" s="263"/>
      <c r="X336" s="263"/>
    </row>
    <row r="337" spans="1:24" ht="14.25" hidden="1" customHeight="1">
      <c r="A337" s="225">
        <f>ROW()-1</f>
        <v>336</v>
      </c>
      <c r="B337" s="471">
        <v>46150</v>
      </c>
      <c r="C337" s="236" t="s">
        <v>1006</v>
      </c>
      <c r="D337" s="486" t="s">
        <v>1182</v>
      </c>
      <c r="E337" s="236" t="s">
        <v>730</v>
      </c>
      <c r="F337" s="236" t="s">
        <v>59</v>
      </c>
      <c r="G337" s="236" t="s">
        <v>1183</v>
      </c>
      <c r="H337" s="237">
        <v>9810357656</v>
      </c>
      <c r="I337" s="236" t="s">
        <v>1184</v>
      </c>
      <c r="J337" s="488" t="s">
        <v>122</v>
      </c>
      <c r="K337" s="236" t="s">
        <v>1185</v>
      </c>
      <c r="L337" s="236" t="s">
        <v>58</v>
      </c>
      <c r="M337" s="236" t="s">
        <v>50</v>
      </c>
      <c r="N337" s="238"/>
      <c r="O337" s="238"/>
      <c r="P337" s="589"/>
      <c r="Q337" s="236"/>
      <c r="R337" s="478"/>
      <c r="S337" s="236"/>
      <c r="T337" s="731"/>
      <c r="U337" s="731"/>
      <c r="V337" s="263"/>
      <c r="W337" s="263"/>
      <c r="X337" s="263"/>
    </row>
    <row r="338" spans="1:24" ht="14.25" hidden="1" customHeight="1">
      <c r="A338" s="225">
        <f>ROW()-1</f>
        <v>337</v>
      </c>
      <c r="B338" s="471">
        <v>46150</v>
      </c>
      <c r="C338" s="238" t="s">
        <v>1186</v>
      </c>
      <c r="D338" s="240"/>
      <c r="E338" s="236"/>
      <c r="F338" s="236" t="s">
        <v>73</v>
      </c>
      <c r="G338" s="238"/>
      <c r="H338" s="237"/>
      <c r="I338" s="236"/>
      <c r="J338" s="257" t="s">
        <v>66</v>
      </c>
      <c r="K338" s="238"/>
      <c r="L338" s="236" t="s">
        <v>27</v>
      </c>
      <c r="M338" s="236" t="s">
        <v>28</v>
      </c>
      <c r="N338" s="238" t="s">
        <v>1011</v>
      </c>
      <c r="O338" s="239">
        <v>46150</v>
      </c>
      <c r="P338" s="589">
        <v>3845162.98</v>
      </c>
      <c r="Q338" s="232" t="s">
        <v>70</v>
      </c>
      <c r="R338" s="475"/>
      <c r="S338" s="236"/>
      <c r="T338" s="731"/>
      <c r="U338" s="731"/>
      <c r="V338" s="263"/>
      <c r="W338" s="263"/>
      <c r="X338" s="263"/>
    </row>
    <row r="339" spans="1:24" ht="14.25" hidden="1" customHeight="1">
      <c r="A339" s="225">
        <f>ROW()-1</f>
        <v>338</v>
      </c>
      <c r="B339" s="476">
        <v>46150</v>
      </c>
      <c r="C339" s="234" t="s">
        <v>1187</v>
      </c>
      <c r="D339" s="242" t="s">
        <v>655</v>
      </c>
      <c r="E339" s="232" t="s">
        <v>205</v>
      </c>
      <c r="F339" s="232" t="s">
        <v>23</v>
      </c>
      <c r="G339" s="234" t="s">
        <v>1188</v>
      </c>
      <c r="H339" s="233">
        <v>9986422921</v>
      </c>
      <c r="I339" s="480" t="s">
        <v>139</v>
      </c>
      <c r="J339" s="483" t="s">
        <v>63</v>
      </c>
      <c r="K339" s="234" t="s">
        <v>139</v>
      </c>
      <c r="L339" s="232" t="s">
        <v>49</v>
      </c>
      <c r="M339" s="232" t="s">
        <v>50</v>
      </c>
      <c r="N339" s="234"/>
      <c r="O339" s="234"/>
      <c r="P339" s="590"/>
      <c r="Q339" s="232"/>
      <c r="R339" s="478"/>
      <c r="S339" s="232"/>
      <c r="T339" s="731"/>
      <c r="U339" s="731"/>
      <c r="V339" s="263"/>
      <c r="W339" s="263"/>
      <c r="X339" s="263"/>
    </row>
    <row r="340" spans="1:24" ht="14.25" hidden="1" customHeight="1">
      <c r="A340" s="225">
        <f>ROW()-1</f>
        <v>339</v>
      </c>
      <c r="B340" s="471">
        <v>46150</v>
      </c>
      <c r="C340" s="238" t="s">
        <v>1189</v>
      </c>
      <c r="D340" s="240" t="s">
        <v>475</v>
      </c>
      <c r="E340" s="236" t="s">
        <v>22</v>
      </c>
      <c r="F340" s="236" t="s">
        <v>73</v>
      </c>
      <c r="G340" s="238" t="s">
        <v>1190</v>
      </c>
      <c r="H340" s="237">
        <v>9359869990</v>
      </c>
      <c r="I340" s="255" t="s">
        <v>1191</v>
      </c>
      <c r="J340" s="258" t="s">
        <v>1113</v>
      </c>
      <c r="K340" s="238" t="s">
        <v>1192</v>
      </c>
      <c r="L340" s="236" t="s">
        <v>49</v>
      </c>
      <c r="M340" s="236" t="s">
        <v>50</v>
      </c>
      <c r="N340" s="238"/>
      <c r="O340" s="238"/>
      <c r="P340" s="589"/>
      <c r="Q340" s="236"/>
      <c r="R340" s="478"/>
      <c r="S340" s="236"/>
      <c r="T340" s="731"/>
      <c r="U340" s="731"/>
      <c r="V340" s="263"/>
      <c r="W340" s="263"/>
      <c r="X340" s="263"/>
    </row>
    <row r="341" spans="1:24" ht="14.25" hidden="1" customHeight="1">
      <c r="A341" s="225">
        <f>ROW()-1</f>
        <v>340</v>
      </c>
      <c r="B341" s="476">
        <v>46150</v>
      </c>
      <c r="C341" s="234" t="s">
        <v>1017</v>
      </c>
      <c r="D341" s="242" t="s">
        <v>131</v>
      </c>
      <c r="E341" s="232" t="s">
        <v>22</v>
      </c>
      <c r="F341" s="232" t="s">
        <v>23</v>
      </c>
      <c r="G341" s="234" t="s">
        <v>1193</v>
      </c>
      <c r="H341" s="233"/>
      <c r="I341" s="264" t="s">
        <v>1194</v>
      </c>
      <c r="J341" s="257" t="s">
        <v>66</v>
      </c>
      <c r="K341" s="234" t="s">
        <v>1195</v>
      </c>
      <c r="L341" s="232" t="s">
        <v>117</v>
      </c>
      <c r="M341" s="232" t="s">
        <v>28</v>
      </c>
      <c r="N341" s="232" t="s">
        <v>1196</v>
      </c>
      <c r="O341" s="235">
        <v>46150</v>
      </c>
      <c r="P341" s="590">
        <v>450000</v>
      </c>
      <c r="Q341" s="232" t="s">
        <v>70</v>
      </c>
      <c r="R341" s="475"/>
      <c r="S341" s="232"/>
      <c r="T341" s="731"/>
      <c r="U341" s="731"/>
      <c r="V341" s="263"/>
      <c r="W341" s="263"/>
      <c r="X341" s="263"/>
    </row>
    <row r="342" spans="1:24" ht="14.25" hidden="1" customHeight="1">
      <c r="A342" s="225">
        <f>ROW()-1</f>
        <v>341</v>
      </c>
      <c r="B342" s="476">
        <v>46150</v>
      </c>
      <c r="C342" s="234" t="s">
        <v>1197</v>
      </c>
      <c r="D342" s="242" t="s">
        <v>131</v>
      </c>
      <c r="E342" s="232" t="s">
        <v>22</v>
      </c>
      <c r="F342" s="232" t="s">
        <v>44</v>
      </c>
      <c r="G342" s="234" t="s">
        <v>878</v>
      </c>
      <c r="H342" s="233">
        <v>7875972590</v>
      </c>
      <c r="I342" s="264" t="s">
        <v>1198</v>
      </c>
      <c r="J342" s="258" t="s">
        <v>1113</v>
      </c>
      <c r="K342" s="234" t="s">
        <v>1199</v>
      </c>
      <c r="L342" s="232" t="s">
        <v>49</v>
      </c>
      <c r="M342" s="232" t="s">
        <v>50</v>
      </c>
      <c r="N342" s="234"/>
      <c r="O342" s="234"/>
      <c r="P342" s="590"/>
      <c r="Q342" s="232"/>
      <c r="R342" s="478"/>
      <c r="S342" s="232"/>
      <c r="T342" s="731"/>
      <c r="U342" s="731"/>
      <c r="V342" s="263"/>
      <c r="W342" s="263"/>
      <c r="X342" s="263"/>
    </row>
    <row r="343" spans="1:24" ht="14.25" hidden="1" customHeight="1">
      <c r="A343" s="225">
        <f>ROW()-1</f>
        <v>342</v>
      </c>
      <c r="B343" s="471">
        <v>46150</v>
      </c>
      <c r="C343" s="238" t="s">
        <v>1200</v>
      </c>
      <c r="D343" s="240" t="s">
        <v>131</v>
      </c>
      <c r="E343" s="236" t="s">
        <v>22</v>
      </c>
      <c r="F343" s="236" t="s">
        <v>59</v>
      </c>
      <c r="G343" s="238" t="s">
        <v>1201</v>
      </c>
      <c r="H343" s="237"/>
      <c r="I343" s="255"/>
      <c r="J343" s="257" t="s">
        <v>66</v>
      </c>
      <c r="K343" s="238"/>
      <c r="L343" s="236" t="s">
        <v>27</v>
      </c>
      <c r="M343" s="236" t="s">
        <v>28</v>
      </c>
      <c r="N343" s="238" t="s">
        <v>1202</v>
      </c>
      <c r="O343" s="239">
        <v>46150</v>
      </c>
      <c r="P343" s="589">
        <v>282500</v>
      </c>
      <c r="Q343" s="232" t="s">
        <v>70</v>
      </c>
      <c r="R343" s="475"/>
      <c r="S343" s="236"/>
      <c r="T343" s="731"/>
      <c r="U343" s="731"/>
      <c r="V343" s="263"/>
      <c r="W343" s="263"/>
      <c r="X343" s="263"/>
    </row>
    <row r="344" spans="1:24" ht="14.25" hidden="1" customHeight="1">
      <c r="A344" s="225">
        <f>ROW()-1</f>
        <v>343</v>
      </c>
      <c r="B344" s="476">
        <v>46150</v>
      </c>
      <c r="C344" s="232" t="s">
        <v>1203</v>
      </c>
      <c r="D344" s="484" t="s">
        <v>1024</v>
      </c>
      <c r="E344" s="232"/>
      <c r="F344" s="232" t="s">
        <v>23</v>
      </c>
      <c r="G344" s="232" t="s">
        <v>1204</v>
      </c>
      <c r="H344" s="233">
        <v>9437040292</v>
      </c>
      <c r="I344" s="232"/>
      <c r="J344" s="488" t="s">
        <v>122</v>
      </c>
      <c r="K344" s="232" t="s">
        <v>1205</v>
      </c>
      <c r="L344" s="232" t="s">
        <v>58</v>
      </c>
      <c r="M344" s="232" t="s">
        <v>50</v>
      </c>
      <c r="N344" s="234"/>
      <c r="O344" s="234"/>
      <c r="P344" s="590"/>
      <c r="Q344" s="232"/>
      <c r="R344" s="478"/>
      <c r="S344" s="232"/>
      <c r="T344" s="731"/>
      <c r="U344" s="731"/>
      <c r="V344" s="263"/>
      <c r="W344" s="263"/>
      <c r="X344" s="263"/>
    </row>
    <row r="345" spans="1:24" ht="14.25" hidden="1" customHeight="1">
      <c r="A345" s="225">
        <f>ROW()-1</f>
        <v>344</v>
      </c>
      <c r="B345" s="471">
        <v>46150</v>
      </c>
      <c r="C345" s="238" t="s">
        <v>1206</v>
      </c>
      <c r="D345" s="240" t="s">
        <v>131</v>
      </c>
      <c r="E345" s="236" t="s">
        <v>22</v>
      </c>
      <c r="F345" s="236" t="s">
        <v>60</v>
      </c>
      <c r="G345" s="238" t="s">
        <v>1207</v>
      </c>
      <c r="H345" s="237">
        <v>7908027241</v>
      </c>
      <c r="I345" s="255" t="s">
        <v>1027</v>
      </c>
      <c r="J345" s="257" t="s">
        <v>66</v>
      </c>
      <c r="K345" s="238" t="s">
        <v>1208</v>
      </c>
      <c r="L345" s="236" t="s">
        <v>27</v>
      </c>
      <c r="M345" s="236" t="s">
        <v>77</v>
      </c>
      <c r="N345" s="238" t="s">
        <v>1209</v>
      </c>
      <c r="O345" s="239">
        <v>46151</v>
      </c>
      <c r="P345" s="589">
        <v>185208</v>
      </c>
      <c r="Q345" s="232" t="s">
        <v>70</v>
      </c>
      <c r="R345" s="475"/>
      <c r="S345" s="236"/>
      <c r="T345" s="731"/>
      <c r="U345" s="731"/>
      <c r="V345" s="263"/>
      <c r="W345" s="263"/>
      <c r="X345" s="263"/>
    </row>
    <row r="346" spans="1:24" ht="14.25" hidden="1" customHeight="1">
      <c r="A346" s="225">
        <f>ROW()-1</f>
        <v>345</v>
      </c>
      <c r="B346" s="471">
        <v>46151</v>
      </c>
      <c r="C346" s="238" t="s">
        <v>1210</v>
      </c>
      <c r="D346" s="240" t="s">
        <v>131</v>
      </c>
      <c r="E346" s="236" t="s">
        <v>22</v>
      </c>
      <c r="F346" s="236" t="s">
        <v>23</v>
      </c>
      <c r="G346" s="238" t="s">
        <v>1211</v>
      </c>
      <c r="H346" s="237">
        <v>9022515825</v>
      </c>
      <c r="I346" s="480" t="s">
        <v>139</v>
      </c>
      <c r="J346" s="483" t="s">
        <v>63</v>
      </c>
      <c r="K346" s="238" t="s">
        <v>1212</v>
      </c>
      <c r="L346" s="236" t="s">
        <v>49</v>
      </c>
      <c r="M346" s="236" t="s">
        <v>50</v>
      </c>
      <c r="N346" s="238"/>
      <c r="O346" s="238"/>
      <c r="P346" s="589"/>
      <c r="Q346" s="236"/>
      <c r="R346" s="478"/>
      <c r="S346" s="236"/>
      <c r="T346" s="731"/>
      <c r="U346" s="731"/>
      <c r="V346" s="263"/>
      <c r="W346" s="263"/>
      <c r="X346" s="263"/>
    </row>
    <row r="347" spans="1:24" ht="14.25" hidden="1" customHeight="1">
      <c r="A347" s="225">
        <f>ROW()-1</f>
        <v>346</v>
      </c>
      <c r="B347" s="471">
        <v>46151</v>
      </c>
      <c r="C347" s="238" t="s">
        <v>1213</v>
      </c>
      <c r="D347" s="240" t="s">
        <v>424</v>
      </c>
      <c r="E347" s="236" t="s">
        <v>22</v>
      </c>
      <c r="F347" s="236" t="s">
        <v>23</v>
      </c>
      <c r="G347" s="238" t="s">
        <v>1214</v>
      </c>
      <c r="H347" s="237"/>
      <c r="I347" s="601" t="s">
        <v>1032</v>
      </c>
      <c r="J347" s="257" t="s">
        <v>66</v>
      </c>
      <c r="K347" s="238" t="s">
        <v>791</v>
      </c>
      <c r="L347" s="236" t="s">
        <v>27</v>
      </c>
      <c r="M347" s="236" t="s">
        <v>77</v>
      </c>
      <c r="N347" s="238" t="s">
        <v>1215</v>
      </c>
      <c r="O347" s="239">
        <v>46153</v>
      </c>
      <c r="P347" s="589">
        <v>1880000</v>
      </c>
      <c r="Q347" s="232" t="s">
        <v>70</v>
      </c>
      <c r="R347" s="475"/>
      <c r="S347" s="236"/>
      <c r="T347" s="731"/>
      <c r="U347" s="731"/>
      <c r="V347" s="263"/>
      <c r="W347" s="263"/>
      <c r="X347" s="263"/>
    </row>
    <row r="348" spans="1:24" ht="14.25" hidden="1" customHeight="1">
      <c r="A348" s="225">
        <f>ROW()-1</f>
        <v>347</v>
      </c>
      <c r="B348" s="471">
        <v>46151</v>
      </c>
      <c r="C348" s="238" t="s">
        <v>20</v>
      </c>
      <c r="D348" s="240" t="s">
        <v>131</v>
      </c>
      <c r="E348" s="236" t="s">
        <v>22</v>
      </c>
      <c r="F348" s="236" t="s">
        <v>73</v>
      </c>
      <c r="G348" s="238" t="s">
        <v>1216</v>
      </c>
      <c r="H348" s="237"/>
      <c r="I348" s="236"/>
      <c r="J348" s="257" t="s">
        <v>66</v>
      </c>
      <c r="K348" s="549"/>
      <c r="L348" s="236" t="s">
        <v>74</v>
      </c>
      <c r="M348" s="236" t="s">
        <v>28</v>
      </c>
      <c r="N348" s="740" t="s">
        <v>1217</v>
      </c>
      <c r="O348" s="238"/>
      <c r="P348" s="589"/>
      <c r="Q348" s="236"/>
      <c r="R348" s="475"/>
      <c r="S348" s="236"/>
      <c r="T348" s="731"/>
      <c r="U348" s="731"/>
      <c r="V348" s="263"/>
      <c r="W348" s="263"/>
      <c r="X348" s="263"/>
    </row>
    <row r="349" spans="1:24" ht="14.25" hidden="1" customHeight="1">
      <c r="A349" s="225">
        <f>ROW()-1</f>
        <v>348</v>
      </c>
      <c r="B349" s="471">
        <v>46151</v>
      </c>
      <c r="C349" s="238" t="s">
        <v>1218</v>
      </c>
      <c r="D349" s="240" t="s">
        <v>1219</v>
      </c>
      <c r="E349" s="236" t="s">
        <v>22</v>
      </c>
      <c r="F349" s="236" t="s">
        <v>23</v>
      </c>
      <c r="G349" s="238" t="s">
        <v>1220</v>
      </c>
      <c r="H349" s="237">
        <v>8668219995</v>
      </c>
      <c r="I349" s="558" t="s">
        <v>139</v>
      </c>
      <c r="J349" s="258" t="s">
        <v>1113</v>
      </c>
      <c r="K349" s="238" t="s">
        <v>1221</v>
      </c>
      <c r="L349" s="236" t="s">
        <v>49</v>
      </c>
      <c r="M349" s="236" t="s">
        <v>50</v>
      </c>
      <c r="N349" s="238"/>
      <c r="O349" s="238"/>
      <c r="P349" s="589"/>
      <c r="Q349" s="236"/>
      <c r="R349" s="478"/>
      <c r="S349" s="236"/>
      <c r="T349" s="731"/>
      <c r="U349" s="731"/>
      <c r="V349" s="263"/>
      <c r="W349" s="263"/>
      <c r="X349" s="263"/>
    </row>
    <row r="350" spans="1:24" ht="14.25" hidden="1" customHeight="1">
      <c r="A350" s="225">
        <f>ROW()-1</f>
        <v>349</v>
      </c>
      <c r="B350" s="476">
        <v>46151</v>
      </c>
      <c r="C350" s="232" t="s">
        <v>1222</v>
      </c>
      <c r="D350" s="484" t="s">
        <v>1223</v>
      </c>
      <c r="E350" s="232" t="s">
        <v>162</v>
      </c>
      <c r="F350" s="232" t="s">
        <v>73</v>
      </c>
      <c r="G350" s="232" t="s">
        <v>1224</v>
      </c>
      <c r="H350" s="233">
        <v>8383972565</v>
      </c>
      <c r="I350" s="232"/>
      <c r="J350" s="488" t="s">
        <v>171</v>
      </c>
      <c r="K350" s="232" t="s">
        <v>1225</v>
      </c>
      <c r="L350" s="232" t="s">
        <v>58</v>
      </c>
      <c r="M350" s="232" t="s">
        <v>50</v>
      </c>
      <c r="N350" s="234"/>
      <c r="O350" s="234"/>
      <c r="P350" s="590"/>
      <c r="Q350" s="232"/>
      <c r="R350" s="478"/>
      <c r="S350" s="232"/>
      <c r="T350" s="731"/>
      <c r="U350" s="731"/>
      <c r="V350" s="263"/>
      <c r="W350" s="263"/>
      <c r="X350" s="263"/>
    </row>
    <row r="351" spans="1:24" ht="14.25" hidden="1" customHeight="1">
      <c r="A351" s="225">
        <f>ROW()-1</f>
        <v>350</v>
      </c>
      <c r="B351" s="476">
        <v>46151</v>
      </c>
      <c r="C351" s="234" t="s">
        <v>1039</v>
      </c>
      <c r="D351" s="242" t="s">
        <v>1226</v>
      </c>
      <c r="E351" s="232" t="s">
        <v>193</v>
      </c>
      <c r="F351" s="232" t="s">
        <v>23</v>
      </c>
      <c r="G351" s="234" t="s">
        <v>188</v>
      </c>
      <c r="H351" s="233">
        <v>7827073388</v>
      </c>
      <c r="I351" s="264" t="s">
        <v>1227</v>
      </c>
      <c r="J351" s="257" t="s">
        <v>567</v>
      </c>
      <c r="K351" s="234" t="s">
        <v>139</v>
      </c>
      <c r="L351" s="232" t="s">
        <v>49</v>
      </c>
      <c r="M351" s="232" t="s">
        <v>50</v>
      </c>
      <c r="N351" s="234"/>
      <c r="O351" s="234"/>
      <c r="P351" s="590"/>
      <c r="Q351" s="232"/>
      <c r="R351" s="478"/>
      <c r="S351" s="232"/>
      <c r="T351" s="731"/>
      <c r="U351" s="731"/>
      <c r="V351" s="263"/>
      <c r="W351" s="263"/>
      <c r="X351" s="263"/>
    </row>
    <row r="352" spans="1:24" ht="14.25" hidden="1" customHeight="1">
      <c r="A352" s="225">
        <f>ROW()-1</f>
        <v>351</v>
      </c>
      <c r="B352" s="476">
        <v>46151</v>
      </c>
      <c r="C352" s="234" t="s">
        <v>1228</v>
      </c>
      <c r="D352" s="242" t="s">
        <v>1042</v>
      </c>
      <c r="E352" s="232" t="s">
        <v>22</v>
      </c>
      <c r="F352" s="232" t="s">
        <v>60</v>
      </c>
      <c r="G352" s="234" t="s">
        <v>60</v>
      </c>
      <c r="H352" s="233">
        <v>9619229338</v>
      </c>
      <c r="I352" s="264" t="s">
        <v>1229</v>
      </c>
      <c r="J352" s="513" t="s">
        <v>1113</v>
      </c>
      <c r="K352" s="234" t="s">
        <v>1230</v>
      </c>
      <c r="L352" s="232" t="s">
        <v>49</v>
      </c>
      <c r="M352" s="232" t="s">
        <v>40</v>
      </c>
      <c r="N352" s="234"/>
      <c r="O352" s="234"/>
      <c r="P352" s="590"/>
      <c r="Q352" s="232"/>
      <c r="R352" s="478"/>
      <c r="S352" s="232"/>
      <c r="T352" s="731"/>
      <c r="U352" s="731"/>
      <c r="V352" s="263"/>
      <c r="W352" s="263"/>
      <c r="X352" s="263"/>
    </row>
    <row r="353" spans="1:24" ht="14.25" hidden="1" customHeight="1">
      <c r="A353" s="225">
        <f>ROW()-1</f>
        <v>352</v>
      </c>
      <c r="B353" s="476">
        <v>46151</v>
      </c>
      <c r="C353" s="234" t="s">
        <v>528</v>
      </c>
      <c r="D353" s="242" t="s">
        <v>131</v>
      </c>
      <c r="E353" s="232" t="s">
        <v>22</v>
      </c>
      <c r="F353" s="232" t="s">
        <v>59</v>
      </c>
      <c r="G353" s="234" t="s">
        <v>1231</v>
      </c>
      <c r="H353" s="233"/>
      <c r="I353" s="264" t="s">
        <v>530</v>
      </c>
      <c r="J353" s="496" t="s">
        <v>63</v>
      </c>
      <c r="K353" s="234"/>
      <c r="L353" s="232" t="s">
        <v>117</v>
      </c>
      <c r="M353" s="232" t="s">
        <v>50</v>
      </c>
      <c r="N353" s="234"/>
      <c r="O353" s="234"/>
      <c r="P353" s="590"/>
      <c r="Q353" s="232"/>
      <c r="R353" s="478"/>
      <c r="S353" s="232"/>
      <c r="T353" s="731"/>
      <c r="U353" s="731"/>
      <c r="V353" s="263"/>
      <c r="W353" s="263"/>
      <c r="X353" s="263"/>
    </row>
    <row r="354" spans="1:24" ht="14.25" hidden="1" customHeight="1">
      <c r="A354" s="225">
        <f>ROW()-1</f>
        <v>353</v>
      </c>
      <c r="B354" s="471">
        <v>46152</v>
      </c>
      <c r="C354" s="236" t="s">
        <v>1232</v>
      </c>
      <c r="D354" s="486" t="s">
        <v>1233</v>
      </c>
      <c r="E354" s="236" t="s">
        <v>162</v>
      </c>
      <c r="F354" s="236" t="s">
        <v>73</v>
      </c>
      <c r="G354" s="236" t="s">
        <v>591</v>
      </c>
      <c r="H354" s="237">
        <v>9050001515</v>
      </c>
      <c r="I354" s="236"/>
      <c r="J354" s="488" t="s">
        <v>63</v>
      </c>
      <c r="K354" s="236" t="s">
        <v>1234</v>
      </c>
      <c r="L354" s="236" t="s">
        <v>58</v>
      </c>
      <c r="M354" s="236" t="s">
        <v>50</v>
      </c>
      <c r="N354" s="238"/>
      <c r="O354" s="238"/>
      <c r="P354" s="589"/>
      <c r="Q354" s="236"/>
      <c r="R354" s="478"/>
      <c r="S354" s="236"/>
      <c r="T354" s="731"/>
      <c r="U354" s="731"/>
      <c r="V354" s="263"/>
      <c r="W354" s="263"/>
      <c r="X354" s="263"/>
    </row>
    <row r="355" spans="1:24" ht="14.25" hidden="1" customHeight="1">
      <c r="A355" s="225">
        <f>ROW()-1</f>
        <v>354</v>
      </c>
      <c r="B355" s="476">
        <v>46152</v>
      </c>
      <c r="C355" s="232" t="s">
        <v>1047</v>
      </c>
      <c r="D355" s="484" t="s">
        <v>1235</v>
      </c>
      <c r="E355" s="232"/>
      <c r="F355" s="232" t="s">
        <v>60</v>
      </c>
      <c r="G355" s="232" t="s">
        <v>1236</v>
      </c>
      <c r="H355" s="233">
        <v>9313309342</v>
      </c>
      <c r="I355" s="232"/>
      <c r="J355" s="267" t="s">
        <v>122</v>
      </c>
      <c r="K355" s="232" t="s">
        <v>1237</v>
      </c>
      <c r="L355" s="232" t="s">
        <v>58</v>
      </c>
      <c r="M355" s="232" t="s">
        <v>40</v>
      </c>
      <c r="N355" s="234"/>
      <c r="O355" s="234"/>
      <c r="P355" s="590"/>
      <c r="Q355" s="232"/>
      <c r="R355" s="478"/>
      <c r="S355" s="232"/>
      <c r="T355" s="731"/>
      <c r="U355" s="731"/>
      <c r="V355" s="263"/>
      <c r="W355" s="263"/>
      <c r="X355" s="263"/>
    </row>
    <row r="356" spans="1:24" ht="14.25" hidden="1" customHeight="1">
      <c r="A356" s="225">
        <f>ROW()-1</f>
        <v>355</v>
      </c>
      <c r="B356" s="471">
        <v>46152</v>
      </c>
      <c r="C356" s="236" t="s">
        <v>1238</v>
      </c>
      <c r="D356" s="486" t="s">
        <v>1155</v>
      </c>
      <c r="E356" s="236" t="s">
        <v>82</v>
      </c>
      <c r="F356" s="236" t="s">
        <v>60</v>
      </c>
      <c r="G356" s="236" t="s">
        <v>1239</v>
      </c>
      <c r="H356" s="237">
        <v>9080935414</v>
      </c>
      <c r="I356" s="236" t="s">
        <v>1240</v>
      </c>
      <c r="J356" s="739" t="s">
        <v>567</v>
      </c>
      <c r="K356" s="236" t="s">
        <v>1241</v>
      </c>
      <c r="L356" s="236" t="s">
        <v>58</v>
      </c>
      <c r="M356" s="236" t="s">
        <v>40</v>
      </c>
      <c r="N356" s="238"/>
      <c r="O356" s="238"/>
      <c r="P356" s="589"/>
      <c r="Q356" s="236"/>
      <c r="R356" s="478"/>
      <c r="S356" s="236"/>
      <c r="T356" s="731"/>
      <c r="U356" s="731"/>
      <c r="V356" s="263"/>
      <c r="W356" s="263"/>
      <c r="X356" s="263"/>
    </row>
    <row r="357" spans="1:24" ht="14.25" hidden="1" customHeight="1">
      <c r="A357" s="225">
        <f>ROW()-1</f>
        <v>356</v>
      </c>
      <c r="B357" s="471">
        <v>46153</v>
      </c>
      <c r="C357" s="238" t="s">
        <v>1242</v>
      </c>
      <c r="D357" s="240"/>
      <c r="E357" s="236" t="s">
        <v>22</v>
      </c>
      <c r="F357" s="236" t="s">
        <v>60</v>
      </c>
      <c r="G357" s="238" t="s">
        <v>1243</v>
      </c>
      <c r="H357" s="237">
        <v>8310377026</v>
      </c>
      <c r="I357" s="255" t="s">
        <v>1244</v>
      </c>
      <c r="J357" s="257" t="s">
        <v>66</v>
      </c>
      <c r="K357" s="238" t="s">
        <v>1054</v>
      </c>
      <c r="L357" s="236" t="s">
        <v>49</v>
      </c>
      <c r="M357" s="236" t="s">
        <v>40</v>
      </c>
      <c r="N357" s="238" t="s">
        <v>1245</v>
      </c>
      <c r="O357" s="239">
        <v>46153</v>
      </c>
      <c r="P357" s="589">
        <v>282768.68</v>
      </c>
      <c r="Q357" s="236" t="s">
        <v>70</v>
      </c>
      <c r="R357" s="478"/>
      <c r="S357" s="236"/>
      <c r="T357" s="731"/>
      <c r="U357" s="731"/>
      <c r="V357" s="263"/>
      <c r="W357" s="263"/>
      <c r="X357" s="263"/>
    </row>
    <row r="358" spans="1:24" ht="14.25" hidden="1" customHeight="1">
      <c r="A358" s="225">
        <f>ROW()-1</f>
        <v>357</v>
      </c>
      <c r="B358" s="476">
        <v>46153</v>
      </c>
      <c r="C358" s="234" t="s">
        <v>1246</v>
      </c>
      <c r="D358" s="242" t="s">
        <v>131</v>
      </c>
      <c r="E358" s="232" t="s">
        <v>22</v>
      </c>
      <c r="F358" s="232" t="s">
        <v>60</v>
      </c>
      <c r="G358" s="234" t="s">
        <v>1247</v>
      </c>
      <c r="H358" s="233">
        <v>8310377026</v>
      </c>
      <c r="I358" s="232" t="s">
        <v>1248</v>
      </c>
      <c r="J358" s="513" t="s">
        <v>1113</v>
      </c>
      <c r="K358" s="234" t="s">
        <v>1057</v>
      </c>
      <c r="L358" s="232" t="s">
        <v>49</v>
      </c>
      <c r="M358" s="232" t="s">
        <v>40</v>
      </c>
      <c r="N358" s="234"/>
      <c r="O358" s="234"/>
      <c r="P358" s="590"/>
      <c r="Q358" s="232"/>
      <c r="R358" s="478"/>
      <c r="S358" s="232"/>
      <c r="T358" s="731"/>
      <c r="U358" s="731"/>
      <c r="V358" s="263"/>
      <c r="W358" s="263"/>
      <c r="X358" s="263"/>
    </row>
    <row r="359" spans="1:24" ht="14.25" hidden="1" customHeight="1">
      <c r="A359" s="225">
        <f>ROW()-1</f>
        <v>358</v>
      </c>
      <c r="B359" s="476">
        <v>46153</v>
      </c>
      <c r="C359" s="234" t="s">
        <v>262</v>
      </c>
      <c r="D359" s="242" t="s">
        <v>131</v>
      </c>
      <c r="E359" s="232" t="s">
        <v>22</v>
      </c>
      <c r="F359" s="232" t="s">
        <v>59</v>
      </c>
      <c r="G359" s="234" t="s">
        <v>1249</v>
      </c>
      <c r="H359" s="233">
        <v>8600120115</v>
      </c>
      <c r="I359" s="266" t="s">
        <v>264</v>
      </c>
      <c r="J359" s="257" t="s">
        <v>66</v>
      </c>
      <c r="K359" s="234" t="s">
        <v>265</v>
      </c>
      <c r="L359" s="232" t="s">
        <v>27</v>
      </c>
      <c r="M359" s="232" t="s">
        <v>28</v>
      </c>
      <c r="N359" s="232" t="s">
        <v>1250</v>
      </c>
      <c r="O359" s="235">
        <v>46153</v>
      </c>
      <c r="P359" s="590">
        <v>1094371.1299999999</v>
      </c>
      <c r="Q359" s="232" t="s">
        <v>70</v>
      </c>
      <c r="R359" s="475"/>
      <c r="S359" s="232"/>
      <c r="T359" s="731"/>
      <c r="U359" s="731"/>
      <c r="V359" s="263"/>
      <c r="W359" s="263"/>
      <c r="X359" s="263"/>
    </row>
    <row r="360" spans="1:24" ht="14.25" hidden="1" customHeight="1">
      <c r="A360" s="225">
        <f>ROW()-1</f>
        <v>359</v>
      </c>
      <c r="B360" s="471">
        <v>46153</v>
      </c>
      <c r="C360" s="238" t="s">
        <v>262</v>
      </c>
      <c r="D360" s="240" t="s">
        <v>131</v>
      </c>
      <c r="E360" s="236" t="s">
        <v>22</v>
      </c>
      <c r="F360" s="236" t="s">
        <v>23</v>
      </c>
      <c r="G360" s="238" t="s">
        <v>188</v>
      </c>
      <c r="H360" s="237">
        <v>8600120115</v>
      </c>
      <c r="I360" s="472" t="s">
        <v>264</v>
      </c>
      <c r="J360" s="257" t="s">
        <v>66</v>
      </c>
      <c r="K360" s="238" t="s">
        <v>265</v>
      </c>
      <c r="L360" s="236" t="s">
        <v>27</v>
      </c>
      <c r="M360" s="236" t="s">
        <v>28</v>
      </c>
      <c r="N360" s="238" t="s">
        <v>1251</v>
      </c>
      <c r="O360" s="239">
        <v>46153</v>
      </c>
      <c r="P360" s="589">
        <v>125000</v>
      </c>
      <c r="Q360" s="232" t="s">
        <v>119</v>
      </c>
      <c r="R360" s="475"/>
      <c r="S360" s="236"/>
      <c r="T360" s="731"/>
      <c r="U360" s="731"/>
      <c r="V360" s="263"/>
      <c r="W360" s="263"/>
      <c r="X360" s="263"/>
    </row>
    <row r="361" spans="1:24" ht="14.25" hidden="1" customHeight="1">
      <c r="A361" s="225">
        <f>ROW()-1</f>
        <v>360</v>
      </c>
      <c r="B361" s="476">
        <v>46153</v>
      </c>
      <c r="C361" s="234" t="s">
        <v>1252</v>
      </c>
      <c r="D361" s="242" t="s">
        <v>131</v>
      </c>
      <c r="E361" s="232" t="s">
        <v>22</v>
      </c>
      <c r="F361" s="232" t="s">
        <v>60</v>
      </c>
      <c r="G361" s="234" t="s">
        <v>1253</v>
      </c>
      <c r="H361" s="233" t="s">
        <v>1061</v>
      </c>
      <c r="I361" s="264" t="s">
        <v>1254</v>
      </c>
      <c r="J361" s="257" t="s">
        <v>25</v>
      </c>
      <c r="K361" s="234" t="s">
        <v>1255</v>
      </c>
      <c r="L361" s="232" t="s">
        <v>27</v>
      </c>
      <c r="M361" s="232" t="s">
        <v>40</v>
      </c>
      <c r="N361" s="234" t="s">
        <v>1063</v>
      </c>
      <c r="O361" s="235">
        <v>46153</v>
      </c>
      <c r="P361" s="590">
        <v>149100</v>
      </c>
      <c r="Q361" s="232" t="s">
        <v>30</v>
      </c>
      <c r="R361" s="478"/>
      <c r="S361" s="232"/>
      <c r="T361" s="731"/>
      <c r="U361" s="731"/>
      <c r="V361" s="263"/>
      <c r="W361" s="263"/>
      <c r="X361" s="263"/>
    </row>
    <row r="362" spans="1:24" ht="14.25" hidden="1" customHeight="1">
      <c r="A362" s="225">
        <f>ROW()-1</f>
        <v>361</v>
      </c>
      <c r="B362" s="471">
        <v>46153</v>
      </c>
      <c r="C362" s="236" t="s">
        <v>1256</v>
      </c>
      <c r="D362" s="486" t="s">
        <v>1257</v>
      </c>
      <c r="E362" s="236"/>
      <c r="F362" s="236" t="s">
        <v>23</v>
      </c>
      <c r="G362" s="236" t="s">
        <v>1000</v>
      </c>
      <c r="H362" s="237">
        <v>9927067133</v>
      </c>
      <c r="I362" s="236" t="s">
        <v>1258</v>
      </c>
      <c r="J362" s="488" t="s">
        <v>567</v>
      </c>
      <c r="K362" s="236" t="s">
        <v>1067</v>
      </c>
      <c r="L362" s="236" t="s">
        <v>58</v>
      </c>
      <c r="M362" s="236" t="s">
        <v>50</v>
      </c>
      <c r="N362" s="238"/>
      <c r="O362" s="238"/>
      <c r="P362" s="589"/>
      <c r="Q362" s="236"/>
      <c r="R362" s="478"/>
      <c r="S362" s="236"/>
      <c r="T362" s="731"/>
      <c r="U362" s="731"/>
      <c r="V362" s="263"/>
      <c r="W362" s="263"/>
      <c r="X362" s="263"/>
    </row>
    <row r="363" spans="1:24" ht="14.25" hidden="1" customHeight="1">
      <c r="A363" s="225">
        <f>ROW()-1</f>
        <v>362</v>
      </c>
      <c r="B363" s="476">
        <v>46153</v>
      </c>
      <c r="C363" s="232" t="s">
        <v>1259</v>
      </c>
      <c r="D363" s="484" t="s">
        <v>1260</v>
      </c>
      <c r="E363" s="232" t="s">
        <v>22</v>
      </c>
      <c r="F363" s="232" t="s">
        <v>59</v>
      </c>
      <c r="G363" s="232" t="s">
        <v>1261</v>
      </c>
      <c r="H363" s="233">
        <v>8250041672</v>
      </c>
      <c r="I363" s="232"/>
      <c r="J363" s="488" t="s">
        <v>122</v>
      </c>
      <c r="K363" s="232" t="s">
        <v>750</v>
      </c>
      <c r="L363" s="232" t="s">
        <v>58</v>
      </c>
      <c r="M363" s="232" t="s">
        <v>50</v>
      </c>
      <c r="N363" s="234"/>
      <c r="O363" s="234"/>
      <c r="P363" s="590"/>
      <c r="Q363" s="232"/>
      <c r="R363" s="478"/>
      <c r="S363" s="232"/>
      <c r="T363" s="731"/>
      <c r="U363" s="731"/>
      <c r="V363" s="263"/>
      <c r="W363" s="263"/>
      <c r="X363" s="263"/>
    </row>
    <row r="364" spans="1:24" ht="14.25" hidden="1" customHeight="1">
      <c r="A364" s="225">
        <f>ROW()-1</f>
        <v>363</v>
      </c>
      <c r="B364" s="476">
        <v>46153</v>
      </c>
      <c r="C364" s="232" t="s">
        <v>1262</v>
      </c>
      <c r="D364" s="484" t="s">
        <v>1263</v>
      </c>
      <c r="E364" s="232" t="s">
        <v>22</v>
      </c>
      <c r="F364" s="232" t="s">
        <v>73</v>
      </c>
      <c r="G364" s="232" t="s">
        <v>1264</v>
      </c>
      <c r="H364" s="233">
        <v>9970740607</v>
      </c>
      <c r="I364" s="232" t="s">
        <v>1265</v>
      </c>
      <c r="J364" s="488" t="s">
        <v>47</v>
      </c>
      <c r="K364" s="232" t="s">
        <v>1072</v>
      </c>
      <c r="L364" s="232" t="s">
        <v>58</v>
      </c>
      <c r="M364" s="232" t="s">
        <v>50</v>
      </c>
      <c r="N364" s="234"/>
      <c r="O364" s="234"/>
      <c r="P364" s="590"/>
      <c r="Q364" s="232"/>
      <c r="R364" s="478"/>
      <c r="S364" s="232"/>
      <c r="T364" s="731"/>
      <c r="U364" s="731"/>
      <c r="V364" s="263"/>
      <c r="W364" s="263"/>
      <c r="X364" s="263"/>
    </row>
    <row r="365" spans="1:24" ht="14.25" hidden="1" customHeight="1">
      <c r="A365" s="225">
        <f>ROW()-1</f>
        <v>364</v>
      </c>
      <c r="B365" s="471">
        <v>46153</v>
      </c>
      <c r="C365" s="236" t="s">
        <v>1266</v>
      </c>
      <c r="D365" s="486" t="s">
        <v>1267</v>
      </c>
      <c r="E365" s="236"/>
      <c r="F365" s="236" t="s">
        <v>23</v>
      </c>
      <c r="G365" s="236" t="s">
        <v>1000</v>
      </c>
      <c r="H365" s="237">
        <v>9915589980</v>
      </c>
      <c r="I365" s="236" t="s">
        <v>1268</v>
      </c>
      <c r="J365" s="488" t="s">
        <v>567</v>
      </c>
      <c r="K365" s="236" t="s">
        <v>1269</v>
      </c>
      <c r="L365" s="236" t="s">
        <v>58</v>
      </c>
      <c r="M365" s="236" t="s">
        <v>50</v>
      </c>
      <c r="N365" s="238"/>
      <c r="O365" s="238"/>
      <c r="P365" s="589"/>
      <c r="Q365" s="236"/>
      <c r="R365" s="478"/>
      <c r="S365" s="236"/>
      <c r="T365" s="731"/>
      <c r="U365" s="731"/>
      <c r="V365" s="263"/>
      <c r="W365" s="263"/>
      <c r="X365" s="263"/>
    </row>
    <row r="366" spans="1:24" ht="14.25" hidden="1" customHeight="1">
      <c r="A366" s="225">
        <f>ROW()-1</f>
        <v>365</v>
      </c>
      <c r="B366" s="471">
        <v>46153</v>
      </c>
      <c r="C366" s="236" t="s">
        <v>1270</v>
      </c>
      <c r="D366" s="486" t="s">
        <v>1271</v>
      </c>
      <c r="E366" s="236" t="s">
        <v>385</v>
      </c>
      <c r="F366" s="236" t="s">
        <v>73</v>
      </c>
      <c r="G366" s="236" t="s">
        <v>1272</v>
      </c>
      <c r="H366" s="237">
        <v>9023729262</v>
      </c>
      <c r="I366" s="236" t="s">
        <v>1273</v>
      </c>
      <c r="J366" s="488" t="s">
        <v>1113</v>
      </c>
      <c r="K366" s="236" t="s">
        <v>1078</v>
      </c>
      <c r="L366" s="236" t="s">
        <v>58</v>
      </c>
      <c r="M366" s="236" t="s">
        <v>50</v>
      </c>
      <c r="N366" s="238"/>
      <c r="O366" s="238"/>
      <c r="P366" s="589"/>
      <c r="Q366" s="236"/>
      <c r="R366" s="478"/>
      <c r="S366" s="236"/>
      <c r="T366" s="731"/>
      <c r="U366" s="731"/>
      <c r="V366" s="263"/>
      <c r="W366" s="263"/>
      <c r="X366" s="263"/>
    </row>
    <row r="367" spans="1:24" ht="14.25" hidden="1" customHeight="1">
      <c r="A367" s="225">
        <f>ROW()-1</f>
        <v>366</v>
      </c>
      <c r="B367" s="476">
        <v>46153</v>
      </c>
      <c r="C367" s="232" t="s">
        <v>1274</v>
      </c>
      <c r="D367" s="484" t="s">
        <v>1107</v>
      </c>
      <c r="E367" s="232"/>
      <c r="F367" s="232" t="s">
        <v>60</v>
      </c>
      <c r="G367" s="232" t="s">
        <v>1275</v>
      </c>
      <c r="H367" s="233">
        <v>9891865490</v>
      </c>
      <c r="I367" s="232"/>
      <c r="J367" s="737" t="s">
        <v>171</v>
      </c>
      <c r="K367" s="232" t="s">
        <v>1276</v>
      </c>
      <c r="L367" s="232" t="s">
        <v>58</v>
      </c>
      <c r="M367" s="232" t="s">
        <v>40</v>
      </c>
      <c r="N367" s="234"/>
      <c r="O367" s="234"/>
      <c r="P367" s="590"/>
      <c r="Q367" s="232"/>
      <c r="R367" s="478"/>
      <c r="S367" s="232"/>
      <c r="T367" s="731"/>
      <c r="U367" s="731"/>
      <c r="V367" s="263"/>
      <c r="W367" s="263"/>
      <c r="X367" s="263"/>
    </row>
    <row r="368" spans="1:24" ht="14.25" hidden="1" customHeight="1">
      <c r="A368" s="225">
        <f>ROW()-1</f>
        <v>367</v>
      </c>
      <c r="B368" s="471">
        <v>46154</v>
      </c>
      <c r="C368" s="238" t="s">
        <v>874</v>
      </c>
      <c r="D368" s="240"/>
      <c r="E368" s="236" t="s">
        <v>22</v>
      </c>
      <c r="F368" s="236" t="s">
        <v>60</v>
      </c>
      <c r="G368" s="238" t="s">
        <v>1017</v>
      </c>
      <c r="H368" s="237">
        <v>7887875020</v>
      </c>
      <c r="I368" s="255" t="s">
        <v>1018</v>
      </c>
      <c r="J368" s="257" t="s">
        <v>66</v>
      </c>
      <c r="K368" s="501" t="s">
        <v>876</v>
      </c>
      <c r="L368" s="236" t="s">
        <v>117</v>
      </c>
      <c r="M368" s="236" t="s">
        <v>28</v>
      </c>
      <c r="N368" s="238" t="s">
        <v>1277</v>
      </c>
      <c r="O368" s="239">
        <v>46154</v>
      </c>
      <c r="P368" s="589">
        <v>10000</v>
      </c>
      <c r="Q368" s="232" t="s">
        <v>119</v>
      </c>
      <c r="R368" s="478"/>
      <c r="S368" s="236"/>
      <c r="T368" s="732"/>
      <c r="U368" s="732"/>
    </row>
    <row r="369" spans="1:21" ht="14.25" hidden="1" customHeight="1">
      <c r="A369" s="225">
        <f>ROW()-1</f>
        <v>368</v>
      </c>
      <c r="B369" s="471">
        <v>46154</v>
      </c>
      <c r="C369" s="238" t="s">
        <v>1278</v>
      </c>
      <c r="D369" s="240" t="s">
        <v>131</v>
      </c>
      <c r="E369" s="236" t="s">
        <v>22</v>
      </c>
      <c r="F369" s="236" t="s">
        <v>73</v>
      </c>
      <c r="G369" s="238" t="s">
        <v>1279</v>
      </c>
      <c r="H369" s="237">
        <v>8805017173</v>
      </c>
      <c r="I369" s="255" t="s">
        <v>1280</v>
      </c>
      <c r="J369" s="483" t="s">
        <v>63</v>
      </c>
      <c r="K369" s="238" t="s">
        <v>1083</v>
      </c>
      <c r="L369" s="236" t="s">
        <v>27</v>
      </c>
      <c r="M369" s="236" t="s">
        <v>77</v>
      </c>
      <c r="N369" s="238"/>
      <c r="O369" s="238"/>
      <c r="P369" s="589"/>
      <c r="Q369" s="236"/>
      <c r="R369" s="478"/>
      <c r="S369" s="236"/>
      <c r="T369" s="732"/>
      <c r="U369" s="732"/>
    </row>
    <row r="370" spans="1:21" ht="14.25" hidden="1" customHeight="1">
      <c r="A370" s="225">
        <f>ROW()-1</f>
        <v>369</v>
      </c>
      <c r="B370" s="471">
        <v>46154</v>
      </c>
      <c r="C370" s="236" t="s">
        <v>1281</v>
      </c>
      <c r="D370" s="486" t="s">
        <v>1282</v>
      </c>
      <c r="E370" s="236" t="s">
        <v>193</v>
      </c>
      <c r="F370" s="236" t="s">
        <v>73</v>
      </c>
      <c r="G370" s="236" t="s">
        <v>1283</v>
      </c>
      <c r="H370" s="237">
        <v>8019553379</v>
      </c>
      <c r="I370" s="236"/>
      <c r="J370" s="488" t="s">
        <v>567</v>
      </c>
      <c r="K370" s="236" t="s">
        <v>1086</v>
      </c>
      <c r="L370" s="236" t="s">
        <v>58</v>
      </c>
      <c r="M370" s="236" t="s">
        <v>50</v>
      </c>
      <c r="N370" s="238"/>
      <c r="O370" s="238"/>
      <c r="P370" s="589"/>
      <c r="Q370" s="236"/>
      <c r="R370" s="478"/>
      <c r="S370" s="236"/>
      <c r="T370" s="732"/>
      <c r="U370" s="732"/>
    </row>
    <row r="371" spans="1:21" ht="14.25" hidden="1" customHeight="1">
      <c r="A371" s="225">
        <f>ROW()-1</f>
        <v>370</v>
      </c>
      <c r="B371" s="476">
        <v>46154</v>
      </c>
      <c r="C371" s="234" t="s">
        <v>1284</v>
      </c>
      <c r="D371" s="242" t="s">
        <v>1285</v>
      </c>
      <c r="E371" s="232" t="s">
        <v>143</v>
      </c>
      <c r="F371" s="232" t="s">
        <v>23</v>
      </c>
      <c r="G371" s="234" t="s">
        <v>1286</v>
      </c>
      <c r="H371" s="233">
        <v>8178773022</v>
      </c>
      <c r="I371" s="264" t="s">
        <v>1287</v>
      </c>
      <c r="J371" s="483" t="s">
        <v>63</v>
      </c>
      <c r="K371" s="234" t="s">
        <v>1288</v>
      </c>
      <c r="L371" s="232" t="s">
        <v>49</v>
      </c>
      <c r="M371" s="232" t="s">
        <v>50</v>
      </c>
      <c r="N371" s="234"/>
      <c r="O371" s="234"/>
      <c r="P371" s="590"/>
      <c r="Q371" s="232"/>
      <c r="R371" s="478"/>
      <c r="S371" s="232"/>
      <c r="T371" s="732"/>
      <c r="U371" s="732"/>
    </row>
    <row r="372" spans="1:21" ht="14.25" hidden="1" customHeight="1">
      <c r="A372" s="225">
        <f>ROW()-1</f>
        <v>371</v>
      </c>
      <c r="B372" s="471">
        <v>46154</v>
      </c>
      <c r="C372" s="238" t="s">
        <v>1289</v>
      </c>
      <c r="D372" s="240" t="s">
        <v>1093</v>
      </c>
      <c r="E372" s="236" t="s">
        <v>1290</v>
      </c>
      <c r="F372" s="236" t="s">
        <v>83</v>
      </c>
      <c r="G372" s="238" t="s">
        <v>1291</v>
      </c>
      <c r="H372" s="237">
        <v>9974963374</v>
      </c>
      <c r="I372" s="255" t="s">
        <v>1292</v>
      </c>
      <c r="J372" s="258" t="s">
        <v>1113</v>
      </c>
      <c r="K372" s="238" t="s">
        <v>1293</v>
      </c>
      <c r="L372" s="236" t="s">
        <v>49</v>
      </c>
      <c r="M372" s="236" t="s">
        <v>50</v>
      </c>
      <c r="N372" s="238"/>
      <c r="O372" s="238"/>
      <c r="P372" s="589"/>
      <c r="Q372" s="236"/>
      <c r="R372" s="478"/>
      <c r="S372" s="236"/>
      <c r="T372" s="732"/>
      <c r="U372" s="732"/>
    </row>
    <row r="373" spans="1:21" ht="14.25" hidden="1" customHeight="1">
      <c r="A373" s="225">
        <f>ROW()-1</f>
        <v>372</v>
      </c>
      <c r="B373" s="476">
        <v>46154</v>
      </c>
      <c r="C373" s="232" t="s">
        <v>1096</v>
      </c>
      <c r="D373" s="484" t="s">
        <v>1294</v>
      </c>
      <c r="E373" s="232" t="s">
        <v>82</v>
      </c>
      <c r="F373" s="232" t="s">
        <v>73</v>
      </c>
      <c r="G373" s="232" t="s">
        <v>1295</v>
      </c>
      <c r="H373" s="233">
        <v>8610081731</v>
      </c>
      <c r="I373" s="232" t="s">
        <v>1296</v>
      </c>
      <c r="J373" s="488" t="s">
        <v>1113</v>
      </c>
      <c r="K373" s="232" t="s">
        <v>1297</v>
      </c>
      <c r="L373" s="232" t="s">
        <v>58</v>
      </c>
      <c r="M373" s="232" t="s">
        <v>50</v>
      </c>
      <c r="N373" s="234"/>
      <c r="O373" s="234"/>
      <c r="P373" s="590"/>
      <c r="Q373" s="232"/>
      <c r="R373" s="478"/>
      <c r="S373" s="232"/>
      <c r="T373" s="731"/>
      <c r="U373" s="732"/>
    </row>
    <row r="374" spans="1:21" ht="14.25" hidden="1" customHeight="1">
      <c r="A374" s="225">
        <f>ROW()-1</f>
        <v>373</v>
      </c>
      <c r="B374" s="476">
        <v>46154</v>
      </c>
      <c r="C374" s="232" t="s">
        <v>1298</v>
      </c>
      <c r="D374" s="484" t="s">
        <v>1294</v>
      </c>
      <c r="E374" s="232" t="s">
        <v>82</v>
      </c>
      <c r="F374" s="232" t="s">
        <v>73</v>
      </c>
      <c r="G374" s="232" t="s">
        <v>1295</v>
      </c>
      <c r="H374" s="233">
        <v>9790011150</v>
      </c>
      <c r="I374" s="232"/>
      <c r="J374" s="488" t="s">
        <v>1113</v>
      </c>
      <c r="K374" s="232" t="s">
        <v>1299</v>
      </c>
      <c r="L374" s="232" t="s">
        <v>58</v>
      </c>
      <c r="M374" s="232" t="s">
        <v>50</v>
      </c>
      <c r="N374" s="234"/>
      <c r="O374" s="234"/>
      <c r="P374" s="590"/>
      <c r="Q374" s="232"/>
      <c r="R374" s="478"/>
      <c r="S374" s="232"/>
      <c r="T374" s="731"/>
      <c r="U374" s="732"/>
    </row>
    <row r="375" spans="1:21" ht="14.25" hidden="1" customHeight="1">
      <c r="A375" s="225">
        <f>ROW()-1</f>
        <v>374</v>
      </c>
      <c r="B375" s="476">
        <v>46154</v>
      </c>
      <c r="C375" s="234" t="s">
        <v>1101</v>
      </c>
      <c r="D375" s="242" t="s">
        <v>1300</v>
      </c>
      <c r="E375" s="232" t="s">
        <v>22</v>
      </c>
      <c r="F375" s="232" t="s">
        <v>73</v>
      </c>
      <c r="G375" s="234" t="s">
        <v>1301</v>
      </c>
      <c r="H375" s="233">
        <v>8767753320</v>
      </c>
      <c r="I375" s="264" t="s">
        <v>1302</v>
      </c>
      <c r="J375" s="257" t="s">
        <v>63</v>
      </c>
      <c r="K375" s="234" t="s">
        <v>1303</v>
      </c>
      <c r="L375" s="232" t="s">
        <v>49</v>
      </c>
      <c r="M375" s="232" t="s">
        <v>50</v>
      </c>
      <c r="N375" s="234"/>
      <c r="O375" s="234"/>
      <c r="P375" s="590"/>
      <c r="Q375" s="232"/>
      <c r="R375" s="478"/>
      <c r="S375" s="232"/>
      <c r="T375" s="731"/>
      <c r="U375" s="732"/>
    </row>
    <row r="376" spans="1:21" ht="14.25" hidden="1" customHeight="1">
      <c r="A376" s="225">
        <f>ROW()-1</f>
        <v>375</v>
      </c>
      <c r="B376" s="471">
        <v>46154</v>
      </c>
      <c r="C376" s="238" t="s">
        <v>1104</v>
      </c>
      <c r="D376" s="240" t="s">
        <v>1304</v>
      </c>
      <c r="E376" s="236" t="s">
        <v>82</v>
      </c>
      <c r="F376" s="236" t="s">
        <v>83</v>
      </c>
      <c r="G376" s="238" t="s">
        <v>363</v>
      </c>
      <c r="H376" s="237">
        <v>9677061147</v>
      </c>
      <c r="I376" s="255" t="s">
        <v>1305</v>
      </c>
      <c r="J376" s="257" t="s">
        <v>63</v>
      </c>
      <c r="K376" s="238" t="s">
        <v>1306</v>
      </c>
      <c r="L376" s="236" t="s">
        <v>49</v>
      </c>
      <c r="M376" s="236" t="s">
        <v>28</v>
      </c>
      <c r="N376" s="238"/>
      <c r="O376" s="238"/>
      <c r="P376" s="589"/>
      <c r="Q376" s="236"/>
      <c r="R376" s="478"/>
      <c r="S376" s="236"/>
      <c r="T376" s="731"/>
      <c r="U376" s="732"/>
    </row>
    <row r="377" spans="1:21" ht="14.25" hidden="1" customHeight="1">
      <c r="A377" s="225">
        <f>ROW()-1</f>
        <v>376</v>
      </c>
      <c r="B377" s="471">
        <v>46154</v>
      </c>
      <c r="C377" s="236" t="s">
        <v>1307</v>
      </c>
      <c r="D377" s="486" t="s">
        <v>1107</v>
      </c>
      <c r="E377" s="236" t="s">
        <v>205</v>
      </c>
      <c r="F377" s="236" t="s">
        <v>59</v>
      </c>
      <c r="G377" s="236" t="s">
        <v>1308</v>
      </c>
      <c r="H377" s="237">
        <v>7568479266</v>
      </c>
      <c r="I377" s="236"/>
      <c r="J377" s="488" t="s">
        <v>122</v>
      </c>
      <c r="K377" s="236" t="s">
        <v>1108</v>
      </c>
      <c r="L377" s="236" t="s">
        <v>58</v>
      </c>
      <c r="M377" s="236" t="s">
        <v>50</v>
      </c>
      <c r="N377" s="238"/>
      <c r="O377" s="238"/>
      <c r="P377" s="589"/>
      <c r="Q377" s="236"/>
      <c r="R377" s="478"/>
      <c r="S377" s="236"/>
      <c r="T377" s="731"/>
      <c r="U377" s="732"/>
    </row>
    <row r="378" spans="1:21" ht="14.25" hidden="1" customHeight="1">
      <c r="A378" s="225">
        <f>ROW()-1</f>
        <v>377</v>
      </c>
      <c r="B378" s="476">
        <v>46154</v>
      </c>
      <c r="C378" s="234" t="s">
        <v>1309</v>
      </c>
      <c r="D378" s="242" t="s">
        <v>131</v>
      </c>
      <c r="E378" s="232" t="s">
        <v>22</v>
      </c>
      <c r="F378" s="232" t="s">
        <v>73</v>
      </c>
      <c r="G378" s="234" t="s">
        <v>1310</v>
      </c>
      <c r="H378" s="233">
        <v>9527066047</v>
      </c>
      <c r="I378" s="243" t="s">
        <v>1311</v>
      </c>
      <c r="J378" s="261" t="s">
        <v>66</v>
      </c>
      <c r="K378" s="234" t="s">
        <v>1312</v>
      </c>
      <c r="L378" s="232" t="s">
        <v>27</v>
      </c>
      <c r="M378" s="232" t="s">
        <v>28</v>
      </c>
      <c r="N378" s="234"/>
      <c r="O378" s="235">
        <v>46155</v>
      </c>
      <c r="P378" s="590"/>
      <c r="Q378" s="232"/>
      <c r="R378" s="478"/>
      <c r="S378" s="232"/>
      <c r="T378" s="731"/>
      <c r="U378" s="732"/>
    </row>
    <row r="379" spans="1:21" ht="14.25" hidden="1" customHeight="1">
      <c r="A379" s="225">
        <f>ROW()-1</f>
        <v>378</v>
      </c>
      <c r="B379" s="476">
        <v>46154</v>
      </c>
      <c r="C379" s="234" t="s">
        <v>1112</v>
      </c>
      <c r="D379" s="242" t="s">
        <v>131</v>
      </c>
      <c r="E379" s="232" t="s">
        <v>22</v>
      </c>
      <c r="F379" s="232" t="s">
        <v>60</v>
      </c>
      <c r="G379" s="234" t="s">
        <v>1313</v>
      </c>
      <c r="H379" s="237"/>
      <c r="I379" s="264" t="s">
        <v>1314</v>
      </c>
      <c r="J379" s="257" t="s">
        <v>25</v>
      </c>
      <c r="K379" s="266" t="s">
        <v>1315</v>
      </c>
      <c r="L379" s="232" t="s">
        <v>27</v>
      </c>
      <c r="M379" s="232" t="s">
        <v>40</v>
      </c>
      <c r="N379" s="234" t="s">
        <v>1316</v>
      </c>
      <c r="O379" s="511">
        <v>46154</v>
      </c>
      <c r="P379" s="590">
        <v>997100</v>
      </c>
      <c r="Q379" s="236" t="s">
        <v>30</v>
      </c>
      <c r="R379" s="478">
        <v>46157</v>
      </c>
      <c r="S379" s="232"/>
      <c r="T379" s="731"/>
      <c r="U379" s="732"/>
    </row>
    <row r="380" spans="1:21" ht="14.25" hidden="1" customHeight="1">
      <c r="A380" s="225">
        <f>ROW()-1</f>
        <v>379</v>
      </c>
      <c r="B380" s="476">
        <v>46155</v>
      </c>
      <c r="C380" s="232" t="s">
        <v>1317</v>
      </c>
      <c r="D380" s="484" t="s">
        <v>1116</v>
      </c>
      <c r="E380" s="232"/>
      <c r="F380" s="232" t="s">
        <v>73</v>
      </c>
      <c r="G380" s="232" t="s">
        <v>1318</v>
      </c>
      <c r="H380" s="233">
        <v>9825589183</v>
      </c>
      <c r="I380" s="232" t="s">
        <v>1319</v>
      </c>
      <c r="J380" s="488" t="s">
        <v>171</v>
      </c>
      <c r="K380" s="232" t="s">
        <v>1320</v>
      </c>
      <c r="L380" s="232" t="s">
        <v>58</v>
      </c>
      <c r="M380" s="232" t="s">
        <v>50</v>
      </c>
      <c r="N380" s="234"/>
      <c r="O380" s="234"/>
      <c r="P380" s="590"/>
      <c r="Q380" s="232"/>
      <c r="R380" s="478"/>
      <c r="S380" s="232"/>
      <c r="T380" s="731"/>
      <c r="U380" s="732"/>
    </row>
    <row r="381" spans="1:21" ht="14.25" hidden="1" customHeight="1">
      <c r="A381" s="225">
        <f>ROW()-1</f>
        <v>380</v>
      </c>
      <c r="B381" s="471">
        <v>46155</v>
      </c>
      <c r="C381" s="236" t="s">
        <v>1321</v>
      </c>
      <c r="D381" s="486" t="s">
        <v>1120</v>
      </c>
      <c r="E381" s="236"/>
      <c r="F381" s="236" t="s">
        <v>73</v>
      </c>
      <c r="G381" s="236" t="s">
        <v>1322</v>
      </c>
      <c r="H381" s="237">
        <v>7752023450</v>
      </c>
      <c r="I381" s="236" t="s">
        <v>1323</v>
      </c>
      <c r="J381" s="488" t="s">
        <v>567</v>
      </c>
      <c r="K381" s="236" t="s">
        <v>1324</v>
      </c>
      <c r="L381" s="236" t="s">
        <v>58</v>
      </c>
      <c r="M381" s="236" t="s">
        <v>50</v>
      </c>
      <c r="N381" s="238"/>
      <c r="O381" s="238"/>
      <c r="P381" s="589"/>
      <c r="Q381" s="236"/>
      <c r="R381" s="478"/>
      <c r="S381" s="236"/>
      <c r="T381" s="731"/>
      <c r="U381" s="732"/>
    </row>
    <row r="382" spans="1:21" ht="14.25" hidden="1" customHeight="1">
      <c r="A382" s="225">
        <f>ROW()-1</f>
        <v>381</v>
      </c>
      <c r="B382" s="476">
        <v>46155</v>
      </c>
      <c r="C382" s="232" t="s">
        <v>1325</v>
      </c>
      <c r="D382" s="484" t="s">
        <v>1326</v>
      </c>
      <c r="E382" s="232" t="s">
        <v>193</v>
      </c>
      <c r="F382" s="232" t="s">
        <v>73</v>
      </c>
      <c r="G382" s="232" t="s">
        <v>1327</v>
      </c>
      <c r="H382" s="233">
        <v>9173799957</v>
      </c>
      <c r="I382" s="232" t="s">
        <v>1328</v>
      </c>
      <c r="J382" s="488" t="s">
        <v>567</v>
      </c>
      <c r="K382" s="232" t="s">
        <v>1329</v>
      </c>
      <c r="L382" s="232" t="s">
        <v>58</v>
      </c>
      <c r="M382" s="232" t="s">
        <v>50</v>
      </c>
      <c r="N382" s="234"/>
      <c r="O382" s="234"/>
      <c r="P382" s="590"/>
      <c r="Q382" s="232"/>
      <c r="R382" s="478"/>
      <c r="S382" s="232"/>
      <c r="T382" s="731"/>
      <c r="U382" s="732"/>
    </row>
    <row r="383" spans="1:21" ht="14.25" hidden="1" customHeight="1">
      <c r="A383" s="225">
        <f>ROW()-1</f>
        <v>382</v>
      </c>
      <c r="B383" s="471">
        <v>46155</v>
      </c>
      <c r="C383" s="236" t="s">
        <v>374</v>
      </c>
      <c r="D383" s="486" t="s">
        <v>1107</v>
      </c>
      <c r="E383" s="236"/>
      <c r="F383" s="236" t="s">
        <v>59</v>
      </c>
      <c r="G383" s="236" t="s">
        <v>1330</v>
      </c>
      <c r="H383" s="237">
        <v>9390405960</v>
      </c>
      <c r="I383" s="236"/>
      <c r="J383" s="488" t="s">
        <v>122</v>
      </c>
      <c r="K383" s="236"/>
      <c r="L383" s="236" t="s">
        <v>58</v>
      </c>
      <c r="M383" s="236" t="s">
        <v>50</v>
      </c>
      <c r="N383" s="238"/>
      <c r="O383" s="238"/>
      <c r="P383" s="589"/>
      <c r="Q383" s="236"/>
      <c r="R383" s="478"/>
      <c r="S383" s="236"/>
      <c r="T383" s="731"/>
      <c r="U383" s="732"/>
    </row>
    <row r="384" spans="1:21" ht="14.25" hidden="1" customHeight="1">
      <c r="A384" s="225">
        <f>ROW()-1</f>
        <v>383</v>
      </c>
      <c r="B384" s="476">
        <v>46155</v>
      </c>
      <c r="C384" s="232" t="s">
        <v>374</v>
      </c>
      <c r="D384" s="484" t="s">
        <v>1331</v>
      </c>
      <c r="E384" s="232"/>
      <c r="F384" s="232" t="s">
        <v>23</v>
      </c>
      <c r="G384" s="232" t="s">
        <v>1000</v>
      </c>
      <c r="H384" s="233">
        <v>7369077448</v>
      </c>
      <c r="I384" s="232"/>
      <c r="J384" s="488" t="s">
        <v>567</v>
      </c>
      <c r="K384" s="232"/>
      <c r="L384" s="232" t="s">
        <v>58</v>
      </c>
      <c r="M384" s="232" t="s">
        <v>50</v>
      </c>
      <c r="N384" s="234"/>
      <c r="O384" s="234"/>
      <c r="P384" s="590"/>
      <c r="Q384" s="232"/>
      <c r="R384" s="478"/>
      <c r="S384" s="232"/>
      <c r="T384" s="731"/>
      <c r="U384" s="732"/>
    </row>
    <row r="385" spans="1:21" ht="14.25" hidden="1" customHeight="1">
      <c r="A385" s="225">
        <f>ROW()-1</f>
        <v>384</v>
      </c>
      <c r="B385" s="471">
        <v>46155</v>
      </c>
      <c r="C385" s="236" t="s">
        <v>1332</v>
      </c>
      <c r="D385" s="486" t="s">
        <v>1333</v>
      </c>
      <c r="E385" s="236" t="s">
        <v>416</v>
      </c>
      <c r="F385" s="236" t="s">
        <v>59</v>
      </c>
      <c r="G385" s="236" t="s">
        <v>1334</v>
      </c>
      <c r="H385" s="237">
        <v>9531066666</v>
      </c>
      <c r="I385" s="236"/>
      <c r="J385" s="488" t="s">
        <v>122</v>
      </c>
      <c r="K385" s="236" t="s">
        <v>1335</v>
      </c>
      <c r="L385" s="236" t="s">
        <v>58</v>
      </c>
      <c r="M385" s="236" t="s">
        <v>50</v>
      </c>
      <c r="N385" s="238"/>
      <c r="O385" s="238"/>
      <c r="P385" s="589"/>
      <c r="Q385" s="236"/>
      <c r="R385" s="478"/>
      <c r="S385" s="236"/>
      <c r="T385" s="731"/>
      <c r="U385" s="732"/>
    </row>
    <row r="386" spans="1:21" ht="14.25" hidden="1" customHeight="1">
      <c r="A386" s="225">
        <f>ROW()-1</f>
        <v>385</v>
      </c>
      <c r="B386" s="471">
        <v>46155</v>
      </c>
      <c r="C386" s="236" t="s">
        <v>1336</v>
      </c>
      <c r="D386" s="486" t="s">
        <v>1107</v>
      </c>
      <c r="E386" s="236"/>
      <c r="F386" s="236" t="s">
        <v>23</v>
      </c>
      <c r="G386" s="236" t="s">
        <v>1337</v>
      </c>
      <c r="H386" s="237">
        <v>9060246893</v>
      </c>
      <c r="I386" s="236"/>
      <c r="J386" s="488" t="s">
        <v>122</v>
      </c>
      <c r="K386" s="236" t="s">
        <v>1338</v>
      </c>
      <c r="L386" s="236" t="s">
        <v>58</v>
      </c>
      <c r="M386" s="236" t="s">
        <v>50</v>
      </c>
      <c r="N386" s="238"/>
      <c r="O386" s="238"/>
      <c r="P386" s="589"/>
      <c r="Q386" s="236"/>
      <c r="R386" s="478"/>
      <c r="S386" s="236"/>
      <c r="T386" s="731"/>
      <c r="U386" s="732"/>
    </row>
    <row r="387" spans="1:21" ht="14.25" hidden="1" customHeight="1">
      <c r="A387" s="225">
        <f>ROW()-1</f>
        <v>386</v>
      </c>
      <c r="B387" s="476">
        <v>46156</v>
      </c>
      <c r="C387" s="234" t="s">
        <v>262</v>
      </c>
      <c r="D387" s="242" t="s">
        <v>131</v>
      </c>
      <c r="E387" s="232" t="s">
        <v>22</v>
      </c>
      <c r="F387" s="232" t="s">
        <v>59</v>
      </c>
      <c r="G387" s="234" t="s">
        <v>1339</v>
      </c>
      <c r="H387" s="233">
        <v>8600120115</v>
      </c>
      <c r="I387" s="602" t="s">
        <v>264</v>
      </c>
      <c r="J387" s="257" t="s">
        <v>66</v>
      </c>
      <c r="K387" s="234" t="s">
        <v>265</v>
      </c>
      <c r="L387" s="232" t="s">
        <v>27</v>
      </c>
      <c r="M387" s="232" t="s">
        <v>28</v>
      </c>
      <c r="N387" s="234" t="s">
        <v>1131</v>
      </c>
      <c r="O387" s="235">
        <v>46156</v>
      </c>
      <c r="P387" s="590">
        <v>1800000</v>
      </c>
      <c r="Q387" s="232" t="s">
        <v>119</v>
      </c>
      <c r="R387" s="478"/>
      <c r="S387" s="232"/>
      <c r="T387" s="731"/>
      <c r="U387" s="732"/>
    </row>
    <row r="388" spans="1:21" ht="14.25" hidden="1" customHeight="1">
      <c r="A388" s="225">
        <f>ROW()-1</f>
        <v>387</v>
      </c>
      <c r="B388" s="471">
        <v>46156</v>
      </c>
      <c r="C388" s="238" t="s">
        <v>139</v>
      </c>
      <c r="D388" s="240"/>
      <c r="E388" s="236"/>
      <c r="F388" s="236" t="s">
        <v>59</v>
      </c>
      <c r="G388" s="238" t="s">
        <v>1340</v>
      </c>
      <c r="H388" s="237">
        <v>7726072561</v>
      </c>
      <c r="I388" s="480" t="s">
        <v>139</v>
      </c>
      <c r="J388" s="257" t="s">
        <v>122</v>
      </c>
      <c r="K388" s="238" t="s">
        <v>1341</v>
      </c>
      <c r="L388" s="236" t="s">
        <v>49</v>
      </c>
      <c r="M388" s="236" t="s">
        <v>50</v>
      </c>
      <c r="N388" s="238"/>
      <c r="O388" s="238"/>
      <c r="P388" s="589"/>
      <c r="Q388" s="236"/>
      <c r="R388" s="478"/>
      <c r="S388" s="236"/>
      <c r="T388" s="731"/>
      <c r="U388" s="732"/>
    </row>
    <row r="389" spans="1:21" ht="14.25" hidden="1" customHeight="1">
      <c r="A389" s="225">
        <f>ROW()-1</f>
        <v>388</v>
      </c>
      <c r="B389" s="471">
        <v>46156</v>
      </c>
      <c r="C389" s="238" t="s">
        <v>1342</v>
      </c>
      <c r="D389" s="240" t="s">
        <v>131</v>
      </c>
      <c r="E389" s="236" t="s">
        <v>22</v>
      </c>
      <c r="F389" s="236" t="s">
        <v>60</v>
      </c>
      <c r="G389" s="238" t="s">
        <v>1343</v>
      </c>
      <c r="H389" s="237">
        <v>9067390905</v>
      </c>
      <c r="I389" s="472" t="s">
        <v>1344</v>
      </c>
      <c r="J389" s="257" t="s">
        <v>47</v>
      </c>
      <c r="K389" s="238" t="s">
        <v>1134</v>
      </c>
      <c r="L389" s="236" t="s">
        <v>27</v>
      </c>
      <c r="M389" s="236" t="s">
        <v>28</v>
      </c>
      <c r="N389" s="238" t="s">
        <v>1345</v>
      </c>
      <c r="O389" s="239">
        <v>46158</v>
      </c>
      <c r="P389" s="589">
        <v>638954</v>
      </c>
      <c r="Q389" s="232" t="s">
        <v>98</v>
      </c>
      <c r="R389" s="478"/>
      <c r="S389" s="236"/>
      <c r="T389" s="731"/>
      <c r="U389" s="732"/>
    </row>
    <row r="390" spans="1:21" ht="14.25" hidden="1" customHeight="1">
      <c r="A390" s="225">
        <f>ROW()-1</f>
        <v>389</v>
      </c>
      <c r="B390" s="476">
        <v>46156</v>
      </c>
      <c r="C390" s="234" t="s">
        <v>992</v>
      </c>
      <c r="D390" s="242" t="s">
        <v>927</v>
      </c>
      <c r="E390" s="232" t="s">
        <v>621</v>
      </c>
      <c r="F390" s="232" t="s">
        <v>59</v>
      </c>
      <c r="G390" s="234" t="s">
        <v>1346</v>
      </c>
      <c r="H390" s="233">
        <v>97339624285</v>
      </c>
      <c r="I390" s="264" t="s">
        <v>993</v>
      </c>
      <c r="J390" s="257" t="s">
        <v>66</v>
      </c>
      <c r="K390" s="234" t="s">
        <v>856</v>
      </c>
      <c r="L390" s="232" t="s">
        <v>27</v>
      </c>
      <c r="M390" s="232" t="s">
        <v>28</v>
      </c>
      <c r="N390" s="234" t="s">
        <v>1347</v>
      </c>
      <c r="O390" s="235">
        <v>46159</v>
      </c>
      <c r="P390" s="590">
        <v>5439616</v>
      </c>
      <c r="Q390" s="232" t="s">
        <v>292</v>
      </c>
      <c r="R390" s="478"/>
      <c r="S390" s="232"/>
      <c r="T390" s="731"/>
      <c r="U390" s="732"/>
    </row>
    <row r="391" spans="1:21" ht="14.25" hidden="1" customHeight="1">
      <c r="A391" s="225">
        <f>ROW()-1</f>
        <v>390</v>
      </c>
      <c r="B391" s="476">
        <v>46157</v>
      </c>
      <c r="C391" s="234" t="s">
        <v>1137</v>
      </c>
      <c r="D391" s="242" t="s">
        <v>410</v>
      </c>
      <c r="E391" s="232" t="s">
        <v>22</v>
      </c>
      <c r="F391" s="232" t="s">
        <v>73</v>
      </c>
      <c r="G391" s="234" t="s">
        <v>1348</v>
      </c>
      <c r="H391" s="233"/>
      <c r="I391" s="243"/>
      <c r="J391" s="257" t="s">
        <v>66</v>
      </c>
      <c r="K391" s="234"/>
      <c r="L391" s="232" t="s">
        <v>27</v>
      </c>
      <c r="M391" s="232" t="s">
        <v>40</v>
      </c>
      <c r="N391" s="234" t="s">
        <v>1138</v>
      </c>
      <c r="O391" s="235">
        <v>46164</v>
      </c>
      <c r="P391" s="589">
        <v>11484840.52</v>
      </c>
      <c r="Q391" s="232" t="s">
        <v>70</v>
      </c>
      <c r="R391" s="478"/>
      <c r="S391" s="232"/>
      <c r="T391" s="731"/>
      <c r="U391" s="732"/>
    </row>
    <row r="392" spans="1:21" ht="14.25" hidden="1" customHeight="1">
      <c r="A392" s="225">
        <f>ROW()-1</f>
        <v>391</v>
      </c>
      <c r="B392" s="471">
        <v>46157</v>
      </c>
      <c r="C392" s="238" t="s">
        <v>1349</v>
      </c>
      <c r="D392" s="240" t="s">
        <v>131</v>
      </c>
      <c r="E392" s="236" t="s">
        <v>22</v>
      </c>
      <c r="F392" s="236" t="s">
        <v>23</v>
      </c>
      <c r="G392" s="238"/>
      <c r="H392" s="237">
        <v>9075011250</v>
      </c>
      <c r="I392" s="236" t="s">
        <v>1350</v>
      </c>
      <c r="J392" s="257" t="s">
        <v>47</v>
      </c>
      <c r="K392" s="238" t="s">
        <v>1141</v>
      </c>
      <c r="L392" s="232" t="s">
        <v>49</v>
      </c>
      <c r="M392" s="236" t="s">
        <v>50</v>
      </c>
      <c r="N392" s="238" t="s">
        <v>1351</v>
      </c>
      <c r="O392" s="239">
        <v>46158</v>
      </c>
      <c r="P392" s="589">
        <v>1600000</v>
      </c>
      <c r="Q392" s="486" t="s">
        <v>98</v>
      </c>
      <c r="R392" s="478"/>
      <c r="S392" s="236"/>
      <c r="T392" s="731"/>
      <c r="U392" s="732"/>
    </row>
    <row r="393" spans="1:21" ht="14.25" hidden="1" customHeight="1">
      <c r="A393" s="225">
        <f>ROW()-1</f>
        <v>392</v>
      </c>
      <c r="B393" s="476">
        <v>46157</v>
      </c>
      <c r="C393" s="232" t="s">
        <v>1352</v>
      </c>
      <c r="D393" s="484" t="s">
        <v>981</v>
      </c>
      <c r="E393" s="232" t="s">
        <v>214</v>
      </c>
      <c r="F393" s="232" t="s">
        <v>44</v>
      </c>
      <c r="G393" s="232" t="s">
        <v>780</v>
      </c>
      <c r="H393" s="233">
        <v>9620588585</v>
      </c>
      <c r="I393" s="232" t="s">
        <v>1353</v>
      </c>
      <c r="J393" s="488" t="s">
        <v>1113</v>
      </c>
      <c r="K393" s="232" t="s">
        <v>1145</v>
      </c>
      <c r="L393" s="232" t="s">
        <v>58</v>
      </c>
      <c r="M393" s="232" t="s">
        <v>50</v>
      </c>
      <c r="N393" s="234"/>
      <c r="O393" s="234"/>
      <c r="P393" s="589"/>
      <c r="Q393" s="232"/>
      <c r="R393" s="478"/>
      <c r="S393" s="232"/>
      <c r="T393" s="731"/>
      <c r="U393" s="732"/>
    </row>
    <row r="394" spans="1:21" ht="14.25" hidden="1" customHeight="1">
      <c r="A394" s="225">
        <f>ROW()-1</f>
        <v>393</v>
      </c>
      <c r="B394" s="471">
        <v>46157</v>
      </c>
      <c r="C394" s="238" t="s">
        <v>1354</v>
      </c>
      <c r="D394" s="240" t="s">
        <v>131</v>
      </c>
      <c r="E394" s="236" t="s">
        <v>22</v>
      </c>
      <c r="F394" s="236" t="s">
        <v>23</v>
      </c>
      <c r="G394" s="238"/>
      <c r="H394" s="237">
        <v>9422017779</v>
      </c>
      <c r="I394" s="255" t="s">
        <v>1355</v>
      </c>
      <c r="J394" s="268" t="s">
        <v>66</v>
      </c>
      <c r="K394" s="517" t="s">
        <v>1148</v>
      </c>
      <c r="L394" s="236" t="s">
        <v>49</v>
      </c>
      <c r="M394" s="236" t="s">
        <v>50</v>
      </c>
      <c r="N394" s="238"/>
      <c r="O394" s="239"/>
      <c r="P394" s="589"/>
      <c r="Q394" s="236"/>
      <c r="R394" s="478"/>
      <c r="S394" s="236"/>
      <c r="T394" s="731"/>
      <c r="U394" s="732"/>
    </row>
    <row r="395" spans="1:21" ht="14.25" hidden="1" customHeight="1">
      <c r="A395" s="225">
        <f>ROW()-1</f>
        <v>394</v>
      </c>
      <c r="B395" s="471">
        <v>46157</v>
      </c>
      <c r="C395" s="238" t="s">
        <v>1356</v>
      </c>
      <c r="D395" s="240" t="s">
        <v>131</v>
      </c>
      <c r="E395" s="236" t="s">
        <v>22</v>
      </c>
      <c r="F395" s="236" t="s">
        <v>60</v>
      </c>
      <c r="G395" s="238" t="s">
        <v>60</v>
      </c>
      <c r="H395" s="237">
        <v>9822491745</v>
      </c>
      <c r="I395" s="601" t="s">
        <v>1357</v>
      </c>
      <c r="J395" s="513" t="s">
        <v>1113</v>
      </c>
      <c r="K395" s="238" t="s">
        <v>1358</v>
      </c>
      <c r="L395" s="236" t="s">
        <v>49</v>
      </c>
      <c r="M395" s="236" t="s">
        <v>40</v>
      </c>
      <c r="N395" s="238"/>
      <c r="O395" s="238"/>
      <c r="P395" s="589"/>
      <c r="Q395" s="236"/>
      <c r="R395" s="478"/>
      <c r="S395" s="236"/>
      <c r="T395" s="731"/>
      <c r="U395" s="732"/>
    </row>
    <row r="396" spans="1:21" ht="14.25" hidden="1" customHeight="1">
      <c r="A396" s="225">
        <f>ROW()-1</f>
        <v>395</v>
      </c>
      <c r="B396" s="471">
        <v>46157</v>
      </c>
      <c r="C396" s="236" t="s">
        <v>1359</v>
      </c>
      <c r="D396" s="486" t="s">
        <v>1152</v>
      </c>
      <c r="E396" s="236" t="s">
        <v>214</v>
      </c>
      <c r="F396" s="236" t="s">
        <v>60</v>
      </c>
      <c r="G396" s="236" t="s">
        <v>1360</v>
      </c>
      <c r="H396" s="237">
        <v>9676867621</v>
      </c>
      <c r="I396" s="236" t="s">
        <v>1361</v>
      </c>
      <c r="J396" s="738" t="s">
        <v>63</v>
      </c>
      <c r="K396" s="236" t="s">
        <v>1362</v>
      </c>
      <c r="L396" s="236" t="s">
        <v>58</v>
      </c>
      <c r="M396" s="236" t="s">
        <v>40</v>
      </c>
      <c r="N396" s="238"/>
      <c r="O396" s="238"/>
      <c r="P396" s="589"/>
      <c r="Q396" s="236"/>
      <c r="R396" s="478"/>
      <c r="S396" s="236"/>
      <c r="T396" s="731"/>
      <c r="U396" s="732"/>
    </row>
    <row r="397" spans="1:21" ht="14.25" hidden="1" customHeight="1">
      <c r="A397" s="225">
        <f>ROW()-1</f>
        <v>396</v>
      </c>
      <c r="B397" s="476">
        <v>46157</v>
      </c>
      <c r="C397" s="234" t="s">
        <v>1363</v>
      </c>
      <c r="D397" s="242" t="s">
        <v>1156</v>
      </c>
      <c r="E397" s="232" t="s">
        <v>199</v>
      </c>
      <c r="F397" s="232" t="s">
        <v>59</v>
      </c>
      <c r="G397" s="234" t="s">
        <v>1364</v>
      </c>
      <c r="H397" s="233" t="s">
        <v>1365</v>
      </c>
      <c r="I397" s="232" t="s">
        <v>1366</v>
      </c>
      <c r="J397" s="514" t="s">
        <v>63</v>
      </c>
      <c r="K397" s="234"/>
      <c r="L397" s="232" t="s">
        <v>27</v>
      </c>
      <c r="M397" s="232" t="s">
        <v>77</v>
      </c>
      <c r="N397" s="234"/>
      <c r="O397" s="235"/>
      <c r="P397" s="590"/>
      <c r="Q397" s="232" t="s">
        <v>119</v>
      </c>
      <c r="R397" s="478"/>
      <c r="S397" s="232"/>
      <c r="T397" s="731"/>
      <c r="U397" s="732"/>
    </row>
    <row r="398" spans="1:21" ht="14.25" hidden="1" customHeight="1">
      <c r="A398" s="225">
        <f>ROW()-1</f>
        <v>397</v>
      </c>
      <c r="B398" s="471">
        <v>46157</v>
      </c>
      <c r="C398" s="238" t="s">
        <v>1020</v>
      </c>
      <c r="D398" s="240" t="s">
        <v>859</v>
      </c>
      <c r="E398" s="236" t="s">
        <v>22</v>
      </c>
      <c r="F398" s="236" t="s">
        <v>73</v>
      </c>
      <c r="G398" s="238" t="s">
        <v>1367</v>
      </c>
      <c r="H398" s="237">
        <v>7774062558</v>
      </c>
      <c r="I398" s="255" t="s">
        <v>1021</v>
      </c>
      <c r="J398" s="267" t="s">
        <v>86</v>
      </c>
      <c r="K398" s="238" t="s">
        <v>1022</v>
      </c>
      <c r="L398" s="236" t="s">
        <v>117</v>
      </c>
      <c r="M398" s="236" t="s">
        <v>77</v>
      </c>
      <c r="N398" s="238" t="s">
        <v>1158</v>
      </c>
      <c r="O398" s="239">
        <v>46158</v>
      </c>
      <c r="P398" s="589">
        <v>10395732</v>
      </c>
      <c r="Q398" s="232" t="s">
        <v>119</v>
      </c>
      <c r="R398" s="475"/>
      <c r="S398" s="236"/>
      <c r="T398" s="731"/>
      <c r="U398" s="732"/>
    </row>
    <row r="399" spans="1:21" ht="14.25" hidden="1" customHeight="1">
      <c r="A399" s="225">
        <f>ROW()-1</f>
        <v>398</v>
      </c>
      <c r="B399" s="476">
        <v>46157</v>
      </c>
      <c r="C399" s="234" t="s">
        <v>287</v>
      </c>
      <c r="D399" s="242" t="s">
        <v>131</v>
      </c>
      <c r="E399" s="232" t="s">
        <v>22</v>
      </c>
      <c r="F399" s="232" t="s">
        <v>60</v>
      </c>
      <c r="G399" s="234" t="s">
        <v>1368</v>
      </c>
      <c r="H399" s="233" t="s">
        <v>1369</v>
      </c>
      <c r="I399" s="266" t="s">
        <v>633</v>
      </c>
      <c r="J399" s="257" t="s">
        <v>66</v>
      </c>
      <c r="K399" s="234" t="s">
        <v>290</v>
      </c>
      <c r="L399" s="232" t="s">
        <v>27</v>
      </c>
      <c r="M399" s="232" t="s">
        <v>28</v>
      </c>
      <c r="N399" s="234" t="s">
        <v>1370</v>
      </c>
      <c r="O399" s="235">
        <v>46157</v>
      </c>
      <c r="P399" s="590">
        <v>253134</v>
      </c>
      <c r="Q399" s="232" t="s">
        <v>119</v>
      </c>
      <c r="R399" s="478"/>
      <c r="S399" s="232"/>
      <c r="T399" s="731"/>
      <c r="U399" s="732"/>
    </row>
    <row r="400" spans="1:21" ht="14.25" hidden="1" customHeight="1">
      <c r="A400" s="225">
        <f>ROW()-1</f>
        <v>399</v>
      </c>
      <c r="B400" s="476">
        <v>46157</v>
      </c>
      <c r="C400" s="234" t="s">
        <v>139</v>
      </c>
      <c r="D400" s="242" t="s">
        <v>131</v>
      </c>
      <c r="E400" s="232" t="s">
        <v>22</v>
      </c>
      <c r="F400" s="232" t="s">
        <v>44</v>
      </c>
      <c r="G400" s="518" t="s">
        <v>149</v>
      </c>
      <c r="H400" s="233">
        <v>9970509993</v>
      </c>
      <c r="I400" s="480" t="s">
        <v>139</v>
      </c>
      <c r="J400" s="257" t="s">
        <v>122</v>
      </c>
      <c r="K400" s="516" t="s">
        <v>588</v>
      </c>
      <c r="L400" s="232" t="s">
        <v>49</v>
      </c>
      <c r="M400" s="232" t="s">
        <v>50</v>
      </c>
      <c r="N400" s="234"/>
      <c r="O400" s="234"/>
      <c r="P400" s="589"/>
      <c r="Q400" s="232"/>
      <c r="R400" s="478"/>
      <c r="S400" s="232"/>
      <c r="T400" s="731"/>
      <c r="U400" s="732"/>
    </row>
    <row r="401" spans="1:21" ht="14.25" hidden="1" customHeight="1">
      <c r="A401" s="225">
        <f>ROW()-1</f>
        <v>400</v>
      </c>
      <c r="B401" s="471">
        <v>46157</v>
      </c>
      <c r="C401" s="238" t="s">
        <v>1161</v>
      </c>
      <c r="D401" s="240" t="s">
        <v>131</v>
      </c>
      <c r="E401" s="236" t="s">
        <v>22</v>
      </c>
      <c r="F401" s="236" t="s">
        <v>23</v>
      </c>
      <c r="G401" s="238" t="s">
        <v>1371</v>
      </c>
      <c r="H401" s="237">
        <v>8600145846</v>
      </c>
      <c r="I401" s="255" t="s">
        <v>1372</v>
      </c>
      <c r="J401" s="257" t="s">
        <v>66</v>
      </c>
      <c r="K401" s="238" t="s">
        <v>1373</v>
      </c>
      <c r="L401" s="236" t="s">
        <v>27</v>
      </c>
      <c r="M401" s="236" t="s">
        <v>77</v>
      </c>
      <c r="N401" s="238" t="s">
        <v>1374</v>
      </c>
      <c r="O401" s="239">
        <v>46159</v>
      </c>
      <c r="P401" s="589">
        <v>1720000</v>
      </c>
      <c r="Q401" s="232" t="s">
        <v>119</v>
      </c>
      <c r="R401" s="478"/>
      <c r="S401" s="236"/>
      <c r="T401" s="731"/>
      <c r="U401" s="732"/>
    </row>
    <row r="402" spans="1:21" ht="14.25" hidden="1" customHeight="1">
      <c r="A402" s="225">
        <f>ROW()-1</f>
        <v>401</v>
      </c>
      <c r="B402" s="476">
        <v>46157</v>
      </c>
      <c r="C402" s="234" t="s">
        <v>1375</v>
      </c>
      <c r="D402" s="242" t="s">
        <v>131</v>
      </c>
      <c r="E402" s="232" t="s">
        <v>22</v>
      </c>
      <c r="F402" s="232" t="s">
        <v>44</v>
      </c>
      <c r="G402" s="515" t="s">
        <v>45</v>
      </c>
      <c r="H402" s="233">
        <v>8830742881</v>
      </c>
      <c r="I402" s="264" t="s">
        <v>1376</v>
      </c>
      <c r="J402" s="257" t="s">
        <v>171</v>
      </c>
      <c r="K402" s="234" t="s">
        <v>1375</v>
      </c>
      <c r="L402" s="232" t="s">
        <v>49</v>
      </c>
      <c r="M402" s="232" t="s">
        <v>50</v>
      </c>
      <c r="N402" s="234"/>
      <c r="O402" s="234"/>
      <c r="P402" s="590"/>
      <c r="Q402" s="232"/>
      <c r="R402" s="478"/>
      <c r="S402" s="232"/>
      <c r="T402" s="731"/>
      <c r="U402" s="732"/>
    </row>
    <row r="403" spans="1:21" ht="14.25" hidden="1" customHeight="1">
      <c r="A403" s="225">
        <f>ROW()-1</f>
        <v>402</v>
      </c>
      <c r="B403" s="476">
        <v>46157</v>
      </c>
      <c r="C403" s="234" t="s">
        <v>1377</v>
      </c>
      <c r="D403" s="242" t="s">
        <v>131</v>
      </c>
      <c r="E403" s="232" t="s">
        <v>22</v>
      </c>
      <c r="F403" s="232" t="s">
        <v>83</v>
      </c>
      <c r="G403" s="234" t="s">
        <v>559</v>
      </c>
      <c r="H403" s="233">
        <v>9511917026</v>
      </c>
      <c r="I403" s="232" t="s">
        <v>1378</v>
      </c>
      <c r="J403" s="257" t="s">
        <v>567</v>
      </c>
      <c r="K403" s="516" t="s">
        <v>1379</v>
      </c>
      <c r="L403" s="232" t="s">
        <v>49</v>
      </c>
      <c r="M403" s="232" t="s">
        <v>28</v>
      </c>
      <c r="N403" s="234"/>
      <c r="O403" s="234"/>
      <c r="P403" s="589"/>
      <c r="Q403" s="232"/>
      <c r="R403" s="478"/>
      <c r="S403" s="232"/>
      <c r="T403" s="731"/>
      <c r="U403" s="732"/>
    </row>
    <row r="404" spans="1:21" ht="14.25" hidden="1" customHeight="1">
      <c r="A404" s="225">
        <f>ROW()-1</f>
        <v>403</v>
      </c>
      <c r="B404" s="476">
        <v>46157</v>
      </c>
      <c r="C404" s="234" t="s">
        <v>1017</v>
      </c>
      <c r="D404" s="242" t="s">
        <v>131</v>
      </c>
      <c r="E404" s="232" t="s">
        <v>22</v>
      </c>
      <c r="F404" s="232" t="s">
        <v>32</v>
      </c>
      <c r="G404" s="234" t="s">
        <v>1380</v>
      </c>
      <c r="H404" s="233"/>
      <c r="I404" s="264" t="s">
        <v>1169</v>
      </c>
      <c r="J404" s="257" t="s">
        <v>66</v>
      </c>
      <c r="K404" s="234" t="s">
        <v>1381</v>
      </c>
      <c r="L404" s="232" t="s">
        <v>27</v>
      </c>
      <c r="M404" s="232" t="s">
        <v>28</v>
      </c>
      <c r="N404" s="234" t="s">
        <v>1382</v>
      </c>
      <c r="O404" s="235">
        <v>46159</v>
      </c>
      <c r="P404" s="590">
        <v>1865436</v>
      </c>
      <c r="Q404" s="232" t="s">
        <v>292</v>
      </c>
      <c r="R404" s="478"/>
      <c r="S404" s="232"/>
      <c r="T404" s="731"/>
      <c r="U404" s="732"/>
    </row>
    <row r="405" spans="1:21" ht="14.25" hidden="1" customHeight="1">
      <c r="A405" s="225">
        <f>ROW()-1</f>
        <v>404</v>
      </c>
      <c r="B405" s="471">
        <v>46157</v>
      </c>
      <c r="C405" s="238" t="s">
        <v>1383</v>
      </c>
      <c r="D405" s="240" t="s">
        <v>618</v>
      </c>
      <c r="E405" s="236" t="s">
        <v>82</v>
      </c>
      <c r="F405" s="236" t="s">
        <v>73</v>
      </c>
      <c r="G405" s="238"/>
      <c r="H405" s="237">
        <v>8300628640</v>
      </c>
      <c r="I405" s="255" t="s">
        <v>1384</v>
      </c>
      <c r="J405" s="257" t="s">
        <v>122</v>
      </c>
      <c r="K405" s="238" t="s">
        <v>1385</v>
      </c>
      <c r="L405" s="236" t="s">
        <v>49</v>
      </c>
      <c r="M405" s="236" t="s">
        <v>50</v>
      </c>
      <c r="N405" s="238"/>
      <c r="O405" s="238"/>
      <c r="P405" s="589"/>
      <c r="Q405" s="236"/>
      <c r="R405" s="478"/>
      <c r="S405" s="236"/>
      <c r="T405" s="731"/>
      <c r="U405" s="732"/>
    </row>
    <row r="406" spans="1:21" ht="14.25" hidden="1" customHeight="1">
      <c r="A406" s="225">
        <f>ROW()-1</f>
        <v>405</v>
      </c>
      <c r="B406" s="471">
        <v>46158</v>
      </c>
      <c r="C406" s="238" t="s">
        <v>65</v>
      </c>
      <c r="D406" s="240" t="s">
        <v>131</v>
      </c>
      <c r="E406" s="236" t="s">
        <v>22</v>
      </c>
      <c r="F406" s="236" t="s">
        <v>23</v>
      </c>
      <c r="G406" s="238" t="s">
        <v>1386</v>
      </c>
      <c r="H406" s="237"/>
      <c r="I406" s="519" t="s">
        <v>67</v>
      </c>
      <c r="J406" s="512" t="s">
        <v>25</v>
      </c>
      <c r="K406" s="520" t="s">
        <v>68</v>
      </c>
      <c r="L406" s="236" t="s">
        <v>27</v>
      </c>
      <c r="M406" s="236" t="s">
        <v>40</v>
      </c>
      <c r="N406" s="238"/>
      <c r="O406" s="239">
        <v>46158</v>
      </c>
      <c r="P406" s="589">
        <v>164000</v>
      </c>
      <c r="Q406" s="236" t="s">
        <v>30</v>
      </c>
      <c r="R406" s="478">
        <v>46170</v>
      </c>
      <c r="S406" s="236"/>
      <c r="T406" s="731"/>
      <c r="U406" s="732"/>
    </row>
    <row r="407" spans="1:21" ht="14.25" hidden="1" customHeight="1">
      <c r="A407" s="225">
        <f>ROW()-1</f>
        <v>406</v>
      </c>
      <c r="B407" s="476">
        <v>46158</v>
      </c>
      <c r="C407" s="234" t="s">
        <v>1387</v>
      </c>
      <c r="D407" s="242" t="s">
        <v>1388</v>
      </c>
      <c r="E407" s="232"/>
      <c r="F407" s="232" t="s">
        <v>32</v>
      </c>
      <c r="G407" s="234" t="s">
        <v>1389</v>
      </c>
      <c r="H407" s="233">
        <v>9941400636</v>
      </c>
      <c r="I407" s="243" t="s">
        <v>1175</v>
      </c>
      <c r="J407" s="257" t="s">
        <v>171</v>
      </c>
      <c r="K407" s="234" t="s">
        <v>1390</v>
      </c>
      <c r="L407" s="232" t="s">
        <v>49</v>
      </c>
      <c r="M407" s="232" t="s">
        <v>50</v>
      </c>
      <c r="N407" s="234"/>
      <c r="O407" s="234"/>
      <c r="P407" s="589"/>
      <c r="Q407" s="232"/>
      <c r="R407" s="478"/>
      <c r="S407" s="232"/>
      <c r="T407" s="731"/>
      <c r="U407" s="732"/>
    </row>
    <row r="408" spans="1:21" ht="14.25" hidden="1" customHeight="1">
      <c r="A408" s="225">
        <f>ROW()-1</f>
        <v>407</v>
      </c>
      <c r="B408" s="476">
        <v>46158</v>
      </c>
      <c r="C408" s="232" t="s">
        <v>1391</v>
      </c>
      <c r="D408" s="484" t="s">
        <v>1260</v>
      </c>
      <c r="E408" s="232" t="s">
        <v>22</v>
      </c>
      <c r="F408" s="232" t="s">
        <v>60</v>
      </c>
      <c r="G408" s="232" t="s">
        <v>1392</v>
      </c>
      <c r="H408" s="233">
        <v>8100731078</v>
      </c>
      <c r="I408" s="232" t="s">
        <v>1393</v>
      </c>
      <c r="J408" s="267" t="s">
        <v>122</v>
      </c>
      <c r="K408" s="232" t="s">
        <v>1178</v>
      </c>
      <c r="L408" s="232" t="s">
        <v>58</v>
      </c>
      <c r="M408" s="232" t="s">
        <v>40</v>
      </c>
      <c r="N408" s="234"/>
      <c r="O408" s="234"/>
      <c r="P408" s="589"/>
      <c r="Q408" s="232"/>
      <c r="R408" s="478"/>
      <c r="S408" s="232"/>
      <c r="T408" s="731"/>
      <c r="U408" s="732"/>
    </row>
    <row r="409" spans="1:21" ht="14.25" hidden="1" customHeight="1">
      <c r="A409" s="225">
        <f>ROW()-1</f>
        <v>408</v>
      </c>
      <c r="B409" s="471">
        <v>46158</v>
      </c>
      <c r="C409" s="236" t="s">
        <v>1394</v>
      </c>
      <c r="D409" s="486" t="s">
        <v>1395</v>
      </c>
      <c r="E409" s="236" t="s">
        <v>22</v>
      </c>
      <c r="F409" s="236" t="s">
        <v>59</v>
      </c>
      <c r="G409" s="236" t="s">
        <v>1396</v>
      </c>
      <c r="H409" s="237">
        <v>8071859484864</v>
      </c>
      <c r="I409" s="236" t="s">
        <v>1397</v>
      </c>
      <c r="J409" s="488" t="s">
        <v>122</v>
      </c>
      <c r="K409" s="236" t="s">
        <v>1398</v>
      </c>
      <c r="L409" s="236" t="s">
        <v>58</v>
      </c>
      <c r="M409" s="236" t="s">
        <v>50</v>
      </c>
      <c r="N409" s="238"/>
      <c r="O409" s="238"/>
      <c r="P409" s="589"/>
      <c r="Q409" s="236"/>
      <c r="R409" s="478"/>
      <c r="S409" s="236"/>
      <c r="T409" s="731"/>
      <c r="U409" s="732"/>
    </row>
    <row r="410" spans="1:21" ht="14.25" hidden="1" customHeight="1">
      <c r="A410" s="225">
        <f>ROW()-1</f>
        <v>409</v>
      </c>
      <c r="B410" s="476">
        <v>46159</v>
      </c>
      <c r="C410" s="234" t="s">
        <v>1399</v>
      </c>
      <c r="D410" s="242" t="s">
        <v>131</v>
      </c>
      <c r="E410" s="232" t="s">
        <v>22</v>
      </c>
      <c r="F410" s="232" t="s">
        <v>23</v>
      </c>
      <c r="G410" s="234" t="s">
        <v>777</v>
      </c>
      <c r="H410" s="233">
        <v>9637360939</v>
      </c>
      <c r="I410" s="243" t="s">
        <v>1183</v>
      </c>
      <c r="J410" s="257" t="s">
        <v>567</v>
      </c>
      <c r="K410" s="234" t="s">
        <v>1400</v>
      </c>
      <c r="L410" s="232" t="s">
        <v>49</v>
      </c>
      <c r="M410" s="232" t="s">
        <v>50</v>
      </c>
      <c r="N410" s="234"/>
      <c r="O410" s="234"/>
      <c r="P410" s="589"/>
      <c r="Q410" s="232"/>
      <c r="R410" s="478"/>
      <c r="S410" s="232"/>
      <c r="T410" s="731"/>
      <c r="U410" s="732"/>
    </row>
    <row r="411" spans="1:21" ht="14.25" hidden="1" customHeight="1">
      <c r="A411" s="225">
        <f>ROW()-1</f>
        <v>410</v>
      </c>
      <c r="B411" s="471">
        <v>46159</v>
      </c>
      <c r="C411" s="238" t="s">
        <v>1401</v>
      </c>
      <c r="D411" s="240" t="s">
        <v>1402</v>
      </c>
      <c r="E411" s="236"/>
      <c r="F411" s="236" t="s">
        <v>23</v>
      </c>
      <c r="G411" s="238" t="s">
        <v>1403</v>
      </c>
      <c r="H411" s="237">
        <v>9922616982</v>
      </c>
      <c r="I411" s="241" t="s">
        <v>1404</v>
      </c>
      <c r="J411" s="257" t="s">
        <v>63</v>
      </c>
      <c r="K411" s="238" t="s">
        <v>1405</v>
      </c>
      <c r="L411" s="236" t="s">
        <v>49</v>
      </c>
      <c r="M411" s="236" t="s">
        <v>50</v>
      </c>
      <c r="N411" s="238"/>
      <c r="O411" s="238"/>
      <c r="P411" s="589"/>
      <c r="Q411" s="236"/>
      <c r="R411" s="478"/>
      <c r="S411" s="236"/>
      <c r="T411" s="731"/>
      <c r="U411" s="732"/>
    </row>
    <row r="412" spans="1:21" ht="14.25" hidden="1" customHeight="1">
      <c r="A412" s="225">
        <f>ROW()-1</f>
        <v>411</v>
      </c>
      <c r="B412" s="471">
        <v>46159</v>
      </c>
      <c r="C412" s="238" t="s">
        <v>1406</v>
      </c>
      <c r="D412" s="240" t="s">
        <v>192</v>
      </c>
      <c r="E412" s="236"/>
      <c r="F412" s="236" t="s">
        <v>23</v>
      </c>
      <c r="G412" s="238" t="s">
        <v>1407</v>
      </c>
      <c r="H412" s="237">
        <v>8347925651</v>
      </c>
      <c r="I412" s="241" t="s">
        <v>1408</v>
      </c>
      <c r="J412" s="257" t="s">
        <v>567</v>
      </c>
      <c r="K412" s="238" t="s">
        <v>1409</v>
      </c>
      <c r="L412" s="236" t="s">
        <v>49</v>
      </c>
      <c r="M412" s="236" t="s">
        <v>50</v>
      </c>
      <c r="N412" s="238"/>
      <c r="O412" s="238"/>
      <c r="P412" s="589"/>
      <c r="Q412" s="236"/>
      <c r="R412" s="478"/>
      <c r="S412" s="236"/>
      <c r="T412" s="731"/>
      <c r="U412" s="732"/>
    </row>
    <row r="413" spans="1:21" ht="14.25" hidden="1" customHeight="1">
      <c r="A413" s="225">
        <f>ROW()-1</f>
        <v>412</v>
      </c>
      <c r="B413" s="471">
        <v>46159</v>
      </c>
      <c r="C413" s="238" t="s">
        <v>65</v>
      </c>
      <c r="D413" s="240" t="s">
        <v>131</v>
      </c>
      <c r="E413" s="236" t="s">
        <v>22</v>
      </c>
      <c r="F413" s="236" t="s">
        <v>23</v>
      </c>
      <c r="G413" s="238" t="s">
        <v>1410</v>
      </c>
      <c r="H413" s="237"/>
      <c r="I413" s="519" t="s">
        <v>67</v>
      </c>
      <c r="J413" s="257" t="s">
        <v>25</v>
      </c>
      <c r="K413" s="520" t="s">
        <v>68</v>
      </c>
      <c r="L413" s="236" t="s">
        <v>27</v>
      </c>
      <c r="M413" s="236" t="s">
        <v>40</v>
      </c>
      <c r="N413" s="238" t="s">
        <v>1411</v>
      </c>
      <c r="O413" s="239">
        <v>46159</v>
      </c>
      <c r="P413" s="589">
        <v>560000</v>
      </c>
      <c r="Q413" s="236" t="s">
        <v>30</v>
      </c>
      <c r="R413" s="478">
        <v>46148</v>
      </c>
      <c r="S413" s="236"/>
      <c r="T413" s="731"/>
      <c r="U413" s="732"/>
    </row>
    <row r="414" spans="1:21" ht="14.25" hidden="1" customHeight="1">
      <c r="A414" s="225">
        <f>ROW()-1</f>
        <v>413</v>
      </c>
      <c r="B414" s="476">
        <v>46159</v>
      </c>
      <c r="C414" s="234" t="s">
        <v>65</v>
      </c>
      <c r="D414" s="242" t="s">
        <v>131</v>
      </c>
      <c r="E414" s="232" t="s">
        <v>22</v>
      </c>
      <c r="F414" s="232" t="s">
        <v>23</v>
      </c>
      <c r="G414" s="234" t="s">
        <v>1410</v>
      </c>
      <c r="H414" s="233"/>
      <c r="I414" s="521" t="s">
        <v>67</v>
      </c>
      <c r="J414" s="257" t="s">
        <v>25</v>
      </c>
      <c r="K414" s="520" t="s">
        <v>68</v>
      </c>
      <c r="L414" s="232" t="s">
        <v>27</v>
      </c>
      <c r="M414" s="232" t="s">
        <v>40</v>
      </c>
      <c r="N414" s="234" t="s">
        <v>1411</v>
      </c>
      <c r="O414" s="235">
        <v>46129</v>
      </c>
      <c r="P414" s="589">
        <v>140000</v>
      </c>
      <c r="Q414" s="236" t="s">
        <v>30</v>
      </c>
      <c r="R414" s="478">
        <v>46121</v>
      </c>
      <c r="S414" s="236"/>
      <c r="T414" s="731"/>
      <c r="U414" s="732"/>
    </row>
    <row r="415" spans="1:21" ht="14.25" hidden="1" customHeight="1">
      <c r="A415" s="225">
        <f>ROW()-1</f>
        <v>414</v>
      </c>
      <c r="B415" s="471">
        <v>46160</v>
      </c>
      <c r="C415" s="238" t="s">
        <v>1412</v>
      </c>
      <c r="D415" s="240" t="s">
        <v>1413</v>
      </c>
      <c r="E415" s="236" t="s">
        <v>199</v>
      </c>
      <c r="F415" s="236" t="s">
        <v>73</v>
      </c>
      <c r="G415" s="238"/>
      <c r="H415" s="237">
        <v>7023685816</v>
      </c>
      <c r="I415" s="241" t="s">
        <v>1193</v>
      </c>
      <c r="J415" s="257" t="s">
        <v>122</v>
      </c>
      <c r="K415" s="238" t="s">
        <v>1412</v>
      </c>
      <c r="L415" s="236" t="s">
        <v>49</v>
      </c>
      <c r="M415" s="236" t="s">
        <v>50</v>
      </c>
      <c r="N415" s="238"/>
      <c r="O415" s="238"/>
      <c r="P415" s="589"/>
      <c r="Q415" s="236"/>
      <c r="R415" s="478"/>
      <c r="S415" s="236"/>
      <c r="T415" s="731"/>
      <c r="U415" s="732"/>
    </row>
    <row r="416" spans="1:21" ht="14.25" hidden="1" customHeight="1">
      <c r="A416" s="225">
        <f>ROW()-1</f>
        <v>415</v>
      </c>
      <c r="B416" s="476">
        <v>46160</v>
      </c>
      <c r="C416" s="234" t="s">
        <v>1414</v>
      </c>
      <c r="D416" s="242" t="s">
        <v>131</v>
      </c>
      <c r="E416" s="232" t="s">
        <v>22</v>
      </c>
      <c r="F416" s="232" t="s">
        <v>83</v>
      </c>
      <c r="G416" s="234" t="s">
        <v>1415</v>
      </c>
      <c r="H416" s="233">
        <v>7069990970</v>
      </c>
      <c r="I416" s="565" t="s">
        <v>1416</v>
      </c>
      <c r="J416" s="258" t="s">
        <v>1113</v>
      </c>
      <c r="K416" s="234" t="s">
        <v>1416</v>
      </c>
      <c r="L416" s="232" t="s">
        <v>117</v>
      </c>
      <c r="M416" s="232" t="s">
        <v>28</v>
      </c>
      <c r="N416" s="234"/>
      <c r="O416" s="234"/>
      <c r="P416" s="589"/>
      <c r="Q416" s="232"/>
      <c r="R416" s="478"/>
      <c r="S416" s="232"/>
      <c r="T416" s="731"/>
      <c r="U416" s="732"/>
    </row>
    <row r="417" spans="1:21" ht="14.25" hidden="1" customHeight="1">
      <c r="A417" s="225">
        <f>ROW()-1</f>
        <v>416</v>
      </c>
      <c r="B417" s="476">
        <v>46160</v>
      </c>
      <c r="C417" s="234" t="s">
        <v>1417</v>
      </c>
      <c r="D417" s="242" t="s">
        <v>52</v>
      </c>
      <c r="E417" s="232"/>
      <c r="F417" s="232" t="s">
        <v>59</v>
      </c>
      <c r="G417" s="234" t="s">
        <v>1418</v>
      </c>
      <c r="H417" s="233">
        <v>7277775527</v>
      </c>
      <c r="I417" s="480" t="s">
        <v>139</v>
      </c>
      <c r="J417" s="258" t="s">
        <v>122</v>
      </c>
      <c r="K417" s="234" t="s">
        <v>1419</v>
      </c>
      <c r="L417" s="232" t="s">
        <v>49</v>
      </c>
      <c r="M417" s="232" t="s">
        <v>50</v>
      </c>
      <c r="N417" s="234"/>
      <c r="O417" s="234"/>
      <c r="P417" s="589"/>
      <c r="Q417" s="232"/>
      <c r="R417" s="478"/>
      <c r="S417" s="232"/>
      <c r="T417" s="732"/>
      <c r="U417" s="732"/>
    </row>
    <row r="418" spans="1:21" ht="14.25" hidden="1" customHeight="1">
      <c r="A418" s="225">
        <f>ROW()-1</f>
        <v>417</v>
      </c>
      <c r="B418" s="476">
        <v>46160</v>
      </c>
      <c r="C418" s="234" t="s">
        <v>1420</v>
      </c>
      <c r="D418" s="242" t="s">
        <v>131</v>
      </c>
      <c r="E418" s="232" t="s">
        <v>22</v>
      </c>
      <c r="F418" s="232" t="s">
        <v>23</v>
      </c>
      <c r="G418" s="234" t="s">
        <v>1421</v>
      </c>
      <c r="H418" s="233"/>
      <c r="I418" s="243"/>
      <c r="J418" s="257" t="s">
        <v>66</v>
      </c>
      <c r="K418" s="234"/>
      <c r="L418" s="232" t="s">
        <v>27</v>
      </c>
      <c r="M418" s="232" t="s">
        <v>40</v>
      </c>
      <c r="N418" s="234" t="s">
        <v>1422</v>
      </c>
      <c r="O418" s="235">
        <v>46160</v>
      </c>
      <c r="P418" s="589">
        <v>800000</v>
      </c>
      <c r="Q418" s="232" t="s">
        <v>70</v>
      </c>
      <c r="R418" s="478"/>
      <c r="S418" s="232"/>
      <c r="T418" s="732"/>
      <c r="U418" s="732"/>
    </row>
    <row r="419" spans="1:21" ht="14.25" hidden="1" customHeight="1">
      <c r="A419" s="225">
        <f>ROW()-1</f>
        <v>418</v>
      </c>
      <c r="B419" s="471">
        <v>46160</v>
      </c>
      <c r="C419" s="236" t="s">
        <v>1201</v>
      </c>
      <c r="D419" s="486" t="s">
        <v>1423</v>
      </c>
      <c r="E419" s="236"/>
      <c r="F419" s="236" t="s">
        <v>73</v>
      </c>
      <c r="G419" s="236" t="s">
        <v>1424</v>
      </c>
      <c r="H419" s="237">
        <v>9727237276</v>
      </c>
      <c r="I419" s="236" t="s">
        <v>1425</v>
      </c>
      <c r="J419" s="488" t="s">
        <v>567</v>
      </c>
      <c r="K419" s="236" t="s">
        <v>1426</v>
      </c>
      <c r="L419" s="236" t="s">
        <v>58</v>
      </c>
      <c r="M419" s="236" t="s">
        <v>50</v>
      </c>
      <c r="N419" s="238"/>
      <c r="O419" s="238"/>
      <c r="P419" s="589"/>
      <c r="Q419" s="236"/>
      <c r="R419" s="478"/>
      <c r="S419" s="236"/>
      <c r="T419" s="732"/>
      <c r="U419" s="732"/>
    </row>
    <row r="420" spans="1:21" ht="14.25" hidden="1" customHeight="1">
      <c r="A420" s="225">
        <f>ROW()-1</f>
        <v>419</v>
      </c>
      <c r="B420" s="476">
        <v>46160</v>
      </c>
      <c r="C420" s="232" t="s">
        <v>1204</v>
      </c>
      <c r="D420" s="484" t="s">
        <v>1427</v>
      </c>
      <c r="E420" s="232" t="s">
        <v>22</v>
      </c>
      <c r="F420" s="232" t="s">
        <v>73</v>
      </c>
      <c r="G420" s="232" t="s">
        <v>1428</v>
      </c>
      <c r="H420" s="233">
        <v>9934971872</v>
      </c>
      <c r="I420" s="232"/>
      <c r="J420" s="488" t="s">
        <v>567</v>
      </c>
      <c r="K420" s="232" t="s">
        <v>1207</v>
      </c>
      <c r="L420" s="232" t="s">
        <v>58</v>
      </c>
      <c r="M420" s="232" t="s">
        <v>50</v>
      </c>
      <c r="N420" s="234"/>
      <c r="O420" s="234"/>
      <c r="P420" s="589"/>
      <c r="Q420" s="232"/>
      <c r="R420" s="478"/>
      <c r="S420" s="232"/>
      <c r="T420" s="732"/>
      <c r="U420" s="732"/>
    </row>
    <row r="421" spans="1:21" ht="14.25" hidden="1" customHeight="1">
      <c r="A421" s="225">
        <f>ROW()-1</f>
        <v>420</v>
      </c>
      <c r="B421" s="471">
        <v>46160</v>
      </c>
      <c r="C421" s="236" t="s">
        <v>1429</v>
      </c>
      <c r="D421" s="240" t="s">
        <v>131</v>
      </c>
      <c r="E421" s="236" t="s">
        <v>22</v>
      </c>
      <c r="F421" s="236" t="s">
        <v>73</v>
      </c>
      <c r="G421" s="236" t="s">
        <v>1430</v>
      </c>
      <c r="H421" s="237">
        <v>9923950742</v>
      </c>
      <c r="I421" s="236"/>
      <c r="J421" s="488" t="s">
        <v>122</v>
      </c>
      <c r="K421" s="236" t="s">
        <v>1431</v>
      </c>
      <c r="L421" s="236" t="s">
        <v>58</v>
      </c>
      <c r="M421" s="236" t="s">
        <v>50</v>
      </c>
      <c r="N421" s="238"/>
      <c r="O421" s="238"/>
      <c r="P421" s="589"/>
      <c r="Q421" s="236"/>
      <c r="R421" s="478"/>
      <c r="S421" s="236"/>
      <c r="T421" s="732"/>
      <c r="U421" s="732"/>
    </row>
    <row r="422" spans="1:21" ht="14.25" hidden="1" customHeight="1">
      <c r="A422" s="225">
        <f>ROW()-1</f>
        <v>421</v>
      </c>
      <c r="B422" s="471">
        <v>46160</v>
      </c>
      <c r="C422" s="238" t="s">
        <v>1432</v>
      </c>
      <c r="D422" s="240" t="s">
        <v>618</v>
      </c>
      <c r="E422" s="236"/>
      <c r="F422" s="236" t="s">
        <v>44</v>
      </c>
      <c r="G422" s="238" t="s">
        <v>45</v>
      </c>
      <c r="H422" s="237">
        <v>9952703470</v>
      </c>
      <c r="I422" s="241" t="s">
        <v>1432</v>
      </c>
      <c r="J422" s="257" t="s">
        <v>567</v>
      </c>
      <c r="K422" s="238" t="s">
        <v>1432</v>
      </c>
      <c r="L422" s="236" t="s">
        <v>49</v>
      </c>
      <c r="M422" s="236" t="s">
        <v>50</v>
      </c>
      <c r="N422" s="238"/>
      <c r="O422" s="238"/>
      <c r="P422" s="589"/>
      <c r="Q422" s="236"/>
      <c r="R422" s="478"/>
      <c r="S422" s="236"/>
      <c r="T422" s="732"/>
      <c r="U422" s="732"/>
    </row>
    <row r="423" spans="1:21" ht="14.25" hidden="1" customHeight="1">
      <c r="A423" s="225">
        <f>ROW()-1</f>
        <v>422</v>
      </c>
      <c r="B423" s="476">
        <v>46160</v>
      </c>
      <c r="C423" s="232" t="s">
        <v>1433</v>
      </c>
      <c r="D423" s="484" t="s">
        <v>1427</v>
      </c>
      <c r="E423" s="232" t="s">
        <v>22</v>
      </c>
      <c r="F423" s="232" t="s">
        <v>73</v>
      </c>
      <c r="G423" s="232" t="s">
        <v>109</v>
      </c>
      <c r="H423" s="233">
        <v>9924045499</v>
      </c>
      <c r="I423" s="232" t="s">
        <v>1211</v>
      </c>
      <c r="J423" s="488" t="s">
        <v>1113</v>
      </c>
      <c r="K423" s="232" t="s">
        <v>1434</v>
      </c>
      <c r="L423" s="232" t="s">
        <v>58</v>
      </c>
      <c r="M423" s="232" t="s">
        <v>50</v>
      </c>
      <c r="N423" s="234"/>
      <c r="O423" s="234"/>
      <c r="P423" s="589"/>
      <c r="Q423" s="232"/>
      <c r="R423" s="478"/>
      <c r="S423" s="232"/>
      <c r="T423" s="732"/>
      <c r="U423" s="732"/>
    </row>
    <row r="424" spans="1:21" ht="14.25" hidden="1" customHeight="1">
      <c r="A424" s="225">
        <f>ROW()-1</f>
        <v>423</v>
      </c>
      <c r="B424" s="471">
        <v>46160</v>
      </c>
      <c r="C424" s="238" t="s">
        <v>528</v>
      </c>
      <c r="D424" s="240" t="s">
        <v>131</v>
      </c>
      <c r="E424" s="236" t="s">
        <v>22</v>
      </c>
      <c r="F424" s="236" t="s">
        <v>1435</v>
      </c>
      <c r="G424" s="238" t="s">
        <v>1436</v>
      </c>
      <c r="H424" s="237">
        <v>8530999013</v>
      </c>
      <c r="I424" s="264" t="s">
        <v>530</v>
      </c>
      <c r="J424" s="257" t="s">
        <v>66</v>
      </c>
      <c r="K424" s="234" t="s">
        <v>531</v>
      </c>
      <c r="L424" s="232" t="s">
        <v>49</v>
      </c>
      <c r="M424" s="236" t="s">
        <v>50</v>
      </c>
      <c r="N424" s="238" t="s">
        <v>1214</v>
      </c>
      <c r="O424" s="239">
        <v>46157</v>
      </c>
      <c r="P424" s="589">
        <v>250000</v>
      </c>
      <c r="Q424" s="236" t="s">
        <v>70</v>
      </c>
      <c r="R424" s="478"/>
      <c r="S424" s="236"/>
      <c r="T424" s="732"/>
      <c r="U424" s="732"/>
    </row>
    <row r="425" spans="1:21" ht="14.25" hidden="1" customHeight="1">
      <c r="A425" s="225">
        <f>ROW()-1</f>
        <v>424</v>
      </c>
      <c r="B425" s="471">
        <v>46160</v>
      </c>
      <c r="C425" s="238" t="s">
        <v>1437</v>
      </c>
      <c r="D425" s="240" t="s">
        <v>131</v>
      </c>
      <c r="E425" s="236" t="s">
        <v>22</v>
      </c>
      <c r="F425" s="236" t="s">
        <v>44</v>
      </c>
      <c r="G425" s="238" t="s">
        <v>1438</v>
      </c>
      <c r="H425" s="237"/>
      <c r="I425" s="522" t="s">
        <v>1439</v>
      </c>
      <c r="J425" s="257" t="s">
        <v>47</v>
      </c>
      <c r="K425" s="238" t="s">
        <v>1216</v>
      </c>
      <c r="L425" s="236" t="s">
        <v>27</v>
      </c>
      <c r="M425" s="236" t="s">
        <v>28</v>
      </c>
      <c r="N425" s="238" t="s">
        <v>1440</v>
      </c>
      <c r="O425" s="239"/>
      <c r="P425" s="589"/>
      <c r="Q425" s="236" t="s">
        <v>98</v>
      </c>
      <c r="R425" s="478"/>
      <c r="S425" s="236"/>
      <c r="T425" s="732"/>
      <c r="U425" s="732"/>
    </row>
    <row r="426" spans="1:21" ht="14.25" hidden="1" customHeight="1">
      <c r="A426" s="225">
        <f>ROW()-1</f>
        <v>425</v>
      </c>
      <c r="B426" s="476">
        <v>46161</v>
      </c>
      <c r="C426" s="238" t="s">
        <v>1441</v>
      </c>
      <c r="D426" s="240" t="s">
        <v>1442</v>
      </c>
      <c r="E426" s="236"/>
      <c r="F426" s="236" t="s">
        <v>44</v>
      </c>
      <c r="G426" s="238" t="s">
        <v>45</v>
      </c>
      <c r="H426" s="237"/>
      <c r="I426" s="241"/>
      <c r="J426" s="258" t="s">
        <v>1113</v>
      </c>
      <c r="K426" s="238" t="s">
        <v>1443</v>
      </c>
      <c r="L426" s="236" t="s">
        <v>58</v>
      </c>
      <c r="M426" s="236" t="s">
        <v>50</v>
      </c>
      <c r="N426" s="238"/>
      <c r="O426" s="239"/>
      <c r="P426" s="589"/>
      <c r="Q426" s="236"/>
      <c r="R426" s="478"/>
      <c r="S426" s="236"/>
      <c r="T426" s="732"/>
      <c r="U426" s="732"/>
    </row>
    <row r="427" spans="1:21" ht="14.25" hidden="1" customHeight="1">
      <c r="A427" s="225">
        <f>ROW()-1</f>
        <v>426</v>
      </c>
      <c r="B427" s="476">
        <v>46161</v>
      </c>
      <c r="C427" s="234" t="s">
        <v>1444</v>
      </c>
      <c r="D427" s="242" t="s">
        <v>586</v>
      </c>
      <c r="E427" s="232" t="s">
        <v>22</v>
      </c>
      <c r="F427" s="232" t="s">
        <v>60</v>
      </c>
      <c r="G427" s="234" t="s">
        <v>1445</v>
      </c>
      <c r="H427" s="233">
        <v>9112024451</v>
      </c>
      <c r="I427" s="243" t="s">
        <v>1446</v>
      </c>
      <c r="J427" s="258" t="s">
        <v>122</v>
      </c>
      <c r="K427" s="560"/>
      <c r="L427" s="236" t="s">
        <v>49</v>
      </c>
      <c r="M427" s="236" t="s">
        <v>40</v>
      </c>
      <c r="N427" s="234"/>
      <c r="O427" s="234"/>
      <c r="P427" s="589"/>
      <c r="Q427" s="232"/>
      <c r="R427" s="478"/>
      <c r="S427" s="232"/>
      <c r="T427" s="732"/>
      <c r="U427" s="732"/>
    </row>
    <row r="428" spans="1:21" ht="14.25" hidden="1" customHeight="1">
      <c r="A428" s="225">
        <f>ROW()-1</f>
        <v>427</v>
      </c>
      <c r="B428" s="471">
        <v>46161</v>
      </c>
      <c r="C428" s="234" t="s">
        <v>80</v>
      </c>
      <c r="D428" s="242" t="s">
        <v>131</v>
      </c>
      <c r="E428" s="232" t="s">
        <v>22</v>
      </c>
      <c r="F428" s="232" t="s">
        <v>60</v>
      </c>
      <c r="G428" s="234" t="s">
        <v>1447</v>
      </c>
      <c r="H428" s="233"/>
      <c r="I428" s="243"/>
      <c r="J428" s="267" t="s">
        <v>86</v>
      </c>
      <c r="K428" s="234"/>
      <c r="L428" s="232" t="s">
        <v>27</v>
      </c>
      <c r="M428" s="232" t="s">
        <v>40</v>
      </c>
      <c r="N428" s="234" t="s">
        <v>1448</v>
      </c>
      <c r="O428" s="235">
        <v>46161</v>
      </c>
      <c r="P428" s="589">
        <v>104000</v>
      </c>
      <c r="Q428" s="232" t="s">
        <v>70</v>
      </c>
      <c r="R428" s="236"/>
      <c r="S428" s="232"/>
      <c r="T428" s="732"/>
      <c r="U428" s="732"/>
    </row>
    <row r="429" spans="1:21" ht="14.25" hidden="1" customHeight="1">
      <c r="A429" s="225">
        <f>ROW()-1</f>
        <v>428</v>
      </c>
      <c r="B429" s="476">
        <v>46161</v>
      </c>
      <c r="C429" s="238" t="s">
        <v>1224</v>
      </c>
      <c r="D429" s="240" t="s">
        <v>1449</v>
      </c>
      <c r="E429" s="236" t="s">
        <v>272</v>
      </c>
      <c r="F429" s="236" t="s">
        <v>44</v>
      </c>
      <c r="G429" s="238" t="s">
        <v>878</v>
      </c>
      <c r="H429" s="237">
        <v>9646440009</v>
      </c>
      <c r="I429" s="241" t="s">
        <v>1450</v>
      </c>
      <c r="J429" s="257" t="s">
        <v>122</v>
      </c>
      <c r="K429" s="234" t="s">
        <v>139</v>
      </c>
      <c r="L429" s="236" t="s">
        <v>49</v>
      </c>
      <c r="M429" s="236" t="s">
        <v>50</v>
      </c>
      <c r="N429" s="238"/>
      <c r="O429" s="238"/>
      <c r="P429" s="589"/>
      <c r="Q429" s="236"/>
      <c r="R429" s="478"/>
      <c r="S429" s="236"/>
      <c r="T429" s="732"/>
      <c r="U429" s="732"/>
    </row>
    <row r="430" spans="1:21" ht="14.25" hidden="1" customHeight="1">
      <c r="A430" s="225">
        <f>ROW()-1</f>
        <v>429</v>
      </c>
      <c r="B430" s="476">
        <v>46161</v>
      </c>
      <c r="C430" s="234" t="s">
        <v>1451</v>
      </c>
      <c r="D430" s="242" t="s">
        <v>131</v>
      </c>
      <c r="E430" s="232" t="s">
        <v>22</v>
      </c>
      <c r="F430" s="232" t="s">
        <v>44</v>
      </c>
      <c r="G430" s="234" t="s">
        <v>45</v>
      </c>
      <c r="H430" s="233">
        <v>9860441113</v>
      </c>
      <c r="I430" s="243" t="s">
        <v>1452</v>
      </c>
      <c r="J430" s="258" t="s">
        <v>1113</v>
      </c>
      <c r="K430" s="234" t="s">
        <v>1453</v>
      </c>
      <c r="L430" s="232" t="s">
        <v>49</v>
      </c>
      <c r="M430" s="232" t="s">
        <v>50</v>
      </c>
      <c r="N430" s="234"/>
      <c r="O430" s="234"/>
      <c r="P430" s="589"/>
      <c r="Q430" s="232"/>
      <c r="R430" s="478"/>
      <c r="S430" s="232"/>
      <c r="T430" s="732"/>
      <c r="U430" s="732"/>
    </row>
    <row r="431" spans="1:21" ht="14.25" hidden="1" customHeight="1">
      <c r="A431" s="225">
        <f>ROW()-1</f>
        <v>430</v>
      </c>
      <c r="B431" s="476">
        <v>46161</v>
      </c>
      <c r="C431" s="238" t="s">
        <v>1454</v>
      </c>
      <c r="D431" s="240" t="s">
        <v>1455</v>
      </c>
      <c r="E431" s="236" t="s">
        <v>22</v>
      </c>
      <c r="F431" s="236" t="s">
        <v>23</v>
      </c>
      <c r="G431" s="238" t="s">
        <v>777</v>
      </c>
      <c r="H431" s="237">
        <v>7760396172</v>
      </c>
      <c r="I431" s="241" t="s">
        <v>1456</v>
      </c>
      <c r="J431" s="258" t="s">
        <v>122</v>
      </c>
      <c r="K431" s="238" t="s">
        <v>1231</v>
      </c>
      <c r="L431" s="236" t="s">
        <v>49</v>
      </c>
      <c r="M431" s="236" t="s">
        <v>50</v>
      </c>
      <c r="N431" s="238"/>
      <c r="O431" s="238"/>
      <c r="P431" s="589"/>
      <c r="Q431" s="236"/>
      <c r="R431" s="478"/>
      <c r="S431" s="236"/>
      <c r="T431" s="732"/>
      <c r="U431" s="732"/>
    </row>
    <row r="432" spans="1:21" ht="14.25" hidden="1" customHeight="1">
      <c r="A432" s="225">
        <f>ROW()-1</f>
        <v>431</v>
      </c>
      <c r="B432" s="471">
        <v>46161</v>
      </c>
      <c r="C432" s="238" t="s">
        <v>1457</v>
      </c>
      <c r="D432" s="240" t="s">
        <v>1458</v>
      </c>
      <c r="E432" s="236" t="s">
        <v>730</v>
      </c>
      <c r="F432" s="236" t="s">
        <v>60</v>
      </c>
      <c r="G432" s="238" t="s">
        <v>1459</v>
      </c>
      <c r="H432" s="237">
        <v>9971720538</v>
      </c>
      <c r="I432" s="241" t="s">
        <v>1460</v>
      </c>
      <c r="J432" s="258" t="s">
        <v>1113</v>
      </c>
      <c r="K432" s="238" t="s">
        <v>1459</v>
      </c>
      <c r="L432" s="236" t="s">
        <v>49</v>
      </c>
      <c r="M432" s="236" t="s">
        <v>40</v>
      </c>
      <c r="N432" s="238"/>
      <c r="O432" s="238"/>
      <c r="P432" s="589"/>
      <c r="Q432" s="236"/>
      <c r="R432" s="478"/>
      <c r="S432" s="236"/>
      <c r="T432" s="732"/>
      <c r="U432" s="732"/>
    </row>
    <row r="433" spans="1:21" ht="14.25" hidden="1" customHeight="1">
      <c r="A433" s="225">
        <f>ROW()-1</f>
        <v>432</v>
      </c>
      <c r="B433" s="471">
        <v>46161</v>
      </c>
      <c r="C433" s="234" t="s">
        <v>1461</v>
      </c>
      <c r="D433" s="242" t="s">
        <v>623</v>
      </c>
      <c r="E433" s="232" t="s">
        <v>193</v>
      </c>
      <c r="F433" s="232" t="s">
        <v>73</v>
      </c>
      <c r="G433" s="234" t="s">
        <v>1462</v>
      </c>
      <c r="H433" s="233">
        <v>9227280524</v>
      </c>
      <c r="I433" s="243" t="s">
        <v>1236</v>
      </c>
      <c r="J433" s="257" t="s">
        <v>47</v>
      </c>
      <c r="K433" s="234" t="s">
        <v>1463</v>
      </c>
      <c r="L433" s="232" t="s">
        <v>49</v>
      </c>
      <c r="M433" s="232" t="s">
        <v>50</v>
      </c>
      <c r="N433" s="234"/>
      <c r="O433" s="234"/>
      <c r="P433" s="589"/>
      <c r="Q433" s="232"/>
      <c r="R433" s="478"/>
      <c r="S433" s="232"/>
      <c r="T433" s="732"/>
      <c r="U433" s="732"/>
    </row>
    <row r="434" spans="1:21" ht="14.25" hidden="1" customHeight="1">
      <c r="A434" s="225">
        <f>ROW()-1</f>
        <v>433</v>
      </c>
      <c r="B434" s="476">
        <v>46162</v>
      </c>
      <c r="C434" s="234" t="s">
        <v>344</v>
      </c>
      <c r="D434" s="242" t="s">
        <v>131</v>
      </c>
      <c r="E434" s="232" t="s">
        <v>22</v>
      </c>
      <c r="F434" s="232" t="s">
        <v>32</v>
      </c>
      <c r="G434" s="234" t="s">
        <v>1464</v>
      </c>
      <c r="H434" s="233"/>
      <c r="I434" s="243"/>
      <c r="J434" s="257" t="s">
        <v>66</v>
      </c>
      <c r="K434" s="234"/>
      <c r="L434" s="232" t="s">
        <v>27</v>
      </c>
      <c r="M434" s="232" t="s">
        <v>28</v>
      </c>
      <c r="N434" s="234" t="s">
        <v>1465</v>
      </c>
      <c r="O434" s="235">
        <v>46162</v>
      </c>
      <c r="P434" s="589">
        <v>1410000</v>
      </c>
      <c r="Q434" s="232" t="s">
        <v>70</v>
      </c>
      <c r="R434" s="478"/>
      <c r="S434" s="232"/>
      <c r="T434" s="732"/>
      <c r="U434" s="732"/>
    </row>
    <row r="435" spans="1:21" ht="14.25" hidden="1" customHeight="1">
      <c r="A435" s="225">
        <f>ROW()-1</f>
        <v>434</v>
      </c>
      <c r="B435" s="471">
        <v>46162</v>
      </c>
      <c r="C435" s="238" t="s">
        <v>249</v>
      </c>
      <c r="D435" s="240" t="s">
        <v>131</v>
      </c>
      <c r="E435" s="236" t="s">
        <v>22</v>
      </c>
      <c r="F435" s="236" t="s">
        <v>1239</v>
      </c>
      <c r="G435" s="240" t="s">
        <v>250</v>
      </c>
      <c r="H435" s="233">
        <v>8956613645</v>
      </c>
      <c r="I435" s="602" t="s">
        <v>251</v>
      </c>
      <c r="J435" s="257" t="s">
        <v>66</v>
      </c>
      <c r="K435" s="238"/>
      <c r="L435" s="232" t="s">
        <v>27</v>
      </c>
      <c r="M435" s="236" t="s">
        <v>40</v>
      </c>
      <c r="N435" s="238" t="s">
        <v>1466</v>
      </c>
      <c r="O435" s="239">
        <v>46163</v>
      </c>
      <c r="P435" s="589">
        <v>1327500</v>
      </c>
      <c r="Q435" s="236"/>
      <c r="R435" s="236"/>
      <c r="S435" s="236"/>
      <c r="T435" s="732"/>
      <c r="U435" s="732"/>
    </row>
    <row r="436" spans="1:21" ht="14.25" hidden="1" customHeight="1">
      <c r="A436" s="225">
        <f>ROW()-1</f>
        <v>435</v>
      </c>
      <c r="B436" s="476">
        <v>46162</v>
      </c>
      <c r="C436" s="238" t="s">
        <v>1467</v>
      </c>
      <c r="D436" s="240" t="s">
        <v>1468</v>
      </c>
      <c r="E436" s="236"/>
      <c r="F436" s="236" t="s">
        <v>59</v>
      </c>
      <c r="G436" s="238" t="s">
        <v>1469</v>
      </c>
      <c r="H436" s="237"/>
      <c r="I436" s="603"/>
      <c r="J436" s="258" t="s">
        <v>122</v>
      </c>
      <c r="K436" s="238" t="s">
        <v>1243</v>
      </c>
      <c r="L436" s="236" t="s">
        <v>58</v>
      </c>
      <c r="M436" s="236" t="s">
        <v>50</v>
      </c>
      <c r="N436" s="238"/>
      <c r="O436" s="239"/>
      <c r="P436" s="589"/>
      <c r="Q436" s="236"/>
      <c r="R436" s="478"/>
      <c r="S436" s="236"/>
      <c r="T436" s="732"/>
      <c r="U436" s="732"/>
    </row>
    <row r="437" spans="1:21" ht="14.25" hidden="1" customHeight="1">
      <c r="A437" s="225">
        <f>ROW()-1</f>
        <v>436</v>
      </c>
      <c r="B437" s="471">
        <v>46162</v>
      </c>
      <c r="C437" s="238" t="s">
        <v>1470</v>
      </c>
      <c r="D437" s="240" t="s">
        <v>131</v>
      </c>
      <c r="E437" s="236" t="s">
        <v>22</v>
      </c>
      <c r="F437" s="236" t="s">
        <v>60</v>
      </c>
      <c r="G437" s="238" t="s">
        <v>180</v>
      </c>
      <c r="H437" s="237">
        <v>9922667217</v>
      </c>
      <c r="I437" s="241" t="s">
        <v>1471</v>
      </c>
      <c r="J437" s="738" t="s">
        <v>63</v>
      </c>
      <c r="K437" s="238" t="s">
        <v>1472</v>
      </c>
      <c r="L437" s="236" t="s">
        <v>49</v>
      </c>
      <c r="M437" s="236" t="s">
        <v>40</v>
      </c>
      <c r="N437" s="238"/>
      <c r="O437" s="238"/>
      <c r="P437" s="589"/>
      <c r="Q437" s="236"/>
      <c r="R437" s="478"/>
      <c r="S437" s="236"/>
      <c r="T437" s="732"/>
      <c r="U437" s="732"/>
    </row>
    <row r="438" spans="1:21" ht="14.25" hidden="1" customHeight="1">
      <c r="A438" s="225">
        <f>ROW()-1</f>
        <v>437</v>
      </c>
      <c r="B438" s="476">
        <v>46162</v>
      </c>
      <c r="C438" s="234" t="s">
        <v>1473</v>
      </c>
      <c r="D438" s="242" t="s">
        <v>1247</v>
      </c>
      <c r="E438" s="232" t="s">
        <v>416</v>
      </c>
      <c r="F438" s="232" t="s">
        <v>59</v>
      </c>
      <c r="G438" s="234" t="s">
        <v>1474</v>
      </c>
      <c r="H438" s="233"/>
      <c r="I438" s="243"/>
      <c r="J438" s="258" t="s">
        <v>1113</v>
      </c>
      <c r="K438" s="234" t="s">
        <v>1475</v>
      </c>
      <c r="L438" s="232" t="s">
        <v>58</v>
      </c>
      <c r="M438" s="232"/>
      <c r="N438" s="234"/>
      <c r="O438" s="235"/>
      <c r="P438" s="589"/>
      <c r="Q438" s="232"/>
      <c r="R438" s="478"/>
      <c r="S438" s="232"/>
      <c r="T438" s="732"/>
      <c r="U438" s="732"/>
    </row>
    <row r="439" spans="1:21" ht="14.25" hidden="1" customHeight="1">
      <c r="A439" s="225">
        <f>ROW()-1</f>
        <v>438</v>
      </c>
      <c r="B439" s="476">
        <v>46162</v>
      </c>
      <c r="C439" s="234" t="s">
        <v>1476</v>
      </c>
      <c r="D439" s="242" t="s">
        <v>1249</v>
      </c>
      <c r="E439" s="232" t="s">
        <v>22</v>
      </c>
      <c r="F439" s="232" t="s">
        <v>60</v>
      </c>
      <c r="G439" s="234" t="s">
        <v>1477</v>
      </c>
      <c r="H439" s="233"/>
      <c r="I439" s="243"/>
      <c r="J439" s="258" t="s">
        <v>63</v>
      </c>
      <c r="K439" s="234" t="s">
        <v>1478</v>
      </c>
      <c r="L439" s="232" t="s">
        <v>58</v>
      </c>
      <c r="M439" s="236" t="s">
        <v>40</v>
      </c>
      <c r="N439" s="234"/>
      <c r="O439" s="235"/>
      <c r="P439" s="589"/>
      <c r="Q439" s="232"/>
      <c r="R439" s="478"/>
      <c r="S439" s="232"/>
      <c r="T439" s="732"/>
      <c r="U439" s="732"/>
    </row>
    <row r="440" spans="1:21" ht="14.25" hidden="1" customHeight="1">
      <c r="A440" s="225">
        <f>ROW()-1</f>
        <v>439</v>
      </c>
      <c r="B440" s="471">
        <v>46162</v>
      </c>
      <c r="C440" s="234" t="s">
        <v>1479</v>
      </c>
      <c r="D440" s="242" t="s">
        <v>452</v>
      </c>
      <c r="E440" s="232" t="s">
        <v>193</v>
      </c>
      <c r="F440" s="232" t="s">
        <v>73</v>
      </c>
      <c r="G440" s="234" t="s">
        <v>273</v>
      </c>
      <c r="H440" s="233"/>
      <c r="I440" s="243"/>
      <c r="J440" s="258" t="s">
        <v>56</v>
      </c>
      <c r="K440" s="234" t="s">
        <v>1480</v>
      </c>
      <c r="L440" s="232" t="s">
        <v>58</v>
      </c>
      <c r="M440" s="236" t="s">
        <v>50</v>
      </c>
      <c r="N440" s="234"/>
      <c r="O440" s="235"/>
      <c r="P440" s="589"/>
      <c r="Q440" s="232"/>
      <c r="R440" s="478"/>
      <c r="S440" s="232"/>
      <c r="T440" s="732"/>
      <c r="U440" s="732"/>
    </row>
    <row r="441" spans="1:21" ht="14.25" hidden="1" customHeight="1">
      <c r="A441" s="225">
        <f>ROW()-1</f>
        <v>440</v>
      </c>
      <c r="B441" s="471">
        <v>46162</v>
      </c>
      <c r="C441" s="234" t="s">
        <v>1253</v>
      </c>
      <c r="D441" s="242" t="s">
        <v>131</v>
      </c>
      <c r="E441" s="232" t="s">
        <v>22</v>
      </c>
      <c r="F441" s="232" t="s">
        <v>23</v>
      </c>
      <c r="G441" s="234" t="s">
        <v>23</v>
      </c>
      <c r="H441" s="233"/>
      <c r="I441" s="243"/>
      <c r="J441" s="258" t="s">
        <v>122</v>
      </c>
      <c r="K441" s="234" t="s">
        <v>1481</v>
      </c>
      <c r="L441" s="232" t="s">
        <v>58</v>
      </c>
      <c r="M441" s="232" t="s">
        <v>50</v>
      </c>
      <c r="N441" s="234"/>
      <c r="O441" s="235"/>
      <c r="P441" s="589"/>
      <c r="Q441" s="232"/>
      <c r="R441" s="478"/>
      <c r="S441" s="232"/>
      <c r="T441" s="732"/>
      <c r="U441" s="732"/>
    </row>
    <row r="442" spans="1:21" ht="14.25" hidden="1" customHeight="1">
      <c r="A442" s="225">
        <f>ROW()-1</f>
        <v>441</v>
      </c>
      <c r="B442" s="471">
        <v>46162</v>
      </c>
      <c r="C442" s="238" t="s">
        <v>1482</v>
      </c>
      <c r="D442" s="240" t="s">
        <v>452</v>
      </c>
      <c r="E442" s="236" t="s">
        <v>193</v>
      </c>
      <c r="F442" s="236" t="s">
        <v>73</v>
      </c>
      <c r="G442" s="238" t="s">
        <v>1483</v>
      </c>
      <c r="H442" s="237"/>
      <c r="I442" s="241"/>
      <c r="J442" s="258" t="s">
        <v>122</v>
      </c>
      <c r="K442" s="238" t="s">
        <v>1484</v>
      </c>
      <c r="L442" s="236" t="s">
        <v>58</v>
      </c>
      <c r="M442" s="236" t="s">
        <v>50</v>
      </c>
      <c r="N442" s="238"/>
      <c r="O442" s="239"/>
      <c r="P442" s="589"/>
      <c r="Q442" s="236"/>
      <c r="R442" s="478"/>
      <c r="S442" s="236"/>
      <c r="T442" s="732"/>
      <c r="U442" s="732"/>
    </row>
    <row r="443" spans="1:21" ht="14.25" hidden="1" customHeight="1">
      <c r="A443" s="225">
        <f>ROW()-1</f>
        <v>442</v>
      </c>
      <c r="B443" s="476">
        <v>46162</v>
      </c>
      <c r="C443" s="234" t="s">
        <v>1485</v>
      </c>
      <c r="D443" s="242" t="s">
        <v>1486</v>
      </c>
      <c r="E443" s="232" t="s">
        <v>193</v>
      </c>
      <c r="F443" s="232" t="s">
        <v>23</v>
      </c>
      <c r="G443" s="234" t="s">
        <v>1487</v>
      </c>
      <c r="H443" s="233"/>
      <c r="I443" s="243"/>
      <c r="J443" s="258" t="s">
        <v>122</v>
      </c>
      <c r="K443" s="234" t="s">
        <v>1488</v>
      </c>
      <c r="L443" s="232" t="s">
        <v>58</v>
      </c>
      <c r="M443" s="236" t="s">
        <v>50</v>
      </c>
      <c r="N443" s="234"/>
      <c r="O443" s="235"/>
      <c r="P443" s="589"/>
      <c r="Q443" s="232"/>
      <c r="R443" s="478"/>
      <c r="S443" s="232"/>
      <c r="T443" s="732"/>
      <c r="U443" s="732"/>
    </row>
    <row r="444" spans="1:21" ht="14.25" hidden="1" customHeight="1">
      <c r="A444" s="225">
        <f>ROW()-1</f>
        <v>443</v>
      </c>
      <c r="B444" s="471">
        <v>46162</v>
      </c>
      <c r="C444" s="238" t="s">
        <v>1489</v>
      </c>
      <c r="D444" s="240" t="s">
        <v>1490</v>
      </c>
      <c r="E444" s="236" t="s">
        <v>416</v>
      </c>
      <c r="F444" s="236" t="s">
        <v>23</v>
      </c>
      <c r="G444" s="238" t="s">
        <v>23</v>
      </c>
      <c r="H444" s="237"/>
      <c r="I444" s="241"/>
      <c r="J444" s="258" t="s">
        <v>122</v>
      </c>
      <c r="K444" s="238" t="s">
        <v>1491</v>
      </c>
      <c r="L444" s="236" t="s">
        <v>58</v>
      </c>
      <c r="M444" s="236" t="s">
        <v>50</v>
      </c>
      <c r="N444" s="238"/>
      <c r="O444" s="239"/>
      <c r="P444" s="589"/>
      <c r="Q444" s="236"/>
      <c r="R444" s="478"/>
      <c r="S444" s="236"/>
      <c r="T444" s="732"/>
      <c r="U444" s="732"/>
    </row>
    <row r="445" spans="1:21" ht="14.25" hidden="1" customHeight="1">
      <c r="A445" s="225">
        <f>ROW()-1</f>
        <v>444</v>
      </c>
      <c r="B445" s="471">
        <v>46162</v>
      </c>
      <c r="C445" s="234" t="s">
        <v>1489</v>
      </c>
      <c r="D445" s="242" t="s">
        <v>1490</v>
      </c>
      <c r="E445" s="232" t="s">
        <v>416</v>
      </c>
      <c r="F445" s="232" t="s">
        <v>23</v>
      </c>
      <c r="G445" s="234" t="s">
        <v>23</v>
      </c>
      <c r="H445" s="233"/>
      <c r="I445" s="243"/>
      <c r="J445" s="258" t="s">
        <v>122</v>
      </c>
      <c r="K445" s="234" t="s">
        <v>1491</v>
      </c>
      <c r="L445" s="232" t="s">
        <v>58</v>
      </c>
      <c r="M445" s="236" t="s">
        <v>50</v>
      </c>
      <c r="N445" s="234"/>
      <c r="O445" s="235"/>
      <c r="P445" s="589"/>
      <c r="Q445" s="232"/>
      <c r="R445" s="478"/>
      <c r="S445" s="232"/>
      <c r="T445" s="732"/>
      <c r="U445" s="732"/>
    </row>
    <row r="446" spans="1:21" ht="14.25" hidden="1" customHeight="1">
      <c r="A446" s="225">
        <f>ROW()-1</f>
        <v>445</v>
      </c>
      <c r="B446" s="471">
        <v>46162</v>
      </c>
      <c r="C446" s="234" t="s">
        <v>1261</v>
      </c>
      <c r="D446" s="242" t="s">
        <v>1492</v>
      </c>
      <c r="E446" s="232" t="s">
        <v>22</v>
      </c>
      <c r="F446" s="232" t="s">
        <v>23</v>
      </c>
      <c r="G446" s="234" t="s">
        <v>1286</v>
      </c>
      <c r="H446" s="233">
        <v>8017017337</v>
      </c>
      <c r="I446" s="243" t="s">
        <v>1493</v>
      </c>
      <c r="J446" s="258" t="s">
        <v>63</v>
      </c>
      <c r="K446" s="234" t="s">
        <v>1264</v>
      </c>
      <c r="L446" s="232" t="s">
        <v>49</v>
      </c>
      <c r="M446" s="232" t="s">
        <v>50</v>
      </c>
      <c r="N446" s="234"/>
      <c r="O446" s="234"/>
      <c r="P446" s="589"/>
      <c r="Q446" s="232"/>
      <c r="R446" s="478"/>
      <c r="S446" s="232"/>
      <c r="T446" s="732"/>
      <c r="U446" s="732"/>
    </row>
    <row r="447" spans="1:21" ht="14.25" hidden="1" customHeight="1">
      <c r="A447" s="225">
        <f>ROW()-1</f>
        <v>446</v>
      </c>
      <c r="B447" s="471">
        <v>46162</v>
      </c>
      <c r="C447" s="238" t="s">
        <v>1494</v>
      </c>
      <c r="D447" s="240" t="s">
        <v>237</v>
      </c>
      <c r="E447" s="236" t="s">
        <v>82</v>
      </c>
      <c r="F447" s="236" t="s">
        <v>59</v>
      </c>
      <c r="G447" s="238" t="s">
        <v>1495</v>
      </c>
      <c r="H447" s="237"/>
      <c r="I447" s="241"/>
      <c r="J447" s="258" t="s">
        <v>122</v>
      </c>
      <c r="K447" s="238" t="s">
        <v>1496</v>
      </c>
      <c r="L447" s="236" t="s">
        <v>58</v>
      </c>
      <c r="M447" s="236" t="s">
        <v>40</v>
      </c>
      <c r="N447" s="238"/>
      <c r="O447" s="239"/>
      <c r="P447" s="589"/>
      <c r="Q447" s="236"/>
      <c r="R447" s="478"/>
      <c r="S447" s="236"/>
      <c r="T447" s="732"/>
      <c r="U447" s="732"/>
    </row>
    <row r="448" spans="1:21" ht="14.25" hidden="1" customHeight="1">
      <c r="A448" s="225">
        <f>ROW()-1</f>
        <v>447</v>
      </c>
      <c r="B448" s="471">
        <v>46162</v>
      </c>
      <c r="C448" s="238" t="s">
        <v>1497</v>
      </c>
      <c r="D448" s="240" t="s">
        <v>1498</v>
      </c>
      <c r="E448" s="236"/>
      <c r="F448" s="236" t="s">
        <v>59</v>
      </c>
      <c r="G448" s="238" t="s">
        <v>1499</v>
      </c>
      <c r="H448" s="237"/>
      <c r="I448" s="241"/>
      <c r="J448" s="258" t="s">
        <v>122</v>
      </c>
      <c r="K448" s="238" t="s">
        <v>1500</v>
      </c>
      <c r="L448" s="236" t="s">
        <v>58</v>
      </c>
      <c r="M448" s="236" t="s">
        <v>50</v>
      </c>
      <c r="N448" s="238"/>
      <c r="O448" s="239"/>
      <c r="P448" s="589"/>
      <c r="Q448" s="236"/>
      <c r="R448" s="478"/>
      <c r="S448" s="236"/>
      <c r="T448" s="732"/>
      <c r="U448" s="732"/>
    </row>
    <row r="449" spans="1:21" ht="14.25" hidden="1" customHeight="1">
      <c r="A449" s="225">
        <f>ROW()-1</f>
        <v>448</v>
      </c>
      <c r="B449" s="471">
        <v>46162</v>
      </c>
      <c r="C449" s="238" t="s">
        <v>1472</v>
      </c>
      <c r="D449" s="240" t="s">
        <v>131</v>
      </c>
      <c r="E449" s="236" t="s">
        <v>22</v>
      </c>
      <c r="F449" s="236" t="s">
        <v>60</v>
      </c>
      <c r="G449" s="238" t="s">
        <v>180</v>
      </c>
      <c r="H449" s="237">
        <v>9922667217</v>
      </c>
      <c r="I449" s="241" t="s">
        <v>1471</v>
      </c>
      <c r="J449" s="258" t="s">
        <v>122</v>
      </c>
      <c r="K449" s="238" t="s">
        <v>1501</v>
      </c>
      <c r="L449" s="236" t="s">
        <v>49</v>
      </c>
      <c r="M449" s="236" t="s">
        <v>40</v>
      </c>
      <c r="N449" s="238"/>
      <c r="O449" s="239"/>
      <c r="P449" s="589"/>
      <c r="Q449" s="236"/>
      <c r="R449" s="478"/>
      <c r="S449" s="236"/>
      <c r="T449" s="732"/>
      <c r="U449" s="732"/>
    </row>
    <row r="450" spans="1:21" ht="14.25" hidden="1" customHeight="1">
      <c r="A450" s="225">
        <f>ROW()-1</f>
        <v>449</v>
      </c>
      <c r="B450" s="471">
        <v>46162</v>
      </c>
      <c r="C450" s="238" t="s">
        <v>1502</v>
      </c>
      <c r="D450" s="240" t="s">
        <v>131</v>
      </c>
      <c r="E450" s="236" t="s">
        <v>22</v>
      </c>
      <c r="F450" s="236" t="s">
        <v>59</v>
      </c>
      <c r="G450" s="238" t="s">
        <v>1503</v>
      </c>
      <c r="H450" s="237"/>
      <c r="I450" s="241"/>
      <c r="J450" s="257" t="s">
        <v>66</v>
      </c>
      <c r="K450" s="238"/>
      <c r="L450" s="236" t="s">
        <v>27</v>
      </c>
      <c r="M450" s="236" t="s">
        <v>28</v>
      </c>
      <c r="N450" s="238" t="s">
        <v>1504</v>
      </c>
      <c r="O450" s="239">
        <v>46162</v>
      </c>
      <c r="P450" s="589">
        <v>525000</v>
      </c>
      <c r="Q450" s="236" t="s">
        <v>70</v>
      </c>
      <c r="R450" s="478"/>
      <c r="S450" s="236"/>
      <c r="T450" s="732"/>
      <c r="U450" s="732"/>
    </row>
    <row r="451" spans="1:21" ht="14.25" hidden="1" customHeight="1">
      <c r="A451" s="225">
        <f>ROW()-1</f>
        <v>450</v>
      </c>
      <c r="B451" s="476">
        <v>46162</v>
      </c>
      <c r="C451" s="238" t="s">
        <v>1272</v>
      </c>
      <c r="D451" s="240" t="s">
        <v>675</v>
      </c>
      <c r="E451" s="236" t="s">
        <v>22</v>
      </c>
      <c r="F451" s="236" t="s">
        <v>23</v>
      </c>
      <c r="G451" s="238" t="s">
        <v>188</v>
      </c>
      <c r="H451" s="237">
        <v>9822321300</v>
      </c>
      <c r="I451" s="480" t="s">
        <v>139</v>
      </c>
      <c r="J451" s="257" t="s">
        <v>171</v>
      </c>
      <c r="K451" s="238" t="s">
        <v>1272</v>
      </c>
      <c r="L451" s="236" t="s">
        <v>49</v>
      </c>
      <c r="M451" s="236" t="s">
        <v>50</v>
      </c>
      <c r="N451" s="238"/>
      <c r="O451" s="239"/>
      <c r="P451" s="589"/>
      <c r="Q451" s="236"/>
      <c r="R451" s="478"/>
      <c r="S451" s="236"/>
      <c r="T451" s="732"/>
      <c r="U451" s="732"/>
    </row>
    <row r="452" spans="1:21" ht="14.25" hidden="1" customHeight="1">
      <c r="A452" s="225">
        <f>ROW()-1</f>
        <v>451</v>
      </c>
      <c r="B452" s="471">
        <v>46162</v>
      </c>
      <c r="C452" s="234" t="s">
        <v>1505</v>
      </c>
      <c r="D452" s="242" t="s">
        <v>131</v>
      </c>
      <c r="E452" s="232" t="s">
        <v>22</v>
      </c>
      <c r="F452" s="232" t="s">
        <v>59</v>
      </c>
      <c r="G452" s="234" t="s">
        <v>1506</v>
      </c>
      <c r="H452" s="233">
        <v>9172730991</v>
      </c>
      <c r="I452" s="480" t="s">
        <v>139</v>
      </c>
      <c r="J452" s="257" t="s">
        <v>63</v>
      </c>
      <c r="K452" s="234" t="s">
        <v>1505</v>
      </c>
      <c r="L452" s="552" t="s">
        <v>49</v>
      </c>
      <c r="M452" s="232" t="s">
        <v>50</v>
      </c>
      <c r="N452" s="234"/>
      <c r="O452" s="235"/>
      <c r="P452" s="589"/>
      <c r="Q452" s="232"/>
      <c r="R452" s="478"/>
      <c r="S452" s="232"/>
      <c r="T452" s="732"/>
      <c r="U452" s="732"/>
    </row>
    <row r="453" spans="1:21" ht="14.25" hidden="1" customHeight="1">
      <c r="A453" s="225">
        <f>ROW()-1</f>
        <v>452</v>
      </c>
      <c r="B453" s="471">
        <v>46163</v>
      </c>
      <c r="C453" s="234" t="s">
        <v>1507</v>
      </c>
      <c r="D453" s="242" t="s">
        <v>131</v>
      </c>
      <c r="E453" s="232" t="s">
        <v>22</v>
      </c>
      <c r="F453" s="232" t="s">
        <v>23</v>
      </c>
      <c r="G453" s="234" t="s">
        <v>1508</v>
      </c>
      <c r="H453" s="233">
        <v>9738965576</v>
      </c>
      <c r="I453" s="243" t="s">
        <v>1509</v>
      </c>
      <c r="J453" s="258" t="s">
        <v>567</v>
      </c>
      <c r="K453" s="234" t="s">
        <v>1507</v>
      </c>
      <c r="L453" s="232" t="s">
        <v>49</v>
      </c>
      <c r="M453" s="232" t="s">
        <v>50</v>
      </c>
      <c r="N453" s="234"/>
      <c r="O453" s="235"/>
      <c r="P453" s="589"/>
      <c r="Q453" s="232"/>
      <c r="R453" s="478"/>
      <c r="S453" s="232"/>
      <c r="T453" s="732"/>
      <c r="U453" s="732"/>
    </row>
    <row r="454" spans="1:21" ht="14.25" hidden="1" customHeight="1">
      <c r="A454" s="225">
        <f>ROW()-1</f>
        <v>453</v>
      </c>
      <c r="B454" s="476">
        <v>46163</v>
      </c>
      <c r="C454" s="238" t="s">
        <v>1275</v>
      </c>
      <c r="D454" s="240" t="s">
        <v>655</v>
      </c>
      <c r="E454" s="236"/>
      <c r="F454" s="236" t="s">
        <v>60</v>
      </c>
      <c r="G454" s="238" t="s">
        <v>180</v>
      </c>
      <c r="H454" s="237"/>
      <c r="I454" s="241"/>
      <c r="J454" s="258" t="s">
        <v>122</v>
      </c>
      <c r="K454" s="238" t="s">
        <v>1510</v>
      </c>
      <c r="L454" s="236" t="s">
        <v>58</v>
      </c>
      <c r="M454" s="236" t="s">
        <v>40</v>
      </c>
      <c r="N454" s="238"/>
      <c r="O454" s="239"/>
      <c r="P454" s="589"/>
      <c r="Q454" s="236"/>
      <c r="R454" s="478"/>
      <c r="S454" s="236"/>
      <c r="T454" s="732"/>
      <c r="U454" s="732"/>
    </row>
    <row r="455" spans="1:21" ht="14.25" hidden="1" customHeight="1">
      <c r="A455" s="225">
        <f>ROW()-1</f>
        <v>454</v>
      </c>
      <c r="B455" s="471">
        <v>46163</v>
      </c>
      <c r="C455" s="234" t="s">
        <v>1511</v>
      </c>
      <c r="D455" s="242" t="s">
        <v>131</v>
      </c>
      <c r="E455" s="232" t="s">
        <v>22</v>
      </c>
      <c r="F455" s="232" t="s">
        <v>59</v>
      </c>
      <c r="G455" s="234" t="s">
        <v>1512</v>
      </c>
      <c r="H455" s="233"/>
      <c r="I455" s="243"/>
      <c r="J455" s="257" t="s">
        <v>66</v>
      </c>
      <c r="K455" s="234"/>
      <c r="L455" s="232" t="s">
        <v>27</v>
      </c>
      <c r="M455" s="232" t="s">
        <v>40</v>
      </c>
      <c r="N455" s="234" t="s">
        <v>1513</v>
      </c>
      <c r="O455" s="235">
        <v>46165</v>
      </c>
      <c r="P455" s="589">
        <v>68520</v>
      </c>
      <c r="Q455" s="232" t="s">
        <v>70</v>
      </c>
      <c r="R455" s="478"/>
      <c r="S455" s="232"/>
      <c r="T455" s="732"/>
      <c r="U455" s="732"/>
    </row>
    <row r="456" spans="1:21" ht="14.25" hidden="1" customHeight="1">
      <c r="A456" s="225">
        <f>ROW()-1</f>
        <v>455</v>
      </c>
      <c r="B456" s="471">
        <v>46164</v>
      </c>
      <c r="C456" s="238" t="s">
        <v>1279</v>
      </c>
      <c r="D456" s="240" t="s">
        <v>586</v>
      </c>
      <c r="E456" s="236" t="s">
        <v>22</v>
      </c>
      <c r="F456" s="236" t="s">
        <v>23</v>
      </c>
      <c r="G456" s="238" t="s">
        <v>1514</v>
      </c>
      <c r="H456" s="237"/>
      <c r="I456" s="603"/>
      <c r="J456" s="258" t="s">
        <v>122</v>
      </c>
      <c r="K456" s="238" t="s">
        <v>1515</v>
      </c>
      <c r="L456" s="236" t="s">
        <v>58</v>
      </c>
      <c r="M456" s="236" t="s">
        <v>50</v>
      </c>
      <c r="N456" s="238"/>
      <c r="O456" s="239"/>
      <c r="P456" s="589"/>
      <c r="Q456" s="236"/>
      <c r="R456" s="478"/>
      <c r="S456" s="236"/>
      <c r="T456" s="732"/>
      <c r="U456" s="732"/>
    </row>
    <row r="457" spans="1:21" ht="14.25" hidden="1" customHeight="1">
      <c r="A457" s="225">
        <f>ROW()-1</f>
        <v>456</v>
      </c>
      <c r="B457" s="471">
        <v>46164</v>
      </c>
      <c r="C457" s="234" t="s">
        <v>1516</v>
      </c>
      <c r="D457" s="242" t="s">
        <v>1517</v>
      </c>
      <c r="E457" s="232" t="s">
        <v>22</v>
      </c>
      <c r="F457" s="232" t="s">
        <v>23</v>
      </c>
      <c r="G457" s="234" t="s">
        <v>1518</v>
      </c>
      <c r="H457" s="233">
        <v>8484939395</v>
      </c>
      <c r="I457" s="243" t="s">
        <v>1519</v>
      </c>
      <c r="J457" s="258" t="s">
        <v>63</v>
      </c>
      <c r="K457" s="234" t="s">
        <v>1516</v>
      </c>
      <c r="L457" s="232" t="s">
        <v>49</v>
      </c>
      <c r="M457" s="232" t="s">
        <v>50</v>
      </c>
      <c r="N457" s="234"/>
      <c r="O457" s="235"/>
      <c r="P457" s="589"/>
      <c r="Q457" s="232"/>
      <c r="R457" s="478"/>
      <c r="S457" s="232"/>
      <c r="T457" s="732"/>
      <c r="U457" s="732"/>
    </row>
    <row r="458" spans="1:21" ht="14.25" hidden="1" customHeight="1">
      <c r="A458" s="225">
        <f>ROW()-1</f>
        <v>457</v>
      </c>
      <c r="B458" s="476">
        <v>46164</v>
      </c>
      <c r="C458" s="238" t="s">
        <v>262</v>
      </c>
      <c r="D458" s="240" t="s">
        <v>131</v>
      </c>
      <c r="E458" s="236" t="s">
        <v>22</v>
      </c>
      <c r="F458" s="236" t="s">
        <v>23</v>
      </c>
      <c r="G458" s="238" t="s">
        <v>1520</v>
      </c>
      <c r="H458" s="237">
        <v>8600120115</v>
      </c>
      <c r="I458" s="255" t="s">
        <v>264</v>
      </c>
      <c r="J458" s="257" t="s">
        <v>66</v>
      </c>
      <c r="K458" s="238" t="s">
        <v>1283</v>
      </c>
      <c r="L458" s="236" t="s">
        <v>27</v>
      </c>
      <c r="M458" s="236" t="s">
        <v>28</v>
      </c>
      <c r="N458" s="238" t="s">
        <v>1521</v>
      </c>
      <c r="O458" s="239">
        <v>46164</v>
      </c>
      <c r="P458" s="589">
        <v>443000</v>
      </c>
      <c r="Q458" s="236" t="s">
        <v>70</v>
      </c>
      <c r="R458" s="478"/>
      <c r="S458" s="236"/>
      <c r="T458" s="732"/>
      <c r="U458" s="732"/>
    </row>
    <row r="459" spans="1:21" ht="14.25" hidden="1" customHeight="1">
      <c r="A459" s="225">
        <f>ROW()-1</f>
        <v>458</v>
      </c>
      <c r="B459" s="471">
        <v>46164</v>
      </c>
      <c r="C459" s="238" t="s">
        <v>1522</v>
      </c>
      <c r="D459" s="240" t="s">
        <v>131</v>
      </c>
      <c r="E459" s="236" t="s">
        <v>22</v>
      </c>
      <c r="F459" s="236" t="s">
        <v>73</v>
      </c>
      <c r="G459" s="238" t="s">
        <v>1523</v>
      </c>
      <c r="H459" s="237"/>
      <c r="I459" s="241"/>
      <c r="J459" s="257" t="s">
        <v>66</v>
      </c>
      <c r="K459" s="238"/>
      <c r="L459" s="236" t="s">
        <v>27</v>
      </c>
      <c r="M459" s="236" t="s">
        <v>28</v>
      </c>
      <c r="N459" s="238" t="s">
        <v>1524</v>
      </c>
      <c r="O459" s="239">
        <v>46173</v>
      </c>
      <c r="P459" s="589">
        <v>2897209.17</v>
      </c>
      <c r="Q459" s="236" t="s">
        <v>70</v>
      </c>
      <c r="R459" s="478"/>
      <c r="S459" s="236"/>
      <c r="T459" s="732"/>
      <c r="U459" s="732"/>
    </row>
    <row r="460" spans="1:21" ht="14.25" hidden="1" customHeight="1">
      <c r="A460" s="225">
        <f>ROW()-1</f>
        <v>459</v>
      </c>
      <c r="B460" s="471">
        <v>46164</v>
      </c>
      <c r="C460" s="234" t="s">
        <v>1525</v>
      </c>
      <c r="D460" s="240" t="s">
        <v>131</v>
      </c>
      <c r="E460" s="232" t="s">
        <v>22</v>
      </c>
      <c r="F460" s="232" t="s">
        <v>23</v>
      </c>
      <c r="G460" s="234" t="s">
        <v>1526</v>
      </c>
      <c r="H460" s="233"/>
      <c r="I460" s="243"/>
      <c r="J460" s="257" t="s">
        <v>25</v>
      </c>
      <c r="K460" s="234"/>
      <c r="L460" s="232" t="s">
        <v>27</v>
      </c>
      <c r="M460" s="232" t="s">
        <v>28</v>
      </c>
      <c r="N460" s="234" t="s">
        <v>1527</v>
      </c>
      <c r="O460" s="235">
        <v>46159</v>
      </c>
      <c r="P460" s="589">
        <v>126000</v>
      </c>
      <c r="Q460" s="232" t="s">
        <v>30</v>
      </c>
      <c r="R460" s="478"/>
      <c r="S460" s="232"/>
      <c r="T460" s="732"/>
      <c r="U460" s="732"/>
    </row>
    <row r="461" spans="1:21" ht="14.25" hidden="1" customHeight="1">
      <c r="A461" s="225">
        <f>ROW()-1</f>
        <v>460</v>
      </c>
      <c r="B461" s="476">
        <v>46164</v>
      </c>
      <c r="C461" s="234" t="s">
        <v>1528</v>
      </c>
      <c r="D461" s="242" t="s">
        <v>1529</v>
      </c>
      <c r="E461" s="232" t="s">
        <v>82</v>
      </c>
      <c r="F461" s="232" t="s">
        <v>73</v>
      </c>
      <c r="G461" s="234" t="s">
        <v>1530</v>
      </c>
      <c r="H461" s="233">
        <v>9444408329</v>
      </c>
      <c r="I461" s="480" t="s">
        <v>139</v>
      </c>
      <c r="J461" s="257" t="s">
        <v>122</v>
      </c>
      <c r="K461" s="234" t="s">
        <v>1528</v>
      </c>
      <c r="L461" s="232" t="s">
        <v>49</v>
      </c>
      <c r="M461" s="232" t="s">
        <v>50</v>
      </c>
      <c r="N461" s="234"/>
      <c r="O461" s="235"/>
      <c r="P461" s="589"/>
      <c r="Q461" s="232"/>
      <c r="R461" s="478"/>
      <c r="S461" s="232"/>
      <c r="T461" s="732"/>
      <c r="U461" s="732"/>
    </row>
    <row r="462" spans="1:21" ht="14.25" hidden="1" customHeight="1">
      <c r="A462" s="225">
        <f>ROW()-1</f>
        <v>461</v>
      </c>
      <c r="B462" s="471">
        <v>46164</v>
      </c>
      <c r="C462" s="234" t="s">
        <v>350</v>
      </c>
      <c r="D462" s="242" t="s">
        <v>131</v>
      </c>
      <c r="E462" s="232" t="s">
        <v>22</v>
      </c>
      <c r="F462" s="232" t="s">
        <v>60</v>
      </c>
      <c r="G462" s="234" t="s">
        <v>1531</v>
      </c>
      <c r="H462" s="233">
        <v>9822577592</v>
      </c>
      <c r="I462" s="243" t="s">
        <v>1532</v>
      </c>
      <c r="J462" s="257" t="s">
        <v>66</v>
      </c>
      <c r="K462" s="234" t="s">
        <v>290</v>
      </c>
      <c r="L462" s="232" t="s">
        <v>27</v>
      </c>
      <c r="M462" s="232" t="s">
        <v>28</v>
      </c>
      <c r="N462" s="234" t="s">
        <v>1291</v>
      </c>
      <c r="O462" s="235">
        <v>46164</v>
      </c>
      <c r="P462" s="589">
        <v>823258</v>
      </c>
      <c r="Q462" s="232" t="s">
        <v>70</v>
      </c>
      <c r="R462" s="478"/>
      <c r="S462" s="232"/>
      <c r="T462" s="732"/>
      <c r="U462" s="732"/>
    </row>
    <row r="463" spans="1:21" ht="14.25" hidden="1" customHeight="1">
      <c r="A463" s="225">
        <f>ROW()-1</f>
        <v>462</v>
      </c>
      <c r="B463" s="476">
        <v>46164</v>
      </c>
      <c r="C463" s="234" t="s">
        <v>726</v>
      </c>
      <c r="D463" s="242" t="s">
        <v>833</v>
      </c>
      <c r="E463" s="232" t="s">
        <v>162</v>
      </c>
      <c r="F463" s="232" t="s">
        <v>73</v>
      </c>
      <c r="G463" s="234" t="s">
        <v>1533</v>
      </c>
      <c r="H463" s="233"/>
      <c r="I463" s="243"/>
      <c r="J463" s="258" t="s">
        <v>122</v>
      </c>
      <c r="K463" s="234" t="s">
        <v>837</v>
      </c>
      <c r="L463" s="232" t="s">
        <v>58</v>
      </c>
      <c r="M463" s="232"/>
      <c r="N463" s="234"/>
      <c r="O463" s="235"/>
      <c r="P463" s="589"/>
      <c r="Q463" s="232"/>
      <c r="R463" s="478"/>
      <c r="S463" s="232"/>
      <c r="T463" s="732"/>
      <c r="U463" s="732"/>
    </row>
    <row r="464" spans="1:21" ht="14.25" hidden="1" customHeight="1">
      <c r="A464" s="225">
        <f>ROW()-1</f>
        <v>463</v>
      </c>
      <c r="B464" s="476">
        <v>46164</v>
      </c>
      <c r="C464" s="234" t="s">
        <v>1534</v>
      </c>
      <c r="D464" s="242"/>
      <c r="E464" s="232"/>
      <c r="F464" s="232" t="s">
        <v>73</v>
      </c>
      <c r="G464" s="234" t="s">
        <v>449</v>
      </c>
      <c r="H464" s="233"/>
      <c r="I464" s="243"/>
      <c r="J464" s="258" t="s">
        <v>122</v>
      </c>
      <c r="K464" s="234" t="s">
        <v>1535</v>
      </c>
      <c r="L464" s="232" t="s">
        <v>58</v>
      </c>
      <c r="M464" s="232" t="s">
        <v>50</v>
      </c>
      <c r="N464" s="234"/>
      <c r="O464" s="235"/>
      <c r="P464" s="589"/>
      <c r="Q464" s="232"/>
      <c r="R464" s="478"/>
      <c r="S464" s="232"/>
      <c r="T464" s="732"/>
      <c r="U464" s="732"/>
    </row>
    <row r="465" spans="1:21" ht="14.25" hidden="1" customHeight="1">
      <c r="A465" s="225">
        <f>ROW()-1</f>
        <v>464</v>
      </c>
      <c r="B465" s="471">
        <v>46164</v>
      </c>
      <c r="C465" s="238" t="s">
        <v>1536</v>
      </c>
      <c r="D465" s="240" t="s">
        <v>1249</v>
      </c>
      <c r="E465" s="236" t="s">
        <v>22</v>
      </c>
      <c r="F465" s="236" t="s">
        <v>60</v>
      </c>
      <c r="G465" s="238" t="s">
        <v>1537</v>
      </c>
      <c r="H465" s="237"/>
      <c r="I465" s="241"/>
      <c r="J465" s="258" t="s">
        <v>122</v>
      </c>
      <c r="K465" s="238" t="s">
        <v>1538</v>
      </c>
      <c r="L465" s="236" t="s">
        <v>58</v>
      </c>
      <c r="M465" s="236" t="s">
        <v>40</v>
      </c>
      <c r="N465" s="238"/>
      <c r="O465" s="239"/>
      <c r="P465" s="589"/>
      <c r="Q465" s="236"/>
      <c r="R465" s="478"/>
      <c r="S465" s="236"/>
      <c r="T465" s="732"/>
      <c r="U465" s="732"/>
    </row>
    <row r="466" spans="1:21" ht="14.25" hidden="1" customHeight="1">
      <c r="A466" s="225">
        <f>ROW()-1</f>
        <v>465</v>
      </c>
      <c r="B466" s="471">
        <v>46164</v>
      </c>
      <c r="C466" s="238" t="s">
        <v>1295</v>
      </c>
      <c r="D466" s="240" t="s">
        <v>810</v>
      </c>
      <c r="E466" s="236"/>
      <c r="F466" s="236" t="s">
        <v>73</v>
      </c>
      <c r="G466" s="238" t="s">
        <v>109</v>
      </c>
      <c r="H466" s="237"/>
      <c r="I466" s="241"/>
      <c r="J466" s="258" t="s">
        <v>122</v>
      </c>
      <c r="K466" s="238" t="s">
        <v>1539</v>
      </c>
      <c r="L466" s="236" t="s">
        <v>58</v>
      </c>
      <c r="M466" s="236" t="s">
        <v>50</v>
      </c>
      <c r="N466" s="238"/>
      <c r="O466" s="239"/>
      <c r="P466" s="589"/>
      <c r="Q466" s="236"/>
      <c r="R466" s="478"/>
      <c r="S466" s="236"/>
      <c r="T466" s="732"/>
      <c r="U466" s="732"/>
    </row>
    <row r="467" spans="1:21" ht="14.25" hidden="1" customHeight="1">
      <c r="A467" s="225">
        <f>ROW()-1</f>
        <v>466</v>
      </c>
      <c r="B467" s="471">
        <v>46164</v>
      </c>
      <c r="C467" s="238" t="s">
        <v>1540</v>
      </c>
      <c r="D467" s="240" t="s">
        <v>1541</v>
      </c>
      <c r="E467" s="236" t="s">
        <v>82</v>
      </c>
      <c r="F467" s="236" t="s">
        <v>83</v>
      </c>
      <c r="G467" s="238" t="s">
        <v>852</v>
      </c>
      <c r="H467" s="237">
        <v>7558160409</v>
      </c>
      <c r="I467" s="241" t="s">
        <v>1542</v>
      </c>
      <c r="J467" s="257" t="s">
        <v>63</v>
      </c>
      <c r="K467" s="238" t="s">
        <v>1543</v>
      </c>
      <c r="L467" s="236" t="s">
        <v>49</v>
      </c>
      <c r="M467" s="236" t="s">
        <v>28</v>
      </c>
      <c r="N467" s="238"/>
      <c r="O467" s="239"/>
      <c r="P467" s="589"/>
      <c r="Q467" s="236"/>
      <c r="R467" s="478"/>
      <c r="S467" s="236"/>
      <c r="T467" s="732"/>
      <c r="U467" s="732"/>
    </row>
    <row r="468" spans="1:21" ht="14.25" hidden="1" customHeight="1">
      <c r="A468" s="225">
        <f>ROW()-1</f>
        <v>467</v>
      </c>
      <c r="B468" s="471">
        <v>46164</v>
      </c>
      <c r="C468" s="238" t="s">
        <v>1544</v>
      </c>
      <c r="D468" s="240" t="s">
        <v>131</v>
      </c>
      <c r="E468" s="236" t="s">
        <v>22</v>
      </c>
      <c r="F468" s="236" t="s">
        <v>73</v>
      </c>
      <c r="G468" s="238" t="s">
        <v>1545</v>
      </c>
      <c r="H468" s="237"/>
      <c r="I468" s="241"/>
      <c r="J468" s="257" t="s">
        <v>66</v>
      </c>
      <c r="K468" s="238"/>
      <c r="L468" s="236" t="s">
        <v>27</v>
      </c>
      <c r="M468" s="236" t="s">
        <v>28</v>
      </c>
      <c r="N468" s="238" t="s">
        <v>1301</v>
      </c>
      <c r="O468" s="239">
        <v>46164</v>
      </c>
      <c r="P468" s="589">
        <v>2530000</v>
      </c>
      <c r="Q468" s="236" t="s">
        <v>292</v>
      </c>
      <c r="R468" s="478"/>
      <c r="S468" s="236"/>
      <c r="T468" s="732"/>
      <c r="U468" s="732"/>
    </row>
    <row r="469" spans="1:21" ht="14.25" hidden="1" customHeight="1">
      <c r="A469" s="225">
        <f>ROW()-1</f>
        <v>468</v>
      </c>
      <c r="B469" s="471">
        <v>46164</v>
      </c>
      <c r="C469" s="523" t="s">
        <v>1546</v>
      </c>
      <c r="D469" s="240"/>
      <c r="E469" s="236"/>
      <c r="F469" s="236" t="s">
        <v>59</v>
      </c>
      <c r="G469" s="238"/>
      <c r="H469" s="237"/>
      <c r="I469" s="243"/>
      <c r="J469" s="257"/>
      <c r="K469" s="238"/>
      <c r="L469" s="236" t="s">
        <v>117</v>
      </c>
      <c r="M469" s="236"/>
      <c r="N469" s="238">
        <v>166</v>
      </c>
      <c r="O469" s="239"/>
      <c r="P469" s="589"/>
      <c r="Q469" s="236"/>
      <c r="R469" s="236"/>
      <c r="S469" s="236"/>
      <c r="T469" s="732"/>
      <c r="U469" s="732"/>
    </row>
    <row r="470" spans="1:21" ht="14.25" hidden="1" customHeight="1">
      <c r="A470" s="225">
        <f>ROW()-1</f>
        <v>469</v>
      </c>
      <c r="B470" s="476">
        <v>46164</v>
      </c>
      <c r="C470" s="234" t="s">
        <v>1547</v>
      </c>
      <c r="D470" s="242" t="s">
        <v>131</v>
      </c>
      <c r="E470" s="232" t="s">
        <v>22</v>
      </c>
      <c r="F470" s="232" t="s">
        <v>23</v>
      </c>
      <c r="G470" s="234" t="s">
        <v>1548</v>
      </c>
      <c r="H470" s="233"/>
      <c r="I470" s="243"/>
      <c r="J470" s="257" t="s">
        <v>66</v>
      </c>
      <c r="K470" s="234"/>
      <c r="L470" s="232" t="s">
        <v>27</v>
      </c>
      <c r="M470" s="232" t="s">
        <v>28</v>
      </c>
      <c r="N470" s="234" t="s">
        <v>1549</v>
      </c>
      <c r="O470" s="235">
        <v>46164</v>
      </c>
      <c r="P470" s="589">
        <v>235000</v>
      </c>
      <c r="Q470" s="232" t="s">
        <v>70</v>
      </c>
      <c r="R470" s="478"/>
      <c r="S470" s="232"/>
      <c r="T470" s="732"/>
      <c r="U470" s="732"/>
    </row>
    <row r="471" spans="1:21" ht="14.25" hidden="1" customHeight="1">
      <c r="A471" s="225">
        <f>ROW()-1</f>
        <v>470</v>
      </c>
      <c r="B471" s="471">
        <v>46165</v>
      </c>
      <c r="C471" s="238" t="s">
        <v>748</v>
      </c>
      <c r="D471" s="240" t="s">
        <v>749</v>
      </c>
      <c r="E471" s="236" t="s">
        <v>214</v>
      </c>
      <c r="F471" s="236" t="s">
        <v>83</v>
      </c>
      <c r="G471" s="238" t="s">
        <v>559</v>
      </c>
      <c r="H471" s="237">
        <v>7774006685</v>
      </c>
      <c r="I471" s="241" t="s">
        <v>1550</v>
      </c>
      <c r="J471" s="258" t="s">
        <v>122</v>
      </c>
      <c r="K471" s="238" t="s">
        <v>750</v>
      </c>
      <c r="L471" s="236" t="s">
        <v>49</v>
      </c>
      <c r="M471" s="236" t="s">
        <v>28</v>
      </c>
      <c r="N471" s="238"/>
      <c r="O471" s="239"/>
      <c r="P471" s="589"/>
      <c r="Q471" s="236"/>
      <c r="R471" s="478"/>
      <c r="S471" s="236"/>
      <c r="T471" s="732"/>
      <c r="U471" s="732"/>
    </row>
    <row r="472" spans="1:21" ht="14.25" hidden="1" customHeight="1">
      <c r="A472" s="225">
        <f>ROW()-1</f>
        <v>471</v>
      </c>
      <c r="B472" s="471">
        <v>46165</v>
      </c>
      <c r="C472" s="238" t="s">
        <v>1551</v>
      </c>
      <c r="D472" s="240" t="s">
        <v>131</v>
      </c>
      <c r="E472" s="236" t="s">
        <v>22</v>
      </c>
      <c r="F472" s="236" t="s">
        <v>60</v>
      </c>
      <c r="G472" s="523" t="s">
        <v>1552</v>
      </c>
      <c r="H472" s="237"/>
      <c r="I472" s="526" t="s">
        <v>1553</v>
      </c>
      <c r="J472" s="257" t="s">
        <v>66</v>
      </c>
      <c r="K472" s="238" t="s">
        <v>1554</v>
      </c>
      <c r="L472" s="236" t="s">
        <v>27</v>
      </c>
      <c r="M472" s="236" t="s">
        <v>40</v>
      </c>
      <c r="N472" s="238" t="s">
        <v>1308</v>
      </c>
      <c r="O472" s="239">
        <v>46165</v>
      </c>
      <c r="P472" s="589">
        <v>264444</v>
      </c>
      <c r="Q472" s="236" t="s">
        <v>70</v>
      </c>
      <c r="R472" s="478"/>
      <c r="S472" s="236"/>
      <c r="T472" s="732"/>
      <c r="U472" s="732"/>
    </row>
    <row r="473" spans="1:21" ht="14.25" hidden="1" customHeight="1">
      <c r="A473" s="225">
        <f>ROW()-1</f>
        <v>472</v>
      </c>
      <c r="B473" s="471">
        <v>46165</v>
      </c>
      <c r="C473" s="238" t="s">
        <v>20</v>
      </c>
      <c r="D473" s="240" t="s">
        <v>131</v>
      </c>
      <c r="E473" s="236" t="s">
        <v>22</v>
      </c>
      <c r="F473" s="236" t="s">
        <v>32</v>
      </c>
      <c r="G473" s="238" t="s">
        <v>1555</v>
      </c>
      <c r="H473" s="237">
        <v>7742081777</v>
      </c>
      <c r="I473" s="524" t="s">
        <v>1556</v>
      </c>
      <c r="J473" s="267" t="s">
        <v>86</v>
      </c>
      <c r="K473" s="238" t="s">
        <v>1557</v>
      </c>
      <c r="L473" s="236" t="s">
        <v>27</v>
      </c>
      <c r="M473" s="236" t="s">
        <v>28</v>
      </c>
      <c r="N473" s="238" t="s">
        <v>1310</v>
      </c>
      <c r="O473" s="239">
        <v>46165</v>
      </c>
      <c r="P473" s="589">
        <v>5007251</v>
      </c>
      <c r="Q473" s="236" t="s">
        <v>70</v>
      </c>
      <c r="R473" s="478"/>
      <c r="S473" s="236"/>
      <c r="T473" s="732"/>
      <c r="U473" s="732"/>
    </row>
    <row r="474" spans="1:21" ht="14.25" hidden="1" customHeight="1">
      <c r="A474" s="225">
        <f>ROW()-1</f>
        <v>473</v>
      </c>
      <c r="B474" s="471">
        <v>46165</v>
      </c>
      <c r="C474" s="238" t="s">
        <v>20</v>
      </c>
      <c r="D474" s="240" t="s">
        <v>131</v>
      </c>
      <c r="E474" s="236" t="s">
        <v>22</v>
      </c>
      <c r="F474" s="236" t="s">
        <v>73</v>
      </c>
      <c r="G474" s="240" t="s">
        <v>1558</v>
      </c>
      <c r="H474" s="237">
        <v>7742081777</v>
      </c>
      <c r="I474" s="525" t="s">
        <v>1556</v>
      </c>
      <c r="J474" s="267" t="s">
        <v>86</v>
      </c>
      <c r="K474" s="238" t="s">
        <v>1559</v>
      </c>
      <c r="L474" s="236" t="s">
        <v>27</v>
      </c>
      <c r="M474" s="236" t="s">
        <v>28</v>
      </c>
      <c r="N474" s="238" t="s">
        <v>1560</v>
      </c>
      <c r="O474" s="239">
        <v>46168</v>
      </c>
      <c r="P474" s="589">
        <v>970000</v>
      </c>
      <c r="Q474" s="236" t="s">
        <v>70</v>
      </c>
      <c r="R474" s="478"/>
      <c r="S474" s="236"/>
      <c r="T474" s="732"/>
      <c r="U474" s="732"/>
    </row>
    <row r="475" spans="1:21" ht="14.25" hidden="1" customHeight="1">
      <c r="A475" s="225">
        <f>ROW()-1</f>
        <v>474</v>
      </c>
      <c r="B475" s="476">
        <v>46165</v>
      </c>
      <c r="C475" s="238" t="s">
        <v>20</v>
      </c>
      <c r="D475" s="240" t="s">
        <v>131</v>
      </c>
      <c r="E475" s="236" t="s">
        <v>22</v>
      </c>
      <c r="F475" s="236" t="s">
        <v>1561</v>
      </c>
      <c r="G475" s="238" t="s">
        <v>1562</v>
      </c>
      <c r="H475" s="237"/>
      <c r="I475" s="241"/>
      <c r="J475" s="261" t="s">
        <v>66</v>
      </c>
      <c r="K475" s="238"/>
      <c r="L475" s="236" t="s">
        <v>27</v>
      </c>
      <c r="M475" s="236" t="s">
        <v>28</v>
      </c>
      <c r="N475" s="238"/>
      <c r="O475" s="239"/>
      <c r="P475" s="589"/>
      <c r="Q475" s="236" t="s">
        <v>70</v>
      </c>
      <c r="R475" s="478"/>
      <c r="S475" s="236"/>
      <c r="T475" s="732"/>
      <c r="U475" s="732"/>
    </row>
    <row r="476" spans="1:21" ht="14.25" hidden="1" customHeight="1">
      <c r="A476" s="225">
        <f>ROW()-1</f>
        <v>475</v>
      </c>
      <c r="B476" s="471">
        <v>46165</v>
      </c>
      <c r="C476" s="238" t="s">
        <v>20</v>
      </c>
      <c r="D476" s="242" t="s">
        <v>131</v>
      </c>
      <c r="E476" s="232" t="s">
        <v>22</v>
      </c>
      <c r="F476" s="232" t="s">
        <v>73</v>
      </c>
      <c r="G476" s="234" t="s">
        <v>1563</v>
      </c>
      <c r="H476" s="233"/>
      <c r="I476" s="243"/>
      <c r="J476" s="261" t="s">
        <v>66</v>
      </c>
      <c r="K476" s="234"/>
      <c r="L476" s="232" t="s">
        <v>27</v>
      </c>
      <c r="M476" s="232" t="s">
        <v>28</v>
      </c>
      <c r="N476" s="234"/>
      <c r="O476" s="235"/>
      <c r="P476" s="589"/>
      <c r="Q476" s="232" t="s">
        <v>70</v>
      </c>
      <c r="R476" s="478"/>
      <c r="S476" s="232"/>
      <c r="T476" s="732"/>
      <c r="U476" s="732"/>
    </row>
    <row r="477" spans="1:21" ht="21" hidden="1" customHeight="1">
      <c r="A477" s="225">
        <f>ROW()-1</f>
        <v>476</v>
      </c>
      <c r="B477" s="471">
        <v>46165</v>
      </c>
      <c r="C477" s="238" t="s">
        <v>1313</v>
      </c>
      <c r="D477" s="240" t="s">
        <v>1564</v>
      </c>
      <c r="E477" s="236" t="s">
        <v>126</v>
      </c>
      <c r="F477" s="236" t="s">
        <v>44</v>
      </c>
      <c r="G477" s="238" t="s">
        <v>1565</v>
      </c>
      <c r="H477" s="237">
        <v>8930111540</v>
      </c>
      <c r="I477" s="527" t="s">
        <v>1566</v>
      </c>
      <c r="J477" s="257" t="s">
        <v>47</v>
      </c>
      <c r="K477" s="238" t="s">
        <v>1567</v>
      </c>
      <c r="L477" s="236" t="s">
        <v>49</v>
      </c>
      <c r="M477" s="236" t="s">
        <v>50</v>
      </c>
      <c r="N477" s="238"/>
      <c r="O477" s="239"/>
      <c r="P477" s="589"/>
      <c r="Q477" s="236"/>
      <c r="R477" s="478"/>
      <c r="S477" s="236"/>
      <c r="T477" s="732"/>
      <c r="U477" s="732"/>
    </row>
    <row r="478" spans="1:21" ht="15" hidden="1" customHeight="1">
      <c r="A478" s="225">
        <f>ROW()-1</f>
        <v>477</v>
      </c>
      <c r="B478" s="471">
        <v>46165</v>
      </c>
      <c r="C478" s="238" t="s">
        <v>1568</v>
      </c>
      <c r="D478" s="240" t="s">
        <v>131</v>
      </c>
      <c r="E478" s="236" t="s">
        <v>22</v>
      </c>
      <c r="F478" s="236" t="s">
        <v>59</v>
      </c>
      <c r="G478" s="238" t="s">
        <v>1569</v>
      </c>
      <c r="H478" s="237">
        <v>8349101121</v>
      </c>
      <c r="I478" s="255" t="s">
        <v>1318</v>
      </c>
      <c r="J478" s="257" t="s">
        <v>66</v>
      </c>
      <c r="K478" s="238" t="s">
        <v>1570</v>
      </c>
      <c r="L478" s="236" t="s">
        <v>27</v>
      </c>
      <c r="M478" s="236" t="s">
        <v>40</v>
      </c>
      <c r="N478" s="238" t="s">
        <v>1571</v>
      </c>
      <c r="O478" s="239">
        <v>46165</v>
      </c>
      <c r="P478" s="589">
        <v>3025000</v>
      </c>
      <c r="Q478" s="236" t="s">
        <v>70</v>
      </c>
      <c r="R478" s="478"/>
      <c r="S478" s="236"/>
      <c r="T478" s="732"/>
      <c r="U478" s="732"/>
    </row>
    <row r="479" spans="1:21" ht="14.25" hidden="1" customHeight="1">
      <c r="A479" s="225">
        <f>ROW()-1</f>
        <v>478</v>
      </c>
      <c r="B479" s="471">
        <v>46165</v>
      </c>
      <c r="C479" s="234" t="s">
        <v>1572</v>
      </c>
      <c r="D479" s="242" t="s">
        <v>1573</v>
      </c>
      <c r="E479" s="232" t="s">
        <v>193</v>
      </c>
      <c r="F479" s="232" t="s">
        <v>83</v>
      </c>
      <c r="G479" s="234" t="s">
        <v>1574</v>
      </c>
      <c r="H479" s="233">
        <v>8078658517</v>
      </c>
      <c r="I479" s="480" t="s">
        <v>139</v>
      </c>
      <c r="J479" s="257" t="s">
        <v>122</v>
      </c>
      <c r="K479" s="234" t="s">
        <v>1322</v>
      </c>
      <c r="L479" s="232" t="s">
        <v>49</v>
      </c>
      <c r="M479" s="232" t="s">
        <v>28</v>
      </c>
      <c r="N479" s="234"/>
      <c r="O479" s="235"/>
      <c r="P479" s="589"/>
      <c r="Q479" s="232"/>
      <c r="R479" s="478"/>
      <c r="S479" s="232"/>
      <c r="T479" s="732"/>
      <c r="U479" s="732"/>
    </row>
    <row r="480" spans="1:21" ht="14.25" hidden="1" customHeight="1">
      <c r="A480" s="225">
        <f>ROW()-1</f>
        <v>479</v>
      </c>
      <c r="B480" s="471">
        <v>46165</v>
      </c>
      <c r="C480" s="234" t="s">
        <v>1575</v>
      </c>
      <c r="D480" s="242" t="s">
        <v>131</v>
      </c>
      <c r="E480" s="232" t="s">
        <v>22</v>
      </c>
      <c r="F480" s="232" t="s">
        <v>23</v>
      </c>
      <c r="G480" s="234" t="s">
        <v>23</v>
      </c>
      <c r="H480" s="233"/>
      <c r="I480" s="243"/>
      <c r="J480" s="257" t="s">
        <v>66</v>
      </c>
      <c r="K480" s="234" t="s">
        <v>1576</v>
      </c>
      <c r="L480" s="232" t="s">
        <v>27</v>
      </c>
      <c r="M480" s="232" t="s">
        <v>40</v>
      </c>
      <c r="N480" s="234" t="s">
        <v>1577</v>
      </c>
      <c r="O480" s="235">
        <v>46165</v>
      </c>
      <c r="P480" s="589">
        <v>805000</v>
      </c>
      <c r="Q480" s="232" t="s">
        <v>70</v>
      </c>
      <c r="R480" s="478"/>
      <c r="S480" s="232"/>
      <c r="T480" s="732"/>
      <c r="U480" s="732"/>
    </row>
    <row r="481" spans="1:21" ht="14.25" hidden="1" customHeight="1">
      <c r="A481" s="225">
        <f>ROW()-1</f>
        <v>480</v>
      </c>
      <c r="B481" s="476">
        <v>46165</v>
      </c>
      <c r="C481" s="238" t="s">
        <v>1578</v>
      </c>
      <c r="D481" s="240" t="s">
        <v>623</v>
      </c>
      <c r="E481" s="236" t="s">
        <v>22</v>
      </c>
      <c r="F481" s="236" t="s">
        <v>59</v>
      </c>
      <c r="G481" s="238" t="s">
        <v>1579</v>
      </c>
      <c r="H481" s="237"/>
      <c r="I481" s="241"/>
      <c r="J481" s="258" t="s">
        <v>122</v>
      </c>
      <c r="K481" s="238" t="s">
        <v>1327</v>
      </c>
      <c r="L481" s="236" t="s">
        <v>58</v>
      </c>
      <c r="M481" s="236" t="s">
        <v>50</v>
      </c>
      <c r="N481" s="238"/>
      <c r="O481" s="239"/>
      <c r="P481" s="589"/>
      <c r="Q481" s="236"/>
      <c r="R481" s="478"/>
      <c r="S481" s="236"/>
      <c r="T481" s="732"/>
      <c r="U481" s="732"/>
    </row>
    <row r="482" spans="1:21" ht="14.25" hidden="1" customHeight="1">
      <c r="A482" s="225">
        <f>ROW()-1</f>
        <v>481</v>
      </c>
      <c r="B482" s="476">
        <v>46165</v>
      </c>
      <c r="C482" s="234" t="s">
        <v>1580</v>
      </c>
      <c r="D482" s="242" t="s">
        <v>1581</v>
      </c>
      <c r="E482" s="232" t="s">
        <v>22</v>
      </c>
      <c r="F482" s="232" t="s">
        <v>23</v>
      </c>
      <c r="G482" s="234" t="s">
        <v>1330</v>
      </c>
      <c r="H482" s="233">
        <v>9637941841</v>
      </c>
      <c r="I482" s="243" t="s">
        <v>1582</v>
      </c>
      <c r="J482" s="257" t="s">
        <v>66</v>
      </c>
      <c r="K482" s="234" t="s">
        <v>1583</v>
      </c>
      <c r="L482" s="232" t="s">
        <v>49</v>
      </c>
      <c r="M482" s="232" t="s">
        <v>50</v>
      </c>
      <c r="N482" s="234"/>
      <c r="O482" s="235"/>
      <c r="P482" s="589"/>
      <c r="Q482" s="232"/>
      <c r="R482" s="478"/>
      <c r="S482" s="232"/>
      <c r="T482" s="732"/>
      <c r="U482" s="732"/>
    </row>
    <row r="483" spans="1:21" ht="14.25" hidden="1" customHeight="1">
      <c r="A483" s="225">
        <f>ROW()-1</f>
        <v>482</v>
      </c>
      <c r="B483" s="476">
        <v>46165</v>
      </c>
      <c r="C483" s="234" t="s">
        <v>1584</v>
      </c>
      <c r="D483" s="242" t="s">
        <v>1334</v>
      </c>
      <c r="E483" s="232" t="s">
        <v>272</v>
      </c>
      <c r="F483" s="232" t="s">
        <v>73</v>
      </c>
      <c r="G483" s="234" t="s">
        <v>132</v>
      </c>
      <c r="H483" s="233"/>
      <c r="I483" s="243"/>
      <c r="J483" s="258" t="s">
        <v>122</v>
      </c>
      <c r="K483" s="234" t="s">
        <v>1584</v>
      </c>
      <c r="L483" s="232" t="s">
        <v>58</v>
      </c>
      <c r="M483" s="232" t="s">
        <v>50</v>
      </c>
      <c r="N483" s="234"/>
      <c r="O483" s="235"/>
      <c r="P483" s="589"/>
      <c r="Q483" s="232"/>
      <c r="R483" s="478"/>
      <c r="S483" s="232"/>
      <c r="T483" s="732"/>
      <c r="U483" s="732"/>
    </row>
    <row r="484" spans="1:21" ht="14.25" hidden="1" customHeight="1">
      <c r="A484" s="225">
        <f>ROW()-1</f>
        <v>483</v>
      </c>
      <c r="B484" s="471">
        <v>46165</v>
      </c>
      <c r="C484" s="238" t="s">
        <v>1585</v>
      </c>
      <c r="D484" s="240" t="s">
        <v>131</v>
      </c>
      <c r="E484" s="236" t="s">
        <v>22</v>
      </c>
      <c r="F484" s="236" t="s">
        <v>59</v>
      </c>
      <c r="G484" s="240" t="s">
        <v>1586</v>
      </c>
      <c r="H484" s="237">
        <v>9130052171</v>
      </c>
      <c r="I484" s="681" t="s">
        <v>1587</v>
      </c>
      <c r="J484" s="257" t="s">
        <v>66</v>
      </c>
      <c r="K484" s="238" t="s">
        <v>1337</v>
      </c>
      <c r="L484" s="236" t="s">
        <v>117</v>
      </c>
      <c r="M484" s="236" t="s">
        <v>28</v>
      </c>
      <c r="N484" s="238" t="s">
        <v>1588</v>
      </c>
      <c r="O484" s="239">
        <v>46165</v>
      </c>
      <c r="P484" s="589">
        <v>16055</v>
      </c>
      <c r="Q484" s="236" t="s">
        <v>70</v>
      </c>
      <c r="R484" s="478"/>
      <c r="S484" s="236"/>
      <c r="T484" s="732"/>
      <c r="U484" s="732"/>
    </row>
    <row r="485" spans="1:21" ht="14.25" hidden="1" customHeight="1">
      <c r="A485" s="225">
        <f>ROW()-1</f>
        <v>484</v>
      </c>
      <c r="B485" s="471">
        <v>46166</v>
      </c>
      <c r="C485" s="232" t="s">
        <v>1339</v>
      </c>
      <c r="D485" s="232" t="s">
        <v>749</v>
      </c>
      <c r="E485" s="232" t="s">
        <v>214</v>
      </c>
      <c r="F485" s="232" t="s">
        <v>23</v>
      </c>
      <c r="G485" s="232" t="s">
        <v>188</v>
      </c>
      <c r="H485" s="233">
        <v>9391439367</v>
      </c>
      <c r="I485" s="232"/>
      <c r="J485" s="258" t="s">
        <v>567</v>
      </c>
      <c r="K485" s="232" t="s">
        <v>1589</v>
      </c>
      <c r="L485" s="232" t="s">
        <v>58</v>
      </c>
      <c r="M485" s="232" t="s">
        <v>50</v>
      </c>
      <c r="N485" s="234"/>
      <c r="O485" s="235"/>
      <c r="P485" s="589"/>
      <c r="Q485" s="232"/>
      <c r="R485" s="478"/>
      <c r="S485" s="232"/>
      <c r="T485" s="732"/>
      <c r="U485" s="732"/>
    </row>
    <row r="486" spans="1:21" ht="14.25" hidden="1" customHeight="1">
      <c r="A486" s="225">
        <f>ROW()-1</f>
        <v>485</v>
      </c>
      <c r="B486" s="476">
        <v>46166</v>
      </c>
      <c r="C486" s="238" t="s">
        <v>1340</v>
      </c>
      <c r="D486" s="240" t="s">
        <v>475</v>
      </c>
      <c r="E486" s="236" t="s">
        <v>22</v>
      </c>
      <c r="F486" s="236" t="s">
        <v>73</v>
      </c>
      <c r="G486" s="238" t="s">
        <v>747</v>
      </c>
      <c r="H486" s="237">
        <v>9763045666</v>
      </c>
      <c r="I486" s="241" t="s">
        <v>1590</v>
      </c>
      <c r="J486" s="258" t="s">
        <v>567</v>
      </c>
      <c r="K486" s="238" t="s">
        <v>1591</v>
      </c>
      <c r="L486" s="236" t="s">
        <v>49</v>
      </c>
      <c r="M486" s="236" t="s">
        <v>50</v>
      </c>
      <c r="N486" s="238"/>
      <c r="O486" s="239"/>
      <c r="P486" s="589"/>
      <c r="Q486" s="236"/>
      <c r="R486" s="478"/>
      <c r="S486" s="236"/>
      <c r="T486" s="732"/>
      <c r="U486" s="732"/>
    </row>
    <row r="487" spans="1:21" ht="14.25" hidden="1" customHeight="1">
      <c r="A487" s="225">
        <f>ROW()-1</f>
        <v>486</v>
      </c>
      <c r="B487" s="471">
        <v>46167</v>
      </c>
      <c r="C487" s="238" t="s">
        <v>1343</v>
      </c>
      <c r="D487" s="240" t="s">
        <v>21</v>
      </c>
      <c r="E487" s="236" t="s">
        <v>22</v>
      </c>
      <c r="F487" s="236" t="s">
        <v>23</v>
      </c>
      <c r="G487" s="238" t="s">
        <v>1592</v>
      </c>
      <c r="H487" s="465">
        <v>9579354279</v>
      </c>
      <c r="I487" s="682" t="s">
        <v>1593</v>
      </c>
      <c r="J487" s="257" t="s">
        <v>66</v>
      </c>
      <c r="K487" s="549" t="s">
        <v>1594</v>
      </c>
      <c r="L487" s="236" t="s">
        <v>27</v>
      </c>
      <c r="M487" s="236" t="s">
        <v>28</v>
      </c>
      <c r="N487" s="238" t="s">
        <v>1595</v>
      </c>
      <c r="O487" s="239">
        <v>46202</v>
      </c>
      <c r="P487" s="589">
        <v>2238545</v>
      </c>
      <c r="Q487" s="236" t="s">
        <v>70</v>
      </c>
      <c r="R487" s="478"/>
      <c r="S487" s="236"/>
      <c r="T487" s="732"/>
      <c r="U487" s="732"/>
    </row>
    <row r="488" spans="1:21" ht="14.25" hidden="1" customHeight="1">
      <c r="A488" s="225">
        <f>ROW()-1</f>
        <v>487</v>
      </c>
      <c r="B488" s="476">
        <v>46167</v>
      </c>
      <c r="C488" s="238" t="s">
        <v>1346</v>
      </c>
      <c r="D488" s="240" t="s">
        <v>1596</v>
      </c>
      <c r="E488" s="236" t="s">
        <v>22</v>
      </c>
      <c r="F488" s="236" t="s">
        <v>73</v>
      </c>
      <c r="G488" s="238" t="s">
        <v>1597</v>
      </c>
      <c r="H488" s="237">
        <v>7391079106</v>
      </c>
      <c r="I488" s="528" t="s">
        <v>1598</v>
      </c>
      <c r="J488" s="257" t="s">
        <v>66</v>
      </c>
      <c r="K488" s="238" t="s">
        <v>1348</v>
      </c>
      <c r="L488" s="236" t="s">
        <v>27</v>
      </c>
      <c r="M488" s="236" t="s">
        <v>28</v>
      </c>
      <c r="N488" s="238" t="s">
        <v>1599</v>
      </c>
      <c r="O488" s="239">
        <v>46171</v>
      </c>
      <c r="P488" s="589"/>
      <c r="Q488" s="236"/>
      <c r="R488" s="478"/>
      <c r="S488" s="236"/>
      <c r="T488" s="732"/>
      <c r="U488" s="732"/>
    </row>
    <row r="489" spans="1:21" ht="14.25" hidden="1" customHeight="1">
      <c r="A489" s="225">
        <f>ROW()-1</f>
        <v>488</v>
      </c>
      <c r="B489" s="471">
        <v>46167</v>
      </c>
      <c r="C489" s="238" t="s">
        <v>1600</v>
      </c>
      <c r="D489" s="240" t="s">
        <v>108</v>
      </c>
      <c r="E489" s="236" t="s">
        <v>595</v>
      </c>
      <c r="F489" s="236" t="s">
        <v>44</v>
      </c>
      <c r="G489" s="238" t="s">
        <v>44</v>
      </c>
      <c r="H489" s="237">
        <v>7044926799</v>
      </c>
      <c r="I489" s="241" t="s">
        <v>1601</v>
      </c>
      <c r="J489" s="257" t="s">
        <v>122</v>
      </c>
      <c r="K489" s="238" t="s">
        <v>1602</v>
      </c>
      <c r="L489" s="236" t="s">
        <v>49</v>
      </c>
      <c r="M489" s="236" t="s">
        <v>50</v>
      </c>
      <c r="N489" s="238"/>
      <c r="O489" s="239"/>
      <c r="P489" s="589"/>
      <c r="Q489" s="236"/>
      <c r="R489" s="478"/>
      <c r="S489" s="236"/>
      <c r="T489" s="732"/>
      <c r="U489" s="732"/>
    </row>
    <row r="490" spans="1:21" ht="14.25" hidden="1" customHeight="1">
      <c r="A490" s="225">
        <f>ROW()-1</f>
        <v>489</v>
      </c>
      <c r="B490" s="471">
        <v>46167</v>
      </c>
      <c r="C490" s="234" t="s">
        <v>1603</v>
      </c>
      <c r="D490" s="242" t="s">
        <v>1604</v>
      </c>
      <c r="E490" s="232" t="s">
        <v>22</v>
      </c>
      <c r="F490" s="232" t="s">
        <v>73</v>
      </c>
      <c r="G490" s="234" t="s">
        <v>1605</v>
      </c>
      <c r="H490" s="233">
        <v>9004671762</v>
      </c>
      <c r="I490" s="522" t="s">
        <v>1606</v>
      </c>
      <c r="J490" s="257" t="s">
        <v>1113</v>
      </c>
      <c r="K490" s="234" t="s">
        <v>1607</v>
      </c>
      <c r="L490" s="232" t="s">
        <v>49</v>
      </c>
      <c r="M490" s="232" t="s">
        <v>50</v>
      </c>
      <c r="N490" s="234"/>
      <c r="O490" s="235"/>
      <c r="P490" s="589"/>
      <c r="Q490" s="232"/>
      <c r="R490" s="478"/>
      <c r="S490" s="232"/>
      <c r="T490" s="732"/>
      <c r="U490" s="732"/>
    </row>
    <row r="491" spans="1:21" ht="14.25" hidden="1" customHeight="1">
      <c r="A491" s="225">
        <f>ROW()-1</f>
        <v>490</v>
      </c>
      <c r="B491" s="471">
        <v>46167</v>
      </c>
      <c r="C491" s="234" t="s">
        <v>1608</v>
      </c>
      <c r="D491" s="242" t="s">
        <v>89</v>
      </c>
      <c r="E491" s="232" t="s">
        <v>22</v>
      </c>
      <c r="F491" s="232" t="s">
        <v>23</v>
      </c>
      <c r="G491" s="234" t="s">
        <v>1609</v>
      </c>
      <c r="H491" s="233">
        <v>8422938153</v>
      </c>
      <c r="I491" s="480" t="s">
        <v>139</v>
      </c>
      <c r="J491" s="258" t="s">
        <v>171</v>
      </c>
      <c r="K491" s="234" t="s">
        <v>139</v>
      </c>
      <c r="L491" s="232" t="s">
        <v>49</v>
      </c>
      <c r="M491" s="232" t="s">
        <v>50</v>
      </c>
      <c r="N491" s="234"/>
      <c r="O491" s="235"/>
      <c r="P491" s="589"/>
      <c r="Q491" s="232"/>
      <c r="R491" s="478"/>
      <c r="S491" s="232"/>
      <c r="T491" s="732"/>
      <c r="U491" s="732"/>
    </row>
    <row r="492" spans="1:21" ht="14.25" hidden="1" customHeight="1">
      <c r="A492" s="225">
        <f>ROW()-1</f>
        <v>491</v>
      </c>
      <c r="B492" s="476">
        <v>46168</v>
      </c>
      <c r="C492" s="232" t="s">
        <v>1610</v>
      </c>
      <c r="D492" s="232" t="s">
        <v>1611</v>
      </c>
      <c r="E492" s="232" t="s">
        <v>595</v>
      </c>
      <c r="F492" s="232" t="s">
        <v>60</v>
      </c>
      <c r="G492" s="232" t="s">
        <v>1612</v>
      </c>
      <c r="H492" s="233">
        <v>7012977134</v>
      </c>
      <c r="I492" s="232"/>
      <c r="J492" s="258" t="s">
        <v>122</v>
      </c>
      <c r="K492" s="232" t="s">
        <v>1610</v>
      </c>
      <c r="L492" s="232" t="s">
        <v>58</v>
      </c>
      <c r="M492" s="236" t="s">
        <v>40</v>
      </c>
      <c r="N492" s="234"/>
      <c r="O492" s="235"/>
      <c r="P492" s="589"/>
      <c r="Q492" s="232"/>
      <c r="R492" s="478"/>
      <c r="S492" s="232"/>
      <c r="T492" s="732"/>
      <c r="U492" s="732"/>
    </row>
    <row r="493" spans="1:21" ht="14.25" hidden="1" customHeight="1">
      <c r="A493" s="225">
        <f>ROW()-1</f>
        <v>492</v>
      </c>
      <c r="B493" s="471">
        <v>46168</v>
      </c>
      <c r="C493" s="234" t="s">
        <v>1613</v>
      </c>
      <c r="D493" s="242" t="s">
        <v>362</v>
      </c>
      <c r="E493" s="232" t="s">
        <v>143</v>
      </c>
      <c r="F493" s="232" t="s">
        <v>23</v>
      </c>
      <c r="G493" s="234" t="s">
        <v>188</v>
      </c>
      <c r="H493" s="233">
        <v>8700361920</v>
      </c>
      <c r="I493" s="565" t="s">
        <v>1614</v>
      </c>
      <c r="J493" s="257" t="s">
        <v>122</v>
      </c>
      <c r="K493" s="560" t="s">
        <v>1615</v>
      </c>
      <c r="L493" s="232" t="s">
        <v>49</v>
      </c>
      <c r="M493" s="232" t="s">
        <v>50</v>
      </c>
      <c r="N493" s="234"/>
      <c r="O493" s="235"/>
      <c r="P493" s="589"/>
      <c r="Q493" s="232"/>
      <c r="R493" s="478"/>
      <c r="S493" s="232"/>
      <c r="T493" s="732"/>
      <c r="U493" s="732"/>
    </row>
    <row r="494" spans="1:21" ht="14.25" hidden="1" customHeight="1">
      <c r="A494" s="225">
        <f>ROW()-1</f>
        <v>493</v>
      </c>
      <c r="B494" s="471">
        <v>46168</v>
      </c>
      <c r="C494" s="238" t="s">
        <v>1346</v>
      </c>
      <c r="D494" s="240" t="s">
        <v>21</v>
      </c>
      <c r="E494" s="236" t="s">
        <v>22</v>
      </c>
      <c r="F494" s="236" t="s">
        <v>60</v>
      </c>
      <c r="G494" s="256" t="s">
        <v>1616</v>
      </c>
      <c r="H494" s="237">
        <v>7391900725</v>
      </c>
      <c r="I494" s="467" t="s">
        <v>1617</v>
      </c>
      <c r="J494" s="257" t="s">
        <v>66</v>
      </c>
      <c r="K494" s="238" t="s">
        <v>1618</v>
      </c>
      <c r="L494" s="236" t="s">
        <v>27</v>
      </c>
      <c r="M494" s="236" t="s">
        <v>40</v>
      </c>
      <c r="N494" s="238" t="s">
        <v>1360</v>
      </c>
      <c r="O494" s="239">
        <v>46168</v>
      </c>
      <c r="P494" s="589">
        <v>876000</v>
      </c>
      <c r="Q494" s="236" t="s">
        <v>70</v>
      </c>
      <c r="R494" s="478"/>
      <c r="S494" s="236"/>
      <c r="T494" s="732"/>
      <c r="U494" s="732"/>
    </row>
    <row r="495" spans="1:21" ht="14.25" hidden="1" customHeight="1">
      <c r="A495" s="225">
        <f>ROW()-1</f>
        <v>494</v>
      </c>
      <c r="B495" s="476">
        <v>46168</v>
      </c>
      <c r="C495" s="238" t="s">
        <v>1619</v>
      </c>
      <c r="D495" s="240"/>
      <c r="E495" s="236"/>
      <c r="F495" s="236" t="s">
        <v>23</v>
      </c>
      <c r="G495" s="238" t="s">
        <v>188</v>
      </c>
      <c r="H495" s="237">
        <v>9766369940</v>
      </c>
      <c r="I495" s="480" t="s">
        <v>139</v>
      </c>
      <c r="J495" s="257" t="s">
        <v>63</v>
      </c>
      <c r="K495" s="234" t="s">
        <v>139</v>
      </c>
      <c r="L495" s="236" t="s">
        <v>49</v>
      </c>
      <c r="M495" s="236" t="s">
        <v>50</v>
      </c>
      <c r="N495" s="238"/>
      <c r="O495" s="239"/>
      <c r="P495" s="589"/>
      <c r="Q495" s="236"/>
      <c r="R495" s="478"/>
      <c r="S495" s="236"/>
      <c r="T495" s="732"/>
      <c r="U495" s="732"/>
    </row>
    <row r="496" spans="1:21" ht="14.25" hidden="1" customHeight="1">
      <c r="A496" s="225">
        <f>ROW()-1</f>
        <v>495</v>
      </c>
      <c r="B496" s="471">
        <v>46168</v>
      </c>
      <c r="C496" s="238" t="s">
        <v>1620</v>
      </c>
      <c r="D496" s="240"/>
      <c r="E496" s="236"/>
      <c r="F496" s="236" t="s">
        <v>59</v>
      </c>
      <c r="G496" s="238"/>
      <c r="H496" s="237"/>
      <c r="I496" s="243"/>
      <c r="J496" s="257" t="s">
        <v>66</v>
      </c>
      <c r="K496" s="238"/>
      <c r="L496" s="236" t="s">
        <v>117</v>
      </c>
      <c r="M496" s="236" t="s">
        <v>50</v>
      </c>
      <c r="N496" s="238" t="s">
        <v>1621</v>
      </c>
      <c r="O496" s="239">
        <v>46168</v>
      </c>
      <c r="P496" s="589">
        <v>410000</v>
      </c>
      <c r="Q496" s="236" t="s">
        <v>70</v>
      </c>
      <c r="R496" s="478"/>
      <c r="S496" s="236"/>
      <c r="T496" s="732"/>
      <c r="U496" s="732"/>
    </row>
    <row r="497" spans="1:21" ht="14.25" hidden="1" customHeight="1">
      <c r="A497" s="225">
        <f>ROW()-1</f>
        <v>496</v>
      </c>
      <c r="B497" s="471">
        <v>46168</v>
      </c>
      <c r="C497" s="236" t="s">
        <v>1622</v>
      </c>
      <c r="D497" s="236"/>
      <c r="E497" s="236"/>
      <c r="F497" s="236" t="s">
        <v>73</v>
      </c>
      <c r="G497" s="236" t="s">
        <v>449</v>
      </c>
      <c r="H497" s="237">
        <v>7023840640</v>
      </c>
      <c r="I497" s="236"/>
      <c r="J497" s="258" t="s">
        <v>122</v>
      </c>
      <c r="K497" s="236" t="s">
        <v>1364</v>
      </c>
      <c r="L497" s="236" t="s">
        <v>58</v>
      </c>
      <c r="M497" s="236" t="s">
        <v>50</v>
      </c>
      <c r="N497" s="238"/>
      <c r="O497" s="239"/>
      <c r="P497" s="589"/>
      <c r="Q497" s="236"/>
      <c r="R497" s="478"/>
      <c r="S497" s="236"/>
      <c r="T497" s="732"/>
      <c r="U497" s="732"/>
    </row>
    <row r="498" spans="1:21" ht="14.25" hidden="1" customHeight="1">
      <c r="A498" s="225">
        <f>ROW()-1</f>
        <v>497</v>
      </c>
      <c r="B498" s="471">
        <v>46169</v>
      </c>
      <c r="C498" s="238" t="s">
        <v>1623</v>
      </c>
      <c r="D498" s="240" t="s">
        <v>293</v>
      </c>
      <c r="E498" s="236" t="s">
        <v>22</v>
      </c>
      <c r="F498" s="236" t="s">
        <v>23</v>
      </c>
      <c r="G498" s="240" t="s">
        <v>1624</v>
      </c>
      <c r="H498" s="237"/>
      <c r="I498" s="255"/>
      <c r="J498" s="257" t="s">
        <v>66</v>
      </c>
      <c r="K498" s="238"/>
      <c r="L498" s="236" t="s">
        <v>117</v>
      </c>
      <c r="M498" s="236" t="s">
        <v>50</v>
      </c>
      <c r="N498" s="238" t="s">
        <v>1625</v>
      </c>
      <c r="O498" s="239">
        <v>46170</v>
      </c>
      <c r="P498" s="589">
        <v>835000</v>
      </c>
      <c r="Q498" s="232" t="s">
        <v>70</v>
      </c>
      <c r="R498" s="478"/>
      <c r="S498" s="236"/>
      <c r="T498" s="732"/>
      <c r="U498" s="732"/>
    </row>
    <row r="499" spans="1:21" ht="14.25" hidden="1" customHeight="1">
      <c r="A499" s="225">
        <f>ROW()-1</f>
        <v>498</v>
      </c>
      <c r="B499" s="476">
        <v>46169</v>
      </c>
      <c r="C499" s="238" t="s">
        <v>262</v>
      </c>
      <c r="D499" s="240" t="s">
        <v>131</v>
      </c>
      <c r="E499" s="236" t="s">
        <v>22</v>
      </c>
      <c r="F499" s="236" t="s">
        <v>73</v>
      </c>
      <c r="G499" s="238" t="s">
        <v>1626</v>
      </c>
      <c r="H499" s="237">
        <v>8600120115</v>
      </c>
      <c r="I499" s="255" t="s">
        <v>264</v>
      </c>
      <c r="J499" s="257" t="s">
        <v>66</v>
      </c>
      <c r="K499" s="234" t="s">
        <v>265</v>
      </c>
      <c r="L499" s="236" t="s">
        <v>27</v>
      </c>
      <c r="M499" s="236" t="s">
        <v>28</v>
      </c>
      <c r="N499" s="238" t="s">
        <v>1367</v>
      </c>
      <c r="O499" s="239">
        <v>46169</v>
      </c>
      <c r="P499" s="589">
        <v>1523008</v>
      </c>
      <c r="Q499" s="236" t="s">
        <v>70</v>
      </c>
      <c r="R499" s="478"/>
      <c r="S499" s="236"/>
      <c r="T499" s="732"/>
      <c r="U499" s="732"/>
    </row>
    <row r="500" spans="1:21" ht="14.25" hidden="1" customHeight="1">
      <c r="A500" s="225">
        <f>ROW()-1</f>
        <v>499</v>
      </c>
      <c r="B500" s="471">
        <v>46169</v>
      </c>
      <c r="C500" s="234" t="s">
        <v>1627</v>
      </c>
      <c r="D500" s="242" t="s">
        <v>131</v>
      </c>
      <c r="E500" s="232" t="s">
        <v>22</v>
      </c>
      <c r="F500" s="232" t="s">
        <v>59</v>
      </c>
      <c r="G500" s="234" t="s">
        <v>1368</v>
      </c>
      <c r="H500" s="233">
        <v>8626024407</v>
      </c>
      <c r="I500" s="243" t="s">
        <v>1628</v>
      </c>
      <c r="J500" s="258" t="s">
        <v>1113</v>
      </c>
      <c r="K500" s="234" t="s">
        <v>1629</v>
      </c>
      <c r="L500" s="232" t="s">
        <v>49</v>
      </c>
      <c r="M500" s="232" t="s">
        <v>50</v>
      </c>
      <c r="N500" s="234"/>
      <c r="O500" s="235"/>
      <c r="P500" s="589"/>
      <c r="Q500" s="232"/>
      <c r="R500" s="478"/>
      <c r="S500" s="232"/>
      <c r="T500" s="732"/>
      <c r="U500" s="732"/>
    </row>
    <row r="501" spans="1:21" ht="14.25" hidden="1" customHeight="1">
      <c r="A501" s="225">
        <f>ROW()-1</f>
        <v>500</v>
      </c>
      <c r="B501" s="471">
        <v>46169</v>
      </c>
      <c r="C501" s="236" t="s">
        <v>1630</v>
      </c>
      <c r="D501" s="236" t="s">
        <v>497</v>
      </c>
      <c r="E501" s="236" t="s">
        <v>22</v>
      </c>
      <c r="F501" s="236" t="s">
        <v>73</v>
      </c>
      <c r="G501" s="236" t="s">
        <v>449</v>
      </c>
      <c r="H501" s="237">
        <v>8888677876</v>
      </c>
      <c r="I501" s="236" t="s">
        <v>1371</v>
      </c>
      <c r="J501" s="258" t="s">
        <v>63</v>
      </c>
      <c r="K501" s="236" t="s">
        <v>1631</v>
      </c>
      <c r="L501" s="236" t="s">
        <v>58</v>
      </c>
      <c r="M501" s="236" t="s">
        <v>50</v>
      </c>
      <c r="N501" s="238"/>
      <c r="O501" s="239"/>
      <c r="P501" s="589"/>
      <c r="Q501" s="236"/>
      <c r="R501" s="478"/>
      <c r="S501" s="236"/>
      <c r="T501" s="732"/>
      <c r="U501" s="732"/>
    </row>
    <row r="502" spans="1:21" ht="14.25" hidden="1" customHeight="1">
      <c r="A502" s="225">
        <f>ROW()-1</f>
        <v>501</v>
      </c>
      <c r="B502" s="476">
        <v>46169</v>
      </c>
      <c r="C502" s="238" t="s">
        <v>1632</v>
      </c>
      <c r="D502" s="240" t="s">
        <v>131</v>
      </c>
      <c r="E502" s="236" t="s">
        <v>22</v>
      </c>
      <c r="F502" s="236" t="s">
        <v>44</v>
      </c>
      <c r="G502" s="238" t="s">
        <v>1633</v>
      </c>
      <c r="H502" s="237">
        <v>9766147982</v>
      </c>
      <c r="I502" s="241" t="s">
        <v>1634</v>
      </c>
      <c r="J502" s="258" t="s">
        <v>567</v>
      </c>
      <c r="K502" s="238" t="s">
        <v>1123</v>
      </c>
      <c r="L502" s="236" t="s">
        <v>49</v>
      </c>
      <c r="M502" s="236" t="s">
        <v>50</v>
      </c>
      <c r="N502" s="238"/>
      <c r="O502" s="239"/>
      <c r="P502" s="589"/>
      <c r="Q502" s="236"/>
      <c r="R502" s="478"/>
      <c r="S502" s="236"/>
      <c r="T502" s="732"/>
      <c r="U502" s="732"/>
    </row>
    <row r="503" spans="1:21" ht="14.25" hidden="1" customHeight="1">
      <c r="A503" s="225">
        <f>ROW()-1</f>
        <v>502</v>
      </c>
      <c r="B503" s="471">
        <v>46169</v>
      </c>
      <c r="C503" s="234" t="s">
        <v>1635</v>
      </c>
      <c r="D503" s="242" t="s">
        <v>1541</v>
      </c>
      <c r="E503" s="232" t="s">
        <v>82</v>
      </c>
      <c r="F503" s="232" t="s">
        <v>83</v>
      </c>
      <c r="G503" s="234" t="s">
        <v>559</v>
      </c>
      <c r="H503" s="233">
        <v>9489728989</v>
      </c>
      <c r="I503" s="243" t="s">
        <v>1636</v>
      </c>
      <c r="J503" s="257" t="s">
        <v>567</v>
      </c>
      <c r="K503" s="234" t="s">
        <v>1637</v>
      </c>
      <c r="L503" s="232" t="s">
        <v>49</v>
      </c>
      <c r="M503" s="232" t="s">
        <v>28</v>
      </c>
      <c r="N503" s="234"/>
      <c r="O503" s="235"/>
      <c r="P503" s="589"/>
      <c r="Q503" s="232"/>
      <c r="R503" s="478"/>
      <c r="S503" s="232"/>
      <c r="T503" s="732"/>
      <c r="U503" s="732"/>
    </row>
    <row r="504" spans="1:21" ht="14.25" hidden="1" customHeight="1">
      <c r="A504" s="225">
        <f>ROW()-1</f>
        <v>503</v>
      </c>
      <c r="B504" s="476">
        <v>46169</v>
      </c>
      <c r="C504" s="238" t="s">
        <v>1638</v>
      </c>
      <c r="D504" s="240" t="s">
        <v>293</v>
      </c>
      <c r="E504" s="236" t="s">
        <v>22</v>
      </c>
      <c r="F504" s="236" t="s">
        <v>60</v>
      </c>
      <c r="G504" s="238" t="s">
        <v>1639</v>
      </c>
      <c r="H504" s="237">
        <v>7738072997</v>
      </c>
      <c r="I504" s="241" t="s">
        <v>1380</v>
      </c>
      <c r="J504" s="739" t="s">
        <v>567</v>
      </c>
      <c r="K504" s="238" t="s">
        <v>1640</v>
      </c>
      <c r="L504" s="236" t="s">
        <v>49</v>
      </c>
      <c r="M504" s="236" t="s">
        <v>40</v>
      </c>
      <c r="N504" s="238"/>
      <c r="O504" s="239"/>
      <c r="P504" s="589"/>
      <c r="Q504" s="236"/>
      <c r="R504" s="478"/>
      <c r="S504" s="236"/>
      <c r="T504" s="732"/>
      <c r="U504" s="732"/>
    </row>
    <row r="505" spans="1:21" ht="14.25" hidden="1" customHeight="1">
      <c r="A505" s="225">
        <f>ROW()-1</f>
        <v>504</v>
      </c>
      <c r="B505" s="471">
        <v>46169</v>
      </c>
      <c r="C505" s="238" t="s">
        <v>1641</v>
      </c>
      <c r="D505" s="240"/>
      <c r="E505" s="236"/>
      <c r="F505" s="236" t="s">
        <v>1239</v>
      </c>
      <c r="G505" s="240" t="s">
        <v>1642</v>
      </c>
      <c r="H505" s="237"/>
      <c r="I505" s="680" t="s">
        <v>1643</v>
      </c>
      <c r="J505" s="257" t="s">
        <v>66</v>
      </c>
      <c r="K505" s="238" t="s">
        <v>1644</v>
      </c>
      <c r="L505" s="236" t="s">
        <v>27</v>
      </c>
      <c r="M505" s="236" t="s">
        <v>28</v>
      </c>
      <c r="N505" s="238" t="s">
        <v>1645</v>
      </c>
      <c r="O505" s="239">
        <v>46169</v>
      </c>
      <c r="P505" s="589">
        <v>1050000</v>
      </c>
      <c r="Q505" s="236"/>
      <c r="R505" s="478"/>
      <c r="S505" s="236"/>
      <c r="T505" s="732"/>
      <c r="U505" s="732"/>
    </row>
    <row r="506" spans="1:21" ht="14.25" hidden="1" customHeight="1">
      <c r="A506" s="225">
        <f>ROW()-1</f>
        <v>505</v>
      </c>
      <c r="B506" s="476">
        <v>46169</v>
      </c>
      <c r="C506" s="232" t="s">
        <v>1646</v>
      </c>
      <c r="D506" s="232" t="s">
        <v>1386</v>
      </c>
      <c r="E506" s="232" t="s">
        <v>199</v>
      </c>
      <c r="F506" s="232" t="s">
        <v>60</v>
      </c>
      <c r="G506" s="232" t="s">
        <v>180</v>
      </c>
      <c r="H506" s="233">
        <v>9829045860</v>
      </c>
      <c r="I506" s="232"/>
      <c r="J506" s="739" t="s">
        <v>567</v>
      </c>
      <c r="K506" s="232" t="s">
        <v>1646</v>
      </c>
      <c r="L506" s="232" t="s">
        <v>58</v>
      </c>
      <c r="M506" s="236" t="s">
        <v>40</v>
      </c>
      <c r="N506" s="234"/>
      <c r="O506" s="235"/>
      <c r="P506" s="589"/>
      <c r="Q506" s="232"/>
      <c r="R506" s="478"/>
      <c r="S506" s="232"/>
      <c r="T506" s="732"/>
      <c r="U506" s="732"/>
    </row>
    <row r="507" spans="1:21" ht="14.25" hidden="1" customHeight="1">
      <c r="A507" s="225">
        <f>ROW()-1</f>
        <v>506</v>
      </c>
      <c r="B507" s="471">
        <v>46169</v>
      </c>
      <c r="C507" s="236" t="s">
        <v>1647</v>
      </c>
      <c r="D507" s="236"/>
      <c r="E507" s="236"/>
      <c r="F507" s="236" t="s">
        <v>73</v>
      </c>
      <c r="G507" s="236" t="s">
        <v>1648</v>
      </c>
      <c r="H507" s="237">
        <v>9112595252</v>
      </c>
      <c r="I507" s="236"/>
      <c r="J507" s="258" t="s">
        <v>47</v>
      </c>
      <c r="K507" s="236" t="s">
        <v>921</v>
      </c>
      <c r="L507" s="236" t="s">
        <v>58</v>
      </c>
      <c r="M507" s="236" t="s">
        <v>50</v>
      </c>
      <c r="N507" s="238"/>
      <c r="O507" s="239"/>
      <c r="P507" s="589"/>
      <c r="Q507" s="236"/>
      <c r="R507" s="478"/>
      <c r="S507" s="236"/>
      <c r="T507" s="732"/>
      <c r="U507" s="732"/>
    </row>
    <row r="508" spans="1:21" ht="14.25" hidden="1" customHeight="1">
      <c r="A508" s="225">
        <f>ROW()-1</f>
        <v>507</v>
      </c>
      <c r="B508" s="471">
        <v>46170</v>
      </c>
      <c r="C508" s="238" t="s">
        <v>1649</v>
      </c>
      <c r="D508" s="254"/>
      <c r="E508" s="232" t="s">
        <v>22</v>
      </c>
      <c r="F508" s="236" t="s">
        <v>60</v>
      </c>
      <c r="G508" s="254" t="s">
        <v>1650</v>
      </c>
      <c r="H508" s="254">
        <v>9158772627</v>
      </c>
      <c r="I508" s="256"/>
      <c r="J508" s="257" t="s">
        <v>63</v>
      </c>
      <c r="K508" s="254" t="s">
        <v>1649</v>
      </c>
      <c r="L508" s="236" t="s">
        <v>58</v>
      </c>
      <c r="M508" s="236" t="s">
        <v>40</v>
      </c>
      <c r="N508" s="238"/>
      <c r="O508" s="239"/>
      <c r="P508" s="593"/>
      <c r="Q508" s="236"/>
      <c r="R508" s="478"/>
      <c r="S508" s="236"/>
      <c r="T508" s="732"/>
      <c r="U508" s="732"/>
    </row>
    <row r="509" spans="1:21" ht="14.25" hidden="1" customHeight="1">
      <c r="A509" s="225">
        <f>ROW()-1</f>
        <v>508</v>
      </c>
      <c r="B509" s="471">
        <v>46170</v>
      </c>
      <c r="C509" s="238" t="s">
        <v>1389</v>
      </c>
      <c r="D509" s="240" t="s">
        <v>131</v>
      </c>
      <c r="E509" s="236" t="s">
        <v>22</v>
      </c>
      <c r="F509" s="236" t="s">
        <v>73</v>
      </c>
      <c r="G509" s="238" t="s">
        <v>1651</v>
      </c>
      <c r="H509" s="237" t="s">
        <v>1652</v>
      </c>
      <c r="I509" s="241" t="s">
        <v>1653</v>
      </c>
      <c r="J509" s="257" t="s">
        <v>66</v>
      </c>
      <c r="K509" s="238" t="s">
        <v>1654</v>
      </c>
      <c r="L509" s="236" t="s">
        <v>27</v>
      </c>
      <c r="M509" s="236" t="s">
        <v>40</v>
      </c>
      <c r="N509" s="732" t="s">
        <v>1392</v>
      </c>
      <c r="O509" s="239"/>
      <c r="P509" s="589"/>
      <c r="Q509" s="232" t="s">
        <v>292</v>
      </c>
      <c r="R509" s="236"/>
      <c r="S509" s="236"/>
      <c r="T509" s="732"/>
      <c r="U509" s="732"/>
    </row>
    <row r="510" spans="1:21" ht="14.25" hidden="1" customHeight="1">
      <c r="A510" s="225">
        <f>ROW()-1</f>
        <v>509</v>
      </c>
      <c r="B510" s="476">
        <v>46170</v>
      </c>
      <c r="C510" s="232" t="s">
        <v>1655</v>
      </c>
      <c r="D510" s="232" t="s">
        <v>1656</v>
      </c>
      <c r="E510" s="232" t="s">
        <v>390</v>
      </c>
      <c r="F510" s="232" t="s">
        <v>23</v>
      </c>
      <c r="G510" s="232" t="s">
        <v>23</v>
      </c>
      <c r="H510" s="233">
        <v>9985289019</v>
      </c>
      <c r="I510" s="679"/>
      <c r="J510" s="258" t="s">
        <v>122</v>
      </c>
      <c r="K510" s="232" t="s">
        <v>1655</v>
      </c>
      <c r="L510" s="232" t="s">
        <v>58</v>
      </c>
      <c r="M510" s="232" t="s">
        <v>50</v>
      </c>
      <c r="N510" s="234"/>
      <c r="O510" s="235"/>
      <c r="P510" s="590"/>
      <c r="Q510" s="232"/>
      <c r="R510" s="478"/>
      <c r="S510" s="232"/>
      <c r="T510" s="732"/>
      <c r="U510" s="732"/>
    </row>
    <row r="511" spans="1:21" ht="14.25" hidden="1" customHeight="1">
      <c r="A511" s="225">
        <f>ROW()-1</f>
        <v>510</v>
      </c>
      <c r="B511" s="476">
        <v>46170</v>
      </c>
      <c r="C511" s="232" t="s">
        <v>1657</v>
      </c>
      <c r="D511" s="232" t="s">
        <v>1658</v>
      </c>
      <c r="E511" s="232" t="s">
        <v>22</v>
      </c>
      <c r="F511" s="232" t="s">
        <v>23</v>
      </c>
      <c r="G511" s="232" t="s">
        <v>127</v>
      </c>
      <c r="H511" s="233">
        <v>9890776682</v>
      </c>
      <c r="I511" s="232" t="s">
        <v>1396</v>
      </c>
      <c r="J511" s="258" t="s">
        <v>47</v>
      </c>
      <c r="K511" s="232" t="s">
        <v>1659</v>
      </c>
      <c r="L511" s="232" t="s">
        <v>58</v>
      </c>
      <c r="M511" s="232" t="s">
        <v>50</v>
      </c>
      <c r="N511" s="234"/>
      <c r="O511" s="235"/>
      <c r="P511" s="590"/>
      <c r="Q511" s="232"/>
      <c r="R511" s="478"/>
      <c r="S511" s="232"/>
      <c r="T511" s="732"/>
      <c r="U511" s="732"/>
    </row>
    <row r="512" spans="1:21" ht="14.25" hidden="1" customHeight="1">
      <c r="A512" s="225">
        <f>ROW()-1</f>
        <v>511</v>
      </c>
      <c r="B512" s="471">
        <v>46170</v>
      </c>
      <c r="C512" s="238" t="s">
        <v>1659</v>
      </c>
      <c r="D512" s="240" t="s">
        <v>1658</v>
      </c>
      <c r="E512" s="232" t="s">
        <v>22</v>
      </c>
      <c r="F512" s="236" t="s">
        <v>23</v>
      </c>
      <c r="G512" s="254" t="s">
        <v>1000</v>
      </c>
      <c r="H512" s="254">
        <v>9890776682</v>
      </c>
      <c r="I512" s="256" t="s">
        <v>1396</v>
      </c>
      <c r="J512" s="257" t="s">
        <v>63</v>
      </c>
      <c r="K512" s="254" t="s">
        <v>1659</v>
      </c>
      <c r="L512" s="236" t="s">
        <v>58</v>
      </c>
      <c r="M512" s="232" t="s">
        <v>50</v>
      </c>
      <c r="N512" s="238"/>
      <c r="O512" s="239"/>
      <c r="P512" s="593"/>
      <c r="Q512" s="236"/>
      <c r="R512" s="478"/>
      <c r="S512" s="236"/>
      <c r="T512" s="732"/>
      <c r="U512" s="732"/>
    </row>
    <row r="513" spans="1:21" ht="14.25" hidden="1" customHeight="1">
      <c r="A513" s="225">
        <f>ROW()-1</f>
        <v>512</v>
      </c>
      <c r="B513" s="471">
        <v>46170</v>
      </c>
      <c r="C513" s="232" t="s">
        <v>1472</v>
      </c>
      <c r="D513" s="232" t="s">
        <v>293</v>
      </c>
      <c r="E513" s="232" t="s">
        <v>22</v>
      </c>
      <c r="F513" s="232" t="s">
        <v>73</v>
      </c>
      <c r="G513" s="232" t="s">
        <v>1660</v>
      </c>
      <c r="H513" s="233">
        <v>9589284893</v>
      </c>
      <c r="I513" s="232"/>
      <c r="J513" s="258" t="s">
        <v>567</v>
      </c>
      <c r="K513" s="232" t="s">
        <v>1472</v>
      </c>
      <c r="L513" s="232" t="s">
        <v>58</v>
      </c>
      <c r="M513" s="232" t="s">
        <v>50</v>
      </c>
      <c r="N513" s="234"/>
      <c r="O513" s="235"/>
      <c r="P513" s="590"/>
      <c r="Q513" s="232"/>
      <c r="R513" s="478"/>
      <c r="S513" s="232"/>
      <c r="T513" s="732"/>
      <c r="U513" s="732"/>
    </row>
    <row r="514" spans="1:21" ht="14.25" hidden="1" customHeight="1">
      <c r="A514" s="225">
        <f>ROW()-1</f>
        <v>513</v>
      </c>
      <c r="B514" s="471">
        <v>46170</v>
      </c>
      <c r="C514" s="236" t="s">
        <v>1661</v>
      </c>
      <c r="D514" s="236" t="s">
        <v>749</v>
      </c>
      <c r="E514" s="236" t="s">
        <v>214</v>
      </c>
      <c r="F514" s="236" t="s">
        <v>23</v>
      </c>
      <c r="G514" s="236" t="s">
        <v>1662</v>
      </c>
      <c r="H514" s="237">
        <v>9952441783</v>
      </c>
      <c r="I514" s="236"/>
      <c r="J514" s="258" t="s">
        <v>122</v>
      </c>
      <c r="K514" s="236" t="s">
        <v>1661</v>
      </c>
      <c r="L514" s="236" t="s">
        <v>58</v>
      </c>
      <c r="M514" s="236" t="s">
        <v>50</v>
      </c>
      <c r="N514" s="238"/>
      <c r="O514" s="239"/>
      <c r="P514" s="589"/>
      <c r="Q514" s="236"/>
      <c r="R514" s="478"/>
      <c r="S514" s="236"/>
      <c r="T514" s="732"/>
      <c r="U514" s="732"/>
    </row>
    <row r="515" spans="1:21" ht="14.25" hidden="1" customHeight="1">
      <c r="A515" s="225">
        <f>ROW()-1</f>
        <v>514</v>
      </c>
      <c r="B515" s="476">
        <v>46170</v>
      </c>
      <c r="C515" s="238" t="s">
        <v>1091</v>
      </c>
      <c r="D515" s="240" t="s">
        <v>1092</v>
      </c>
      <c r="E515" s="236" t="s">
        <v>22</v>
      </c>
      <c r="F515" s="236" t="s">
        <v>59</v>
      </c>
      <c r="G515" s="238" t="s">
        <v>1663</v>
      </c>
      <c r="H515" s="237">
        <v>9226023807</v>
      </c>
      <c r="I515" s="255" t="s">
        <v>939</v>
      </c>
      <c r="J515" s="257" t="s">
        <v>66</v>
      </c>
      <c r="K515" s="238" t="s">
        <v>335</v>
      </c>
      <c r="L515" s="236" t="s">
        <v>27</v>
      </c>
      <c r="M515" s="236" t="s">
        <v>28</v>
      </c>
      <c r="N515" s="238" t="s">
        <v>1664</v>
      </c>
      <c r="O515" s="239">
        <v>46169</v>
      </c>
      <c r="P515" s="589">
        <v>450000</v>
      </c>
      <c r="Q515" s="232" t="s">
        <v>70</v>
      </c>
      <c r="R515" s="478"/>
      <c r="S515" s="236"/>
      <c r="T515" s="732"/>
      <c r="U515" s="732"/>
    </row>
    <row r="516" spans="1:21" ht="14.25" hidden="1" customHeight="1">
      <c r="A516" s="225">
        <f>ROW()-1</f>
        <v>515</v>
      </c>
      <c r="B516" s="471">
        <v>46170</v>
      </c>
      <c r="C516" s="236" t="s">
        <v>1665</v>
      </c>
      <c r="D516" s="236" t="s">
        <v>783</v>
      </c>
      <c r="E516" s="236" t="s">
        <v>205</v>
      </c>
      <c r="F516" s="236" t="s">
        <v>73</v>
      </c>
      <c r="G516" s="236" t="s">
        <v>449</v>
      </c>
      <c r="H516" s="237">
        <v>6369997176</v>
      </c>
      <c r="I516" s="236"/>
      <c r="J516" s="258" t="s">
        <v>63</v>
      </c>
      <c r="K516" s="236" t="s">
        <v>1665</v>
      </c>
      <c r="L516" s="236" t="s">
        <v>58</v>
      </c>
      <c r="M516" s="236" t="s">
        <v>50</v>
      </c>
      <c r="N516" s="238"/>
      <c r="O516" s="239"/>
      <c r="P516" s="589"/>
      <c r="Q516" s="236"/>
      <c r="R516" s="478"/>
      <c r="S516" s="236"/>
      <c r="T516" s="732"/>
      <c r="U516" s="732"/>
    </row>
    <row r="517" spans="1:21" ht="14.25" hidden="1" customHeight="1">
      <c r="A517" s="225">
        <f>ROW()-1</f>
        <v>516</v>
      </c>
      <c r="B517" s="471">
        <v>46170</v>
      </c>
      <c r="C517" s="236" t="s">
        <v>1666</v>
      </c>
      <c r="D517" s="236"/>
      <c r="E517" s="236"/>
      <c r="F517" s="236" t="s">
        <v>60</v>
      </c>
      <c r="G517" s="236" t="s">
        <v>1667</v>
      </c>
      <c r="H517" s="237">
        <v>9158772627</v>
      </c>
      <c r="I517" s="236"/>
      <c r="J517" s="739" t="s">
        <v>567</v>
      </c>
      <c r="K517" s="236" t="s">
        <v>1649</v>
      </c>
      <c r="L517" s="236" t="s">
        <v>58</v>
      </c>
      <c r="M517" s="236" t="s">
        <v>40</v>
      </c>
      <c r="N517" s="238"/>
      <c r="O517" s="239"/>
      <c r="P517" s="589"/>
      <c r="Q517" s="236"/>
      <c r="R517" s="478"/>
      <c r="S517" s="236"/>
      <c r="T517" s="732"/>
      <c r="U517" s="732"/>
    </row>
    <row r="518" spans="1:21" ht="14.25" hidden="1" customHeight="1">
      <c r="A518" s="225">
        <f>ROW()-1</f>
        <v>517</v>
      </c>
      <c r="B518" s="476">
        <v>46171</v>
      </c>
      <c r="C518" s="238" t="s">
        <v>1668</v>
      </c>
      <c r="D518" s="240" t="s">
        <v>131</v>
      </c>
      <c r="E518" s="236" t="s">
        <v>22</v>
      </c>
      <c r="F518" s="236" t="s">
        <v>23</v>
      </c>
      <c r="G518" s="238" t="s">
        <v>1669</v>
      </c>
      <c r="H518" s="237"/>
      <c r="I518" s="467" t="s">
        <v>1403</v>
      </c>
      <c r="J518" s="257" t="s">
        <v>66</v>
      </c>
      <c r="K518" s="238" t="s">
        <v>1670</v>
      </c>
      <c r="L518" s="236" t="s">
        <v>117</v>
      </c>
      <c r="M518" s="236" t="s">
        <v>28</v>
      </c>
      <c r="N518" s="238" t="s">
        <v>1671</v>
      </c>
      <c r="O518" s="239">
        <v>46171</v>
      </c>
      <c r="P518" s="589">
        <v>500000</v>
      </c>
      <c r="Q518" s="232" t="s">
        <v>292</v>
      </c>
      <c r="R518" s="478"/>
      <c r="S518" s="236"/>
      <c r="T518" s="732"/>
      <c r="U518" s="732"/>
    </row>
    <row r="519" spans="1:21" ht="14.25" hidden="1" customHeight="1">
      <c r="A519" s="225">
        <f>ROW()-1</f>
        <v>518</v>
      </c>
      <c r="B519" s="471">
        <v>46171</v>
      </c>
      <c r="C519" s="238" t="s">
        <v>1343</v>
      </c>
      <c r="D519" s="240" t="s">
        <v>21</v>
      </c>
      <c r="E519" s="236" t="s">
        <v>22</v>
      </c>
      <c r="F519" s="236" t="s">
        <v>32</v>
      </c>
      <c r="G519" s="238" t="s">
        <v>1672</v>
      </c>
      <c r="H519" s="465">
        <v>9579354279</v>
      </c>
      <c r="I519" s="466" t="s">
        <v>1593</v>
      </c>
      <c r="J519" s="257" t="s">
        <v>66</v>
      </c>
      <c r="K519" s="238" t="s">
        <v>1594</v>
      </c>
      <c r="L519" s="236" t="s">
        <v>27</v>
      </c>
      <c r="M519" s="236" t="s">
        <v>28</v>
      </c>
      <c r="N519" s="238" t="s">
        <v>1673</v>
      </c>
      <c r="O519" s="239">
        <v>46202</v>
      </c>
      <c r="P519" s="593"/>
      <c r="Q519" s="236" t="s">
        <v>70</v>
      </c>
      <c r="R519" s="478"/>
      <c r="S519" s="236"/>
      <c r="T519" s="732"/>
      <c r="U519" s="732"/>
    </row>
    <row r="520" spans="1:21" ht="14.25" hidden="1" customHeight="1">
      <c r="A520" s="225">
        <f>ROW()-1</f>
        <v>519</v>
      </c>
      <c r="B520" s="471">
        <v>46171</v>
      </c>
      <c r="C520" s="234" t="s">
        <v>1407</v>
      </c>
      <c r="D520" s="242" t="s">
        <v>293</v>
      </c>
      <c r="E520" s="232" t="s">
        <v>22</v>
      </c>
      <c r="F520" s="232" t="s">
        <v>73</v>
      </c>
      <c r="G520" s="234" t="s">
        <v>1674</v>
      </c>
      <c r="H520" s="233">
        <v>8866774978</v>
      </c>
      <c r="I520" s="243"/>
      <c r="J520" s="258" t="s">
        <v>171</v>
      </c>
      <c r="K520" s="234" t="s">
        <v>1407</v>
      </c>
      <c r="L520" s="232" t="s">
        <v>58</v>
      </c>
      <c r="M520" s="232" t="s">
        <v>50</v>
      </c>
      <c r="N520" s="234"/>
      <c r="O520" s="235"/>
      <c r="P520" s="589"/>
      <c r="Q520" s="232"/>
      <c r="R520" s="478"/>
      <c r="S520" s="232"/>
      <c r="T520" s="732"/>
      <c r="U520" s="732"/>
    </row>
    <row r="521" spans="1:21" ht="14.25" hidden="1" customHeight="1">
      <c r="A521" s="225">
        <f>ROW()-1</f>
        <v>520</v>
      </c>
      <c r="B521" s="471">
        <v>46171</v>
      </c>
      <c r="C521" s="234" t="s">
        <v>1675</v>
      </c>
      <c r="D521" s="242" t="s">
        <v>131</v>
      </c>
      <c r="E521" s="232" t="s">
        <v>22</v>
      </c>
      <c r="F521" s="232" t="s">
        <v>73</v>
      </c>
      <c r="G521" s="234"/>
      <c r="H521" s="233">
        <v>8975637645</v>
      </c>
      <c r="I521" s="480" t="s">
        <v>139</v>
      </c>
      <c r="J521" s="258" t="s">
        <v>567</v>
      </c>
      <c r="K521" s="234" t="s">
        <v>1676</v>
      </c>
      <c r="L521" s="232" t="s">
        <v>49</v>
      </c>
      <c r="M521" s="232" t="s">
        <v>28</v>
      </c>
      <c r="N521" s="234"/>
      <c r="O521" s="235"/>
      <c r="P521" s="589"/>
      <c r="Q521" s="232"/>
      <c r="R521" s="478"/>
      <c r="S521" s="232"/>
      <c r="T521" s="732"/>
      <c r="U521" s="732"/>
    </row>
    <row r="522" spans="1:21" ht="14.25" hidden="1" customHeight="1">
      <c r="A522" s="225">
        <f>ROW()-1</f>
        <v>521</v>
      </c>
      <c r="B522" s="476">
        <v>46171</v>
      </c>
      <c r="C522" s="238" t="s">
        <v>1410</v>
      </c>
      <c r="D522" s="240" t="s">
        <v>131</v>
      </c>
      <c r="E522" s="236" t="s">
        <v>22</v>
      </c>
      <c r="F522" s="236" t="s">
        <v>23</v>
      </c>
      <c r="G522" s="238" t="s">
        <v>1677</v>
      </c>
      <c r="H522" s="237"/>
      <c r="I522" s="527" t="s">
        <v>1678</v>
      </c>
      <c r="J522" s="257" t="s">
        <v>66</v>
      </c>
      <c r="K522" s="238"/>
      <c r="L522" s="236" t="s">
        <v>117</v>
      </c>
      <c r="M522" s="236" t="s">
        <v>50</v>
      </c>
      <c r="N522" s="238" t="s">
        <v>1679</v>
      </c>
      <c r="O522" s="239"/>
      <c r="P522" s="589">
        <v>275000</v>
      </c>
      <c r="Q522" s="236"/>
      <c r="R522" s="478"/>
      <c r="S522" s="236"/>
      <c r="T522" s="732"/>
      <c r="U522" s="732"/>
    </row>
    <row r="523" spans="1:21" ht="14.25" hidden="1" customHeight="1">
      <c r="A523" s="225">
        <f>ROW()-1</f>
        <v>522</v>
      </c>
      <c r="B523" s="471">
        <v>46171</v>
      </c>
      <c r="C523" s="234" t="s">
        <v>1680</v>
      </c>
      <c r="D523" s="242" t="s">
        <v>1247</v>
      </c>
      <c r="E523" s="232" t="s">
        <v>741</v>
      </c>
      <c r="F523" s="232" t="s">
        <v>44</v>
      </c>
      <c r="G523" s="234" t="s">
        <v>1681</v>
      </c>
      <c r="H523" s="233">
        <v>7895959092</v>
      </c>
      <c r="I523" s="565"/>
      <c r="J523" s="258" t="s">
        <v>122</v>
      </c>
      <c r="K523" s="234" t="s">
        <v>1680</v>
      </c>
      <c r="L523" s="232" t="s">
        <v>58</v>
      </c>
      <c r="M523" s="232" t="s">
        <v>50</v>
      </c>
      <c r="N523" s="234"/>
      <c r="O523" s="235"/>
      <c r="P523" s="589"/>
      <c r="Q523" s="232"/>
      <c r="R523" s="478"/>
      <c r="S523" s="232"/>
      <c r="T523" s="732"/>
      <c r="U523" s="732"/>
    </row>
    <row r="524" spans="1:21" ht="14.25" hidden="1" customHeight="1">
      <c r="A524" s="225">
        <f>ROW()-1</f>
        <v>523</v>
      </c>
      <c r="B524" s="471">
        <v>46172</v>
      </c>
      <c r="C524" s="234" t="s">
        <v>1682</v>
      </c>
      <c r="D524" s="242" t="s">
        <v>1683</v>
      </c>
      <c r="E524" s="232" t="s">
        <v>621</v>
      </c>
      <c r="F524" s="232" t="s">
        <v>59</v>
      </c>
      <c r="G524" s="234" t="s">
        <v>1684</v>
      </c>
      <c r="H524" s="233">
        <v>94112572144</v>
      </c>
      <c r="I524" s="243" t="s">
        <v>1685</v>
      </c>
      <c r="J524" s="258" t="s">
        <v>122</v>
      </c>
      <c r="K524" s="234" t="s">
        <v>1682</v>
      </c>
      <c r="L524" s="232" t="s">
        <v>58</v>
      </c>
      <c r="M524" s="232" t="s">
        <v>50</v>
      </c>
      <c r="N524" s="234"/>
      <c r="O524" s="235"/>
      <c r="P524" s="589"/>
      <c r="Q524" s="232"/>
      <c r="R524" s="478"/>
      <c r="S524" s="232"/>
      <c r="T524" s="732"/>
      <c r="U524" s="732"/>
    </row>
    <row r="525" spans="1:21" ht="14.25" hidden="1" customHeight="1">
      <c r="A525" s="225">
        <f>ROW()-1</f>
        <v>524</v>
      </c>
      <c r="B525" s="471">
        <v>46172</v>
      </c>
      <c r="C525" s="234" t="s">
        <v>1686</v>
      </c>
      <c r="D525" s="242" t="s">
        <v>131</v>
      </c>
      <c r="E525" s="232" t="s">
        <v>22</v>
      </c>
      <c r="F525" s="232" t="s">
        <v>44</v>
      </c>
      <c r="G525" s="234" t="s">
        <v>780</v>
      </c>
      <c r="H525" s="233">
        <v>9762070653</v>
      </c>
      <c r="I525" s="565"/>
      <c r="J525" s="258" t="s">
        <v>1113</v>
      </c>
      <c r="K525" s="234" t="s">
        <v>1686</v>
      </c>
      <c r="L525" s="232" t="s">
        <v>58</v>
      </c>
      <c r="M525" s="232" t="s">
        <v>50</v>
      </c>
      <c r="N525" s="234"/>
      <c r="O525" s="235"/>
      <c r="P525" s="589"/>
      <c r="Q525" s="232"/>
      <c r="R525" s="478"/>
      <c r="S525" s="232"/>
      <c r="T525" s="732"/>
      <c r="U525" s="732"/>
    </row>
    <row r="526" spans="1:21" ht="14.25" hidden="1" customHeight="1">
      <c r="A526" s="225">
        <f>ROW()-1</f>
        <v>525</v>
      </c>
      <c r="B526" s="471">
        <v>46172</v>
      </c>
      <c r="C526" s="234" t="s">
        <v>1687</v>
      </c>
      <c r="D526" s="242" t="s">
        <v>131</v>
      </c>
      <c r="E526" s="232" t="s">
        <v>22</v>
      </c>
      <c r="F526" s="232" t="s">
        <v>73</v>
      </c>
      <c r="G526" s="234" t="s">
        <v>1688</v>
      </c>
      <c r="H526" s="233">
        <v>8669660939</v>
      </c>
      <c r="I526" s="243" t="s">
        <v>1418</v>
      </c>
      <c r="J526" s="258" t="s">
        <v>66</v>
      </c>
      <c r="K526" s="234" t="s">
        <v>889</v>
      </c>
      <c r="L526" s="232" t="s">
        <v>27</v>
      </c>
      <c r="M526" s="232" t="s">
        <v>28</v>
      </c>
      <c r="N526" s="234" t="s">
        <v>1689</v>
      </c>
      <c r="O526" s="235">
        <v>46174</v>
      </c>
      <c r="P526" s="589">
        <v>2572256.83</v>
      </c>
      <c r="Q526" s="232" t="s">
        <v>70</v>
      </c>
      <c r="R526" s="478"/>
      <c r="S526" s="232"/>
      <c r="T526" s="732"/>
      <c r="U526" s="732"/>
    </row>
    <row r="527" spans="1:21" ht="14.25" hidden="1" customHeight="1">
      <c r="A527" s="225">
        <f>ROW()-1</f>
        <v>526</v>
      </c>
      <c r="B527" s="471">
        <v>46172</v>
      </c>
      <c r="C527" s="234" t="s">
        <v>1690</v>
      </c>
      <c r="D527" s="242" t="s">
        <v>1156</v>
      </c>
      <c r="E527" s="232" t="s">
        <v>1421</v>
      </c>
      <c r="F527" s="232" t="s">
        <v>23</v>
      </c>
      <c r="G527" s="234" t="s">
        <v>1691</v>
      </c>
      <c r="H527" s="233">
        <v>9883994742</v>
      </c>
      <c r="I527" s="243" t="s">
        <v>1692</v>
      </c>
      <c r="J527" s="258" t="s">
        <v>567</v>
      </c>
      <c r="K527" s="234" t="s">
        <v>1693</v>
      </c>
      <c r="L527" s="232" t="s">
        <v>49</v>
      </c>
      <c r="M527" s="232" t="s">
        <v>50</v>
      </c>
      <c r="N527" s="234"/>
      <c r="O527" s="235"/>
      <c r="P527" s="589"/>
      <c r="Q527" s="232"/>
      <c r="R527" s="478"/>
      <c r="S527" s="232"/>
      <c r="T527" s="732"/>
      <c r="U527" s="732"/>
    </row>
    <row r="528" spans="1:21" ht="14.25" hidden="1" customHeight="1">
      <c r="A528" s="225">
        <f>ROW()-1</f>
        <v>527</v>
      </c>
      <c r="B528" s="471">
        <v>46172</v>
      </c>
      <c r="C528" s="234" t="s">
        <v>1694</v>
      </c>
      <c r="D528" s="242"/>
      <c r="E528" s="232"/>
      <c r="F528" s="232" t="s">
        <v>73</v>
      </c>
      <c r="G528" s="234" t="s">
        <v>1695</v>
      </c>
      <c r="H528" s="233"/>
      <c r="I528" s="243"/>
      <c r="J528" s="258" t="s">
        <v>66</v>
      </c>
      <c r="K528" s="234"/>
      <c r="L528" s="232" t="s">
        <v>117</v>
      </c>
      <c r="M528" s="232" t="s">
        <v>28</v>
      </c>
      <c r="N528" s="234" t="s">
        <v>1424</v>
      </c>
      <c r="O528" s="235"/>
      <c r="P528" s="589">
        <v>2833703.36</v>
      </c>
      <c r="Q528" s="232" t="s">
        <v>70</v>
      </c>
      <c r="R528" s="478"/>
      <c r="S528" s="232"/>
      <c r="T528" s="732"/>
      <c r="U528" s="732"/>
    </row>
    <row r="529" spans="1:21" ht="14.25" hidden="1" customHeight="1">
      <c r="A529" s="225">
        <f>ROW()-1</f>
        <v>528</v>
      </c>
      <c r="B529" s="471">
        <v>46172</v>
      </c>
      <c r="C529" s="234" t="s">
        <v>20</v>
      </c>
      <c r="D529" s="242" t="s">
        <v>21</v>
      </c>
      <c r="E529" s="232"/>
      <c r="F529" s="232" t="s">
        <v>59</v>
      </c>
      <c r="G529" s="234" t="s">
        <v>1696</v>
      </c>
      <c r="H529" s="233"/>
      <c r="I529" s="243" t="s">
        <v>1697</v>
      </c>
      <c r="J529" s="258" t="s">
        <v>1698</v>
      </c>
      <c r="K529" s="234"/>
      <c r="L529" s="232" t="s">
        <v>27</v>
      </c>
      <c r="M529" s="232" t="s">
        <v>28</v>
      </c>
      <c r="N529" s="234"/>
      <c r="O529" s="235"/>
      <c r="P529" s="589"/>
      <c r="Q529" s="232"/>
      <c r="R529" s="478"/>
      <c r="S529" s="232"/>
      <c r="T529" s="732"/>
      <c r="U529" s="732"/>
    </row>
    <row r="530" spans="1:21" ht="14.25" hidden="1" customHeight="1">
      <c r="A530" s="225">
        <f>ROW()-1</f>
        <v>529</v>
      </c>
      <c r="B530" s="471">
        <v>46172</v>
      </c>
      <c r="C530" s="234" t="s">
        <v>1699</v>
      </c>
      <c r="D530" s="242" t="s">
        <v>1700</v>
      </c>
      <c r="E530" s="232" t="s">
        <v>390</v>
      </c>
      <c r="F530" s="232" t="s">
        <v>83</v>
      </c>
      <c r="G530" s="234" t="s">
        <v>1701</v>
      </c>
      <c r="H530" s="233">
        <v>8489099758</v>
      </c>
      <c r="I530" s="243" t="s">
        <v>1702</v>
      </c>
      <c r="J530" s="258" t="s">
        <v>1113</v>
      </c>
      <c r="K530" s="234" t="s">
        <v>1703</v>
      </c>
      <c r="L530" s="232" t="s">
        <v>49</v>
      </c>
      <c r="M530" s="232" t="s">
        <v>50</v>
      </c>
      <c r="N530" s="234"/>
      <c r="O530" s="235"/>
      <c r="P530" s="589"/>
      <c r="Q530" s="232"/>
      <c r="R530" s="478"/>
      <c r="S530" s="232"/>
      <c r="T530" s="732"/>
      <c r="U530" s="732"/>
    </row>
    <row r="531" spans="1:21" ht="14.25" hidden="1" customHeight="1">
      <c r="A531" s="225">
        <f>ROW()-1</f>
        <v>530</v>
      </c>
      <c r="B531" s="471">
        <v>46172</v>
      </c>
      <c r="C531" s="234" t="s">
        <v>1704</v>
      </c>
      <c r="D531" s="242" t="s">
        <v>655</v>
      </c>
      <c r="E531" s="232" t="s">
        <v>205</v>
      </c>
      <c r="F531" s="232" t="s">
        <v>23</v>
      </c>
      <c r="G531" s="234" t="s">
        <v>1027</v>
      </c>
      <c r="H531" s="233">
        <v>7904823142</v>
      </c>
      <c r="I531" s="243" t="s">
        <v>1430</v>
      </c>
      <c r="J531" s="258" t="s">
        <v>567</v>
      </c>
      <c r="K531" s="234" t="s">
        <v>1704</v>
      </c>
      <c r="L531" s="232" t="s">
        <v>58</v>
      </c>
      <c r="M531" s="232" t="s">
        <v>50</v>
      </c>
      <c r="N531" s="234"/>
      <c r="O531" s="235"/>
      <c r="P531" s="589"/>
      <c r="Q531" s="232"/>
      <c r="R531" s="478"/>
      <c r="S531" s="232"/>
      <c r="T531" s="732"/>
      <c r="U531" s="732"/>
    </row>
    <row r="532" spans="1:21" ht="14.25" hidden="1" customHeight="1">
      <c r="A532" s="225">
        <f>ROW()-1</f>
        <v>531</v>
      </c>
      <c r="B532" s="471">
        <v>46172</v>
      </c>
      <c r="C532" s="234" t="s">
        <v>837</v>
      </c>
      <c r="D532" s="242" t="s">
        <v>833</v>
      </c>
      <c r="E532" s="232" t="s">
        <v>82</v>
      </c>
      <c r="F532" s="232" t="s">
        <v>73</v>
      </c>
      <c r="G532" s="234" t="s">
        <v>1705</v>
      </c>
      <c r="H532" s="233">
        <v>9380005085</v>
      </c>
      <c r="I532" s="243" t="s">
        <v>835</v>
      </c>
      <c r="J532" s="258" t="s">
        <v>122</v>
      </c>
      <c r="K532" s="234" t="s">
        <v>837</v>
      </c>
      <c r="L532" s="232" t="s">
        <v>58</v>
      </c>
      <c r="M532" s="232" t="s">
        <v>50</v>
      </c>
      <c r="N532" s="234"/>
      <c r="O532" s="235"/>
      <c r="P532" s="589"/>
      <c r="Q532" s="232"/>
      <c r="R532" s="478"/>
      <c r="S532" s="232"/>
      <c r="T532" s="732"/>
      <c r="U532" s="732"/>
    </row>
    <row r="533" spans="1:21" ht="14.25" hidden="1" customHeight="1">
      <c r="A533" s="225">
        <f>ROW()-1</f>
        <v>532</v>
      </c>
      <c r="B533" s="471">
        <v>46172</v>
      </c>
      <c r="C533" s="234" t="s">
        <v>139</v>
      </c>
      <c r="D533" s="242" t="s">
        <v>586</v>
      </c>
      <c r="E533" s="232" t="s">
        <v>22</v>
      </c>
      <c r="F533" s="232" t="s">
        <v>59</v>
      </c>
      <c r="G533" s="234"/>
      <c r="H533" s="233">
        <v>8080343768</v>
      </c>
      <c r="I533" s="480" t="s">
        <v>139</v>
      </c>
      <c r="J533" s="258" t="s">
        <v>122</v>
      </c>
      <c r="K533" s="234" t="s">
        <v>1706</v>
      </c>
      <c r="L533" s="232" t="s">
        <v>49</v>
      </c>
      <c r="M533" s="232" t="s">
        <v>50</v>
      </c>
      <c r="N533" s="234"/>
      <c r="O533" s="235"/>
      <c r="P533" s="589"/>
      <c r="Q533" s="232"/>
      <c r="R533" s="478"/>
      <c r="S533" s="232"/>
      <c r="T533" s="732"/>
      <c r="U533" s="732"/>
    </row>
    <row r="534" spans="1:21" ht="14.25" hidden="1" customHeight="1">
      <c r="A534" s="225">
        <f>ROW()-1</f>
        <v>533</v>
      </c>
      <c r="B534" s="471">
        <v>46172</v>
      </c>
      <c r="C534" s="234" t="s">
        <v>1707</v>
      </c>
      <c r="D534" s="242" t="s">
        <v>1708</v>
      </c>
      <c r="E534" s="232" t="s">
        <v>22</v>
      </c>
      <c r="F534" s="232" t="s">
        <v>32</v>
      </c>
      <c r="G534" s="234" t="s">
        <v>1709</v>
      </c>
      <c r="H534" s="233">
        <v>9281458312</v>
      </c>
      <c r="I534" s="243" t="s">
        <v>1710</v>
      </c>
      <c r="J534" s="258" t="s">
        <v>86</v>
      </c>
      <c r="K534" s="234" t="s">
        <v>1711</v>
      </c>
      <c r="L534" s="232" t="s">
        <v>74</v>
      </c>
      <c r="M534" s="232" t="s">
        <v>50</v>
      </c>
      <c r="N534" s="234" t="s">
        <v>1712</v>
      </c>
      <c r="O534" s="235">
        <v>46173</v>
      </c>
      <c r="P534" s="589">
        <v>1600000</v>
      </c>
      <c r="Q534" s="232" t="s">
        <v>70</v>
      </c>
      <c r="R534" s="478"/>
      <c r="S534" s="232"/>
      <c r="T534" s="732"/>
      <c r="U534" s="732"/>
    </row>
    <row r="535" spans="1:21" ht="14.25" hidden="1" customHeight="1">
      <c r="A535" s="225">
        <f>ROW()-1</f>
        <v>534</v>
      </c>
      <c r="B535" s="471">
        <v>46172</v>
      </c>
      <c r="C535" s="234" t="s">
        <v>1436</v>
      </c>
      <c r="D535" s="242" t="s">
        <v>1713</v>
      </c>
      <c r="E535" s="232" t="s">
        <v>272</v>
      </c>
      <c r="F535" s="232" t="s">
        <v>73</v>
      </c>
      <c r="G535" s="234" t="s">
        <v>1428</v>
      </c>
      <c r="H535" s="233">
        <v>9915606660</v>
      </c>
      <c r="I535" s="243" t="s">
        <v>1714</v>
      </c>
      <c r="J535" s="258" t="s">
        <v>1438</v>
      </c>
      <c r="K535" s="234" t="s">
        <v>1436</v>
      </c>
      <c r="L535" s="232" t="s">
        <v>58</v>
      </c>
      <c r="M535" s="232" t="s">
        <v>50</v>
      </c>
      <c r="N535" s="234"/>
      <c r="O535" s="235"/>
      <c r="P535" s="589"/>
      <c r="Q535" s="232"/>
      <c r="R535" s="478"/>
      <c r="S535" s="232"/>
      <c r="T535" s="732"/>
      <c r="U535" s="732"/>
    </row>
    <row r="536" spans="1:21" ht="14.25" hidden="1" customHeight="1">
      <c r="A536" s="225">
        <f>ROW()-1</f>
        <v>535</v>
      </c>
      <c r="B536" s="471">
        <v>46172</v>
      </c>
      <c r="C536" s="234" t="s">
        <v>1715</v>
      </c>
      <c r="D536" s="242" t="s">
        <v>1716</v>
      </c>
      <c r="E536" s="232" t="s">
        <v>22</v>
      </c>
      <c r="F536" s="232" t="s">
        <v>59</v>
      </c>
      <c r="G536" s="234" t="s">
        <v>1717</v>
      </c>
      <c r="H536" s="233">
        <v>9730621899</v>
      </c>
      <c r="I536" s="243" t="s">
        <v>1718</v>
      </c>
      <c r="J536" s="258" t="s">
        <v>66</v>
      </c>
      <c r="K536" s="234"/>
      <c r="L536" s="232" t="s">
        <v>117</v>
      </c>
      <c r="M536" s="232" t="s">
        <v>40</v>
      </c>
      <c r="N536" s="234" t="s">
        <v>1719</v>
      </c>
      <c r="O536" s="235">
        <v>46173</v>
      </c>
      <c r="P536" s="589">
        <v>14850</v>
      </c>
      <c r="Q536" s="232" t="s">
        <v>70</v>
      </c>
      <c r="R536" s="478"/>
      <c r="S536" s="232"/>
      <c r="T536" s="732"/>
      <c r="U536" s="732"/>
    </row>
    <row r="537" spans="1:21" ht="14.25" hidden="1" customHeight="1">
      <c r="A537" s="225">
        <f>ROW()-1</f>
        <v>536</v>
      </c>
      <c r="B537" s="471">
        <v>46172</v>
      </c>
      <c r="C537" s="234" t="s">
        <v>1720</v>
      </c>
      <c r="D537" s="242" t="s">
        <v>749</v>
      </c>
      <c r="E537" s="232" t="s">
        <v>214</v>
      </c>
      <c r="F537" s="232" t="s">
        <v>73</v>
      </c>
      <c r="G537" s="234" t="s">
        <v>1721</v>
      </c>
      <c r="H537" s="233">
        <v>7075717268</v>
      </c>
      <c r="I537" s="243"/>
      <c r="J537" s="258" t="s">
        <v>1113</v>
      </c>
      <c r="K537" s="234" t="s">
        <v>1720</v>
      </c>
      <c r="L537" s="232" t="s">
        <v>58</v>
      </c>
      <c r="M537" s="232" t="s">
        <v>50</v>
      </c>
      <c r="N537" s="234"/>
      <c r="O537" s="235"/>
      <c r="P537" s="589"/>
      <c r="Q537" s="232"/>
      <c r="R537" s="478"/>
      <c r="S537" s="232"/>
      <c r="T537" s="732"/>
      <c r="U537" s="732"/>
    </row>
    <row r="538" spans="1:21" ht="14.25" hidden="1" customHeight="1">
      <c r="A538" s="225">
        <f>ROW()-1</f>
        <v>537</v>
      </c>
      <c r="B538" s="471">
        <v>46172</v>
      </c>
      <c r="C538" s="234" t="s">
        <v>1722</v>
      </c>
      <c r="D538" s="242" t="s">
        <v>1445</v>
      </c>
      <c r="E538" s="232" t="s">
        <v>214</v>
      </c>
      <c r="F538" s="232" t="s">
        <v>73</v>
      </c>
      <c r="G538" s="234" t="s">
        <v>1723</v>
      </c>
      <c r="H538" s="233">
        <v>9133050119</v>
      </c>
      <c r="I538" s="243"/>
      <c r="J538" s="258" t="s">
        <v>63</v>
      </c>
      <c r="K538" s="234" t="s">
        <v>1722</v>
      </c>
      <c r="L538" s="232" t="s">
        <v>58</v>
      </c>
      <c r="M538" s="232" t="s">
        <v>50</v>
      </c>
      <c r="N538" s="234"/>
      <c r="O538" s="235"/>
      <c r="P538" s="589"/>
      <c r="Q538" s="232"/>
      <c r="R538" s="478"/>
      <c r="S538" s="232"/>
      <c r="T538" s="732"/>
      <c r="U538" s="732"/>
    </row>
    <row r="539" spans="1:21" ht="14.25" hidden="1" customHeight="1">
      <c r="A539" s="225">
        <f>ROW()-1</f>
        <v>538</v>
      </c>
      <c r="B539" s="471">
        <v>46172</v>
      </c>
      <c r="C539" s="234" t="s">
        <v>1724</v>
      </c>
      <c r="D539" s="242" t="s">
        <v>1447</v>
      </c>
      <c r="E539" s="232" t="s">
        <v>205</v>
      </c>
      <c r="F539" s="232" t="s">
        <v>23</v>
      </c>
      <c r="G539" s="234" t="s">
        <v>1725</v>
      </c>
      <c r="H539" s="233">
        <v>7904823142</v>
      </c>
      <c r="I539" s="243" t="s">
        <v>1726</v>
      </c>
      <c r="J539" s="258" t="s">
        <v>1113</v>
      </c>
      <c r="K539" s="234" t="s">
        <v>1727</v>
      </c>
      <c r="L539" s="232" t="s">
        <v>49</v>
      </c>
      <c r="M539" s="232" t="s">
        <v>50</v>
      </c>
      <c r="N539" s="234"/>
      <c r="O539" s="235"/>
      <c r="P539" s="589"/>
      <c r="Q539" s="232"/>
      <c r="R539" s="478"/>
      <c r="S539" s="232"/>
      <c r="T539" s="732"/>
      <c r="U539" s="732"/>
    </row>
    <row r="540" spans="1:21" ht="14.25" hidden="1" customHeight="1">
      <c r="A540" s="225">
        <f>ROW()-1</f>
        <v>539</v>
      </c>
      <c r="B540" s="471">
        <v>46172</v>
      </c>
      <c r="C540" s="234" t="s">
        <v>1728</v>
      </c>
      <c r="D540" s="242" t="s">
        <v>1716</v>
      </c>
      <c r="E540" s="232" t="s">
        <v>22</v>
      </c>
      <c r="F540" s="232" t="s">
        <v>60</v>
      </c>
      <c r="G540" s="234" t="s">
        <v>1729</v>
      </c>
      <c r="H540" s="233"/>
      <c r="I540" s="243"/>
      <c r="J540" s="258" t="s">
        <v>66</v>
      </c>
      <c r="K540" s="234"/>
      <c r="L540" s="232" t="s">
        <v>74</v>
      </c>
      <c r="M540" s="236" t="s">
        <v>40</v>
      </c>
      <c r="N540" s="234" t="s">
        <v>1730</v>
      </c>
      <c r="O540" s="235">
        <v>46172</v>
      </c>
      <c r="P540" s="589">
        <v>144898</v>
      </c>
      <c r="Q540" s="232" t="s">
        <v>70</v>
      </c>
      <c r="R540" s="478"/>
      <c r="S540" s="232"/>
      <c r="T540" s="732"/>
      <c r="U540" s="732"/>
    </row>
    <row r="541" spans="1:21" ht="14.25" hidden="1" customHeight="1">
      <c r="A541" s="225">
        <f>ROW()-1</f>
        <v>540</v>
      </c>
      <c r="B541" s="471">
        <v>46173</v>
      </c>
      <c r="C541" s="234" t="s">
        <v>1731</v>
      </c>
      <c r="D541" s="242" t="s">
        <v>192</v>
      </c>
      <c r="E541" s="232" t="s">
        <v>193</v>
      </c>
      <c r="F541" s="232" t="s">
        <v>60</v>
      </c>
      <c r="G541" s="234" t="s">
        <v>1732</v>
      </c>
      <c r="H541" s="233">
        <v>9428157067</v>
      </c>
      <c r="I541" s="243" t="s">
        <v>1733</v>
      </c>
      <c r="J541" s="258" t="s">
        <v>567</v>
      </c>
      <c r="K541" s="234" t="s">
        <v>1731</v>
      </c>
      <c r="L541" s="232" t="s">
        <v>58</v>
      </c>
      <c r="M541" s="236" t="s">
        <v>40</v>
      </c>
      <c r="N541" s="234"/>
      <c r="O541" s="235"/>
      <c r="P541" s="589"/>
      <c r="Q541" s="232"/>
      <c r="R541" s="478"/>
      <c r="S541" s="232"/>
      <c r="T541" s="732"/>
      <c r="U541" s="732"/>
    </row>
    <row r="542" spans="1:21" ht="14.25" hidden="1" customHeight="1">
      <c r="A542" s="225">
        <f>ROW()-1</f>
        <v>541</v>
      </c>
      <c r="B542" s="471">
        <v>46173</v>
      </c>
      <c r="C542" s="234" t="s">
        <v>1734</v>
      </c>
      <c r="D542" s="242" t="s">
        <v>1735</v>
      </c>
      <c r="E542" s="232" t="s">
        <v>193</v>
      </c>
      <c r="F542" s="232" t="s">
        <v>73</v>
      </c>
      <c r="G542" s="234" t="s">
        <v>1736</v>
      </c>
      <c r="H542" s="233">
        <v>9328575111</v>
      </c>
      <c r="I542" s="565" t="s">
        <v>1737</v>
      </c>
      <c r="J542" s="258" t="s">
        <v>567</v>
      </c>
      <c r="K542" s="234" t="s">
        <v>1738</v>
      </c>
      <c r="L542" s="232" t="s">
        <v>49</v>
      </c>
      <c r="M542" s="232" t="s">
        <v>50</v>
      </c>
      <c r="N542" s="234"/>
      <c r="O542" s="235"/>
      <c r="P542" s="589"/>
      <c r="Q542" s="232"/>
      <c r="R542" s="478"/>
      <c r="S542" s="232"/>
      <c r="T542" s="732"/>
      <c r="U542" s="732"/>
    </row>
    <row r="543" spans="1:21" ht="14.25" hidden="1" customHeight="1">
      <c r="A543" s="225">
        <f>ROW()-1</f>
        <v>542</v>
      </c>
      <c r="B543" s="471">
        <v>46173</v>
      </c>
      <c r="C543" s="234" t="s">
        <v>1739</v>
      </c>
      <c r="D543" s="242" t="s">
        <v>131</v>
      </c>
      <c r="E543" s="232" t="s">
        <v>22</v>
      </c>
      <c r="F543" s="232" t="s">
        <v>73</v>
      </c>
      <c r="G543" s="234" t="s">
        <v>1740</v>
      </c>
      <c r="H543" s="233"/>
      <c r="I543" s="243" t="s">
        <v>1741</v>
      </c>
      <c r="J543" s="258" t="s">
        <v>66</v>
      </c>
      <c r="K543" s="234" t="s">
        <v>1742</v>
      </c>
      <c r="L543" s="232" t="s">
        <v>27</v>
      </c>
      <c r="M543" s="232" t="s">
        <v>28</v>
      </c>
      <c r="N543" s="234" t="s">
        <v>1743</v>
      </c>
      <c r="O543" s="235">
        <v>46174</v>
      </c>
      <c r="P543" s="589">
        <v>2897209.17</v>
      </c>
      <c r="Q543" s="232" t="s">
        <v>70</v>
      </c>
      <c r="R543" s="478"/>
      <c r="S543" s="232"/>
      <c r="T543" s="732"/>
      <c r="U543" s="732"/>
    </row>
    <row r="544" spans="1:21" ht="14.25" hidden="1" customHeight="1">
      <c r="A544" s="225">
        <f>ROW()-1</f>
        <v>543</v>
      </c>
      <c r="B544" s="471">
        <v>46173</v>
      </c>
      <c r="C544" s="234" t="s">
        <v>1744</v>
      </c>
      <c r="D544" s="242" t="s">
        <v>586</v>
      </c>
      <c r="E544" s="232" t="s">
        <v>22</v>
      </c>
      <c r="F544" s="232" t="s">
        <v>23</v>
      </c>
      <c r="G544" s="234" t="s">
        <v>1745</v>
      </c>
      <c r="H544" s="233">
        <v>9225857893</v>
      </c>
      <c r="I544" s="243" t="s">
        <v>1462</v>
      </c>
      <c r="J544" s="258" t="s">
        <v>567</v>
      </c>
      <c r="K544" s="234" t="s">
        <v>1746</v>
      </c>
      <c r="L544" s="232" t="s">
        <v>49</v>
      </c>
      <c r="M544" s="232" t="s">
        <v>50</v>
      </c>
      <c r="N544" s="234"/>
      <c r="O544" s="235"/>
      <c r="P544" s="589"/>
      <c r="Q544" s="232"/>
      <c r="R544" s="478"/>
      <c r="S544" s="232"/>
      <c r="T544" s="732"/>
      <c r="U544" s="732"/>
    </row>
    <row r="545" spans="1:21" ht="14.25" hidden="1" customHeight="1">
      <c r="A545" s="225">
        <f>ROW()-1</f>
        <v>544</v>
      </c>
      <c r="B545" s="471">
        <v>46173</v>
      </c>
      <c r="C545" s="234" t="s">
        <v>1747</v>
      </c>
      <c r="D545" s="242" t="s">
        <v>586</v>
      </c>
      <c r="E545" s="232" t="s">
        <v>22</v>
      </c>
      <c r="F545" s="232" t="s">
        <v>32</v>
      </c>
      <c r="G545" s="234" t="s">
        <v>1748</v>
      </c>
      <c r="H545" s="233">
        <v>9511893171</v>
      </c>
      <c r="I545" s="480" t="s">
        <v>139</v>
      </c>
      <c r="J545" s="258" t="s">
        <v>567</v>
      </c>
      <c r="K545" s="234" t="s">
        <v>1747</v>
      </c>
      <c r="L545" s="232" t="s">
        <v>49</v>
      </c>
      <c r="M545" s="232" t="s">
        <v>50</v>
      </c>
      <c r="N545" s="234"/>
      <c r="O545" s="235"/>
      <c r="P545" s="589"/>
      <c r="Q545" s="232"/>
      <c r="R545" s="478"/>
      <c r="S545" s="232"/>
      <c r="T545" s="732"/>
      <c r="U545" s="732"/>
    </row>
    <row r="546" spans="1:21" ht="14.25" hidden="1" customHeight="1">
      <c r="A546" s="225">
        <f>ROW()-1</f>
        <v>545</v>
      </c>
      <c r="B546" s="471">
        <v>46174</v>
      </c>
      <c r="C546" s="234" t="s">
        <v>1464</v>
      </c>
      <c r="D546" s="242" t="s">
        <v>131</v>
      </c>
      <c r="E546" s="232" t="s">
        <v>22</v>
      </c>
      <c r="F546" s="232" t="s">
        <v>73</v>
      </c>
      <c r="G546" s="234" t="s">
        <v>1749</v>
      </c>
      <c r="H546" s="233">
        <v>8669660939</v>
      </c>
      <c r="I546" s="243" t="s">
        <v>1750</v>
      </c>
      <c r="J546" s="258" t="s">
        <v>66</v>
      </c>
      <c r="K546" s="234" t="s">
        <v>889</v>
      </c>
      <c r="L546" s="232" t="s">
        <v>27</v>
      </c>
      <c r="M546" s="232" t="s">
        <v>28</v>
      </c>
      <c r="N546" s="234" t="s">
        <v>1751</v>
      </c>
      <c r="O546" s="235">
        <v>46174</v>
      </c>
      <c r="P546" s="589">
        <v>235000</v>
      </c>
      <c r="Q546" s="232" t="s">
        <v>70</v>
      </c>
      <c r="R546" s="478"/>
      <c r="S546" s="232"/>
      <c r="T546" s="732"/>
      <c r="U546" s="732"/>
    </row>
    <row r="547" spans="1:21" ht="14.25" hidden="1" customHeight="1">
      <c r="A547" s="225">
        <f>ROW()-1</f>
        <v>546</v>
      </c>
      <c r="B547" s="471">
        <v>46174</v>
      </c>
      <c r="C547" s="234" t="s">
        <v>20</v>
      </c>
      <c r="D547" s="242" t="s">
        <v>131</v>
      </c>
      <c r="E547" s="232" t="s">
        <v>22</v>
      </c>
      <c r="F547" s="232" t="s">
        <v>59</v>
      </c>
      <c r="G547" s="234" t="s">
        <v>1752</v>
      </c>
      <c r="H547" s="233">
        <v>7742081777</v>
      </c>
      <c r="I547" s="243" t="s">
        <v>1753</v>
      </c>
      <c r="J547" s="258" t="s">
        <v>86</v>
      </c>
      <c r="K547" s="234" t="s">
        <v>1754</v>
      </c>
      <c r="L547" s="232" t="s">
        <v>27</v>
      </c>
      <c r="M547" s="232" t="s">
        <v>28</v>
      </c>
      <c r="N547" s="234" t="s">
        <v>1755</v>
      </c>
      <c r="O547" s="235">
        <v>46178</v>
      </c>
      <c r="P547" s="589">
        <v>7625000</v>
      </c>
      <c r="Q547" s="232" t="s">
        <v>70</v>
      </c>
      <c r="R547" s="478"/>
      <c r="S547" s="232"/>
      <c r="T547" s="732"/>
      <c r="U547" s="732"/>
    </row>
    <row r="548" spans="1:21" ht="14.25" hidden="1" customHeight="1">
      <c r="A548" s="225">
        <f>ROW()-1</f>
        <v>547</v>
      </c>
      <c r="B548" s="471">
        <v>46174</v>
      </c>
      <c r="C548" s="234" t="s">
        <v>1469</v>
      </c>
      <c r="D548" s="242"/>
      <c r="E548" s="232"/>
      <c r="F548" s="232" t="s">
        <v>59</v>
      </c>
      <c r="G548" s="234"/>
      <c r="H548" s="233">
        <v>9720054390</v>
      </c>
      <c r="I548" s="243" t="s">
        <v>1756</v>
      </c>
      <c r="J548" s="258" t="s">
        <v>122</v>
      </c>
      <c r="K548" s="234" t="s">
        <v>1469</v>
      </c>
      <c r="L548" s="232" t="s">
        <v>49</v>
      </c>
      <c r="M548" s="232" t="s">
        <v>50</v>
      </c>
      <c r="N548" s="234"/>
      <c r="O548" s="235"/>
      <c r="P548" s="589"/>
      <c r="Q548" s="232"/>
      <c r="R548" s="478"/>
      <c r="S548" s="232"/>
      <c r="T548" s="732"/>
      <c r="U548" s="732"/>
    </row>
    <row r="549" spans="1:21" ht="14.25" hidden="1" customHeight="1">
      <c r="A549" s="225">
        <f>ROW()-1</f>
        <v>548</v>
      </c>
      <c r="B549" s="471">
        <v>46175</v>
      </c>
      <c r="C549" s="234" t="s">
        <v>1757</v>
      </c>
      <c r="D549" s="242" t="s">
        <v>795</v>
      </c>
      <c r="E549" s="232" t="s">
        <v>162</v>
      </c>
      <c r="F549" s="232" t="s">
        <v>32</v>
      </c>
      <c r="G549" s="234" t="s">
        <v>1758</v>
      </c>
      <c r="H549" s="233">
        <v>9993345567</v>
      </c>
      <c r="I549" s="558" t="s">
        <v>139</v>
      </c>
      <c r="J549" s="258" t="s">
        <v>47</v>
      </c>
      <c r="K549" s="560" t="s">
        <v>139</v>
      </c>
      <c r="L549" s="232" t="s">
        <v>49</v>
      </c>
      <c r="M549" s="232" t="s">
        <v>50</v>
      </c>
      <c r="N549" s="234"/>
      <c r="O549" s="235"/>
      <c r="P549" s="589"/>
      <c r="Q549" s="232"/>
      <c r="R549" s="478"/>
      <c r="S549" s="232"/>
      <c r="T549" s="732"/>
      <c r="U549" s="732"/>
    </row>
    <row r="550" spans="1:21" ht="14.25" hidden="1" customHeight="1">
      <c r="A550" s="225">
        <f>ROW()-1</f>
        <v>549</v>
      </c>
      <c r="B550" s="471">
        <v>46175</v>
      </c>
      <c r="C550" s="234" t="s">
        <v>1759</v>
      </c>
      <c r="D550" s="242" t="s">
        <v>1486</v>
      </c>
      <c r="E550" s="232" t="s">
        <v>193</v>
      </c>
      <c r="F550" s="232" t="s">
        <v>83</v>
      </c>
      <c r="G550" s="234" t="s">
        <v>852</v>
      </c>
      <c r="H550" s="233">
        <v>9638091931</v>
      </c>
      <c r="I550" s="243" t="s">
        <v>1760</v>
      </c>
      <c r="J550" s="258" t="s">
        <v>1113</v>
      </c>
      <c r="K550" s="234" t="s">
        <v>1761</v>
      </c>
      <c r="L550" s="232" t="s">
        <v>49</v>
      </c>
      <c r="M550" s="232" t="s">
        <v>50</v>
      </c>
      <c r="N550" s="234"/>
      <c r="O550" s="235"/>
      <c r="P550" s="589"/>
      <c r="Q550" s="232"/>
      <c r="R550" s="478"/>
      <c r="S550" s="232"/>
      <c r="T550" s="732"/>
      <c r="U550" s="732"/>
    </row>
    <row r="551" spans="1:21" ht="14.25" hidden="1" customHeight="1">
      <c r="A551" s="225">
        <f>ROW()-1</f>
        <v>550</v>
      </c>
      <c r="B551" s="471">
        <v>46175</v>
      </c>
      <c r="C551" s="234" t="s">
        <v>1762</v>
      </c>
      <c r="D551" s="242" t="s">
        <v>690</v>
      </c>
      <c r="E551" s="232" t="s">
        <v>193</v>
      </c>
      <c r="F551" s="232" t="s">
        <v>60</v>
      </c>
      <c r="G551" s="234" t="s">
        <v>1763</v>
      </c>
      <c r="H551" s="233">
        <v>7777949840</v>
      </c>
      <c r="I551" s="243" t="s">
        <v>1474</v>
      </c>
      <c r="J551" s="258" t="s">
        <v>122</v>
      </c>
      <c r="K551" s="234" t="s">
        <v>1764</v>
      </c>
      <c r="L551" s="232" t="s">
        <v>49</v>
      </c>
      <c r="M551" s="236" t="s">
        <v>40</v>
      </c>
      <c r="N551" s="234"/>
      <c r="O551" s="235"/>
      <c r="P551" s="589"/>
      <c r="Q551" s="232"/>
      <c r="R551" s="478"/>
      <c r="S551" s="232"/>
      <c r="T551" s="732"/>
      <c r="U551" s="732"/>
    </row>
    <row r="552" spans="1:21" ht="14.25" hidden="1" customHeight="1">
      <c r="A552" s="225">
        <f>ROW()-1</f>
        <v>551</v>
      </c>
      <c r="B552" s="471">
        <v>46175</v>
      </c>
      <c r="C552" s="234" t="s">
        <v>1765</v>
      </c>
      <c r="D552" s="242" t="s">
        <v>749</v>
      </c>
      <c r="E552" s="232" t="s">
        <v>214</v>
      </c>
      <c r="F552" s="232" t="s">
        <v>60</v>
      </c>
      <c r="G552" s="234" t="s">
        <v>1763</v>
      </c>
      <c r="H552" s="233">
        <v>8886771557</v>
      </c>
      <c r="I552" s="243" t="s">
        <v>1766</v>
      </c>
      <c r="J552" s="258" t="s">
        <v>122</v>
      </c>
      <c r="K552" s="234" t="s">
        <v>1216</v>
      </c>
      <c r="L552" s="232" t="s">
        <v>49</v>
      </c>
      <c r="M552" s="236" t="s">
        <v>40</v>
      </c>
      <c r="N552" s="234"/>
      <c r="O552" s="235"/>
      <c r="P552" s="589"/>
      <c r="Q552" s="232"/>
      <c r="R552" s="478"/>
      <c r="S552" s="232"/>
      <c r="T552" s="732"/>
      <c r="U552" s="732"/>
    </row>
    <row r="553" spans="1:21" ht="14.25" hidden="1" customHeight="1">
      <c r="A553" s="225">
        <f>ROW()-1</f>
        <v>552</v>
      </c>
      <c r="B553" s="471">
        <v>46175</v>
      </c>
      <c r="C553" s="234" t="s">
        <v>1477</v>
      </c>
      <c r="D553" s="242" t="s">
        <v>1767</v>
      </c>
      <c r="E553" s="232" t="s">
        <v>82</v>
      </c>
      <c r="F553" s="232" t="s">
        <v>23</v>
      </c>
      <c r="G553" s="234"/>
      <c r="H553" s="233">
        <v>9845868291</v>
      </c>
      <c r="I553" s="243" t="s">
        <v>1768</v>
      </c>
      <c r="J553" s="258" t="s">
        <v>63</v>
      </c>
      <c r="K553" s="234" t="s">
        <v>1769</v>
      </c>
      <c r="L553" s="232" t="s">
        <v>49</v>
      </c>
      <c r="M553" s="232" t="s">
        <v>50</v>
      </c>
      <c r="N553" s="234"/>
      <c r="O553" s="235"/>
      <c r="P553" s="589"/>
      <c r="Q553" s="232"/>
      <c r="R553" s="478"/>
      <c r="S553" s="232"/>
      <c r="T553" s="732"/>
      <c r="U553" s="732"/>
    </row>
    <row r="554" spans="1:21" ht="14.25" hidden="1" customHeight="1">
      <c r="A554" s="225">
        <f>ROW()-1</f>
        <v>553</v>
      </c>
      <c r="B554" s="471">
        <v>46175</v>
      </c>
      <c r="C554" s="234" t="s">
        <v>1770</v>
      </c>
      <c r="D554" s="242" t="s">
        <v>1771</v>
      </c>
      <c r="E554" s="232" t="s">
        <v>22</v>
      </c>
      <c r="F554" s="232" t="s">
        <v>60</v>
      </c>
      <c r="G554" s="234" t="s">
        <v>1763</v>
      </c>
      <c r="H554" s="233">
        <v>8446714177</v>
      </c>
      <c r="I554" s="243" t="s">
        <v>1772</v>
      </c>
      <c r="J554" s="258" t="s">
        <v>122</v>
      </c>
      <c r="K554" s="234" t="s">
        <v>1483</v>
      </c>
      <c r="L554" s="232" t="s">
        <v>49</v>
      </c>
      <c r="M554" s="236" t="s">
        <v>40</v>
      </c>
      <c r="N554" s="234"/>
      <c r="O554" s="235"/>
      <c r="P554" s="589"/>
      <c r="Q554" s="232"/>
      <c r="R554" s="478"/>
      <c r="S554" s="232"/>
      <c r="T554" s="732"/>
      <c r="U554" s="732"/>
    </row>
    <row r="555" spans="1:21" ht="14.25" hidden="1" customHeight="1">
      <c r="A555" s="225">
        <f>ROW()-1</f>
        <v>554</v>
      </c>
      <c r="B555" s="471">
        <v>46175</v>
      </c>
      <c r="C555" s="234" t="s">
        <v>1773</v>
      </c>
      <c r="D555" s="242" t="s">
        <v>1774</v>
      </c>
      <c r="E555" s="232" t="s">
        <v>22</v>
      </c>
      <c r="F555" s="232" t="s">
        <v>23</v>
      </c>
      <c r="G555" s="234" t="s">
        <v>1775</v>
      </c>
      <c r="H555" s="233">
        <v>9015105007</v>
      </c>
      <c r="I555" s="243"/>
      <c r="J555" s="258" t="s">
        <v>1113</v>
      </c>
      <c r="K555" s="234"/>
      <c r="L555" s="232" t="s">
        <v>58</v>
      </c>
      <c r="M555" s="232" t="s">
        <v>50</v>
      </c>
      <c r="N555" s="234"/>
      <c r="O555" s="235"/>
      <c r="P555" s="589"/>
      <c r="Q555" s="232"/>
      <c r="R555" s="478"/>
      <c r="S555" s="232"/>
      <c r="T555" s="732"/>
      <c r="U555" s="732"/>
    </row>
    <row r="556" spans="1:21" ht="14.25" hidden="1" customHeight="1">
      <c r="A556" s="225">
        <f>ROW()-1</f>
        <v>555</v>
      </c>
      <c r="B556" s="471">
        <v>46175</v>
      </c>
      <c r="C556" s="234" t="s">
        <v>1776</v>
      </c>
      <c r="D556" s="242" t="s">
        <v>1777</v>
      </c>
      <c r="E556" s="232" t="s">
        <v>272</v>
      </c>
      <c r="F556" s="232" t="s">
        <v>73</v>
      </c>
      <c r="G556" s="234" t="s">
        <v>1778</v>
      </c>
      <c r="H556" s="233">
        <v>9166908998</v>
      </c>
      <c r="I556" s="243"/>
      <c r="J556" s="258" t="s">
        <v>567</v>
      </c>
      <c r="K556" s="234"/>
      <c r="L556" s="232" t="s">
        <v>58</v>
      </c>
      <c r="M556" s="232" t="s">
        <v>50</v>
      </c>
      <c r="N556" s="234">
        <v>165</v>
      </c>
      <c r="O556" s="235"/>
      <c r="P556" s="589"/>
      <c r="Q556" s="232"/>
      <c r="R556" s="478"/>
      <c r="S556" s="232"/>
      <c r="T556" s="732"/>
      <c r="U556" s="732"/>
    </row>
    <row r="557" spans="1:21" ht="14.25" hidden="1" customHeight="1">
      <c r="A557" s="225">
        <f>ROW()-1</f>
        <v>556</v>
      </c>
      <c r="B557" s="471">
        <v>46175</v>
      </c>
      <c r="C557" s="238" t="s">
        <v>992</v>
      </c>
      <c r="D557" s="240" t="s">
        <v>927</v>
      </c>
      <c r="E557" s="236" t="s">
        <v>621</v>
      </c>
      <c r="F557" s="232" t="s">
        <v>73</v>
      </c>
      <c r="G557" s="234" t="s">
        <v>1779</v>
      </c>
      <c r="H557" s="233"/>
      <c r="I557" s="243" t="s">
        <v>1780</v>
      </c>
      <c r="J557" s="258" t="s">
        <v>66</v>
      </c>
      <c r="K557" s="234" t="s">
        <v>1781</v>
      </c>
      <c r="L557" s="236" t="s">
        <v>27</v>
      </c>
      <c r="M557" s="232" t="s">
        <v>28</v>
      </c>
      <c r="N557" s="740" t="s">
        <v>1782</v>
      </c>
      <c r="O557" s="235">
        <v>46193</v>
      </c>
      <c r="P557" s="589">
        <f>76963.52*95.4</f>
        <v>7342319.8080000011</v>
      </c>
      <c r="Q557" s="232"/>
      <c r="R557" s="478"/>
      <c r="S557" s="232"/>
      <c r="T557" s="732"/>
      <c r="U557" s="732"/>
    </row>
    <row r="558" spans="1:21" ht="14.25" hidden="1" customHeight="1">
      <c r="A558" s="225">
        <f>ROW()-1</f>
        <v>557</v>
      </c>
      <c r="B558" s="471">
        <v>46175</v>
      </c>
      <c r="C558" s="234" t="s">
        <v>1783</v>
      </c>
      <c r="D558" s="242" t="s">
        <v>1784</v>
      </c>
      <c r="E558" s="232" t="s">
        <v>22</v>
      </c>
      <c r="F558" s="232" t="s">
        <v>60</v>
      </c>
      <c r="G558" s="234" t="s">
        <v>1763</v>
      </c>
      <c r="H558" s="233">
        <v>8668943474</v>
      </c>
      <c r="I558" s="243" t="s">
        <v>1785</v>
      </c>
      <c r="J558" s="258" t="s">
        <v>171</v>
      </c>
      <c r="K558" s="234" t="s">
        <v>1786</v>
      </c>
      <c r="L558" s="232" t="s">
        <v>49</v>
      </c>
      <c r="M558" s="236" t="s">
        <v>40</v>
      </c>
      <c r="N558" s="597"/>
      <c r="O558" s="235"/>
      <c r="P558" s="589"/>
      <c r="Q558" s="232"/>
      <c r="R558" s="478"/>
      <c r="S558" s="232"/>
      <c r="T558" s="732"/>
      <c r="U558" s="732"/>
    </row>
    <row r="559" spans="1:21" ht="14.25" hidden="1" customHeight="1">
      <c r="A559" s="225">
        <f>ROW()-1</f>
        <v>558</v>
      </c>
      <c r="B559" s="471">
        <v>46176</v>
      </c>
      <c r="C559" s="234" t="s">
        <v>1787</v>
      </c>
      <c r="D559" s="242" t="s">
        <v>131</v>
      </c>
      <c r="E559" s="232" t="s">
        <v>22</v>
      </c>
      <c r="F559" s="236" t="s">
        <v>44</v>
      </c>
      <c r="G559" s="530" t="s">
        <v>1788</v>
      </c>
      <c r="H559" s="237">
        <v>9822549305</v>
      </c>
      <c r="I559" s="243" t="s">
        <v>1495</v>
      </c>
      <c r="J559" s="257" t="s">
        <v>567</v>
      </c>
      <c r="K559" s="238" t="s">
        <v>1789</v>
      </c>
      <c r="L559" s="232" t="s">
        <v>49</v>
      </c>
      <c r="M559" s="232" t="s">
        <v>50</v>
      </c>
      <c r="N559" s="234"/>
      <c r="O559" s="239"/>
      <c r="P559" s="593"/>
      <c r="Q559" s="236"/>
      <c r="R559" s="531"/>
      <c r="S559" s="236"/>
      <c r="T559" s="732"/>
      <c r="U559" s="732"/>
    </row>
    <row r="560" spans="1:21" ht="14.25" hidden="1" customHeight="1">
      <c r="A560" s="225">
        <f>ROW()-1</f>
        <v>559</v>
      </c>
      <c r="B560" s="471">
        <v>46176</v>
      </c>
      <c r="C560" s="234" t="s">
        <v>65</v>
      </c>
      <c r="D560" s="242" t="s">
        <v>131</v>
      </c>
      <c r="E560" s="232" t="s">
        <v>22</v>
      </c>
      <c r="F560" s="232" t="s">
        <v>23</v>
      </c>
      <c r="G560" s="234" t="s">
        <v>1790</v>
      </c>
      <c r="H560" s="233"/>
      <c r="I560" s="565" t="s">
        <v>67</v>
      </c>
      <c r="J560" s="258" t="s">
        <v>25</v>
      </c>
      <c r="K560" s="560" t="s">
        <v>68</v>
      </c>
      <c r="L560" s="232" t="s">
        <v>27</v>
      </c>
      <c r="M560" s="232" t="s">
        <v>40</v>
      </c>
      <c r="N560" s="234" t="s">
        <v>1791</v>
      </c>
      <c r="O560" s="235">
        <v>46176</v>
      </c>
      <c r="P560" s="589">
        <v>560000</v>
      </c>
      <c r="Q560" s="232" t="s">
        <v>30</v>
      </c>
      <c r="R560" s="478">
        <v>46178</v>
      </c>
      <c r="S560" s="232"/>
      <c r="T560" s="732"/>
      <c r="U560" s="732"/>
    </row>
    <row r="561" spans="1:21" ht="14.25" hidden="1" customHeight="1">
      <c r="A561" s="225">
        <f>ROW()-1</f>
        <v>560</v>
      </c>
      <c r="B561" s="471">
        <v>46176</v>
      </c>
      <c r="C561" s="234" t="s">
        <v>65</v>
      </c>
      <c r="D561" s="242" t="s">
        <v>131</v>
      </c>
      <c r="E561" s="232" t="s">
        <v>22</v>
      </c>
      <c r="F561" s="232" t="s">
        <v>23</v>
      </c>
      <c r="G561" s="234" t="s">
        <v>1790</v>
      </c>
      <c r="H561" s="233"/>
      <c r="I561" s="243" t="s">
        <v>67</v>
      </c>
      <c r="J561" s="258" t="s">
        <v>25</v>
      </c>
      <c r="K561" s="234" t="s">
        <v>68</v>
      </c>
      <c r="L561" s="232" t="s">
        <v>27</v>
      </c>
      <c r="M561" s="232" t="s">
        <v>40</v>
      </c>
      <c r="N561" s="234" t="s">
        <v>1792</v>
      </c>
      <c r="O561" s="235">
        <v>46182</v>
      </c>
      <c r="P561" s="589">
        <v>1330000</v>
      </c>
      <c r="Q561" s="232" t="s">
        <v>30</v>
      </c>
      <c r="R561" s="478">
        <v>46192</v>
      </c>
      <c r="S561" s="232"/>
      <c r="T561" s="732"/>
      <c r="U561" s="732"/>
    </row>
    <row r="562" spans="1:21" ht="14.25" hidden="1" customHeight="1">
      <c r="A562" s="225">
        <f>ROW()-1</f>
        <v>561</v>
      </c>
      <c r="B562" s="471">
        <v>46176</v>
      </c>
      <c r="C562" s="234" t="s">
        <v>1499</v>
      </c>
      <c r="D562" s="242" t="s">
        <v>1793</v>
      </c>
      <c r="E562" s="232" t="s">
        <v>272</v>
      </c>
      <c r="F562" s="232" t="s">
        <v>73</v>
      </c>
      <c r="G562" s="234"/>
      <c r="H562" s="233">
        <v>7888832094</v>
      </c>
      <c r="I562" s="243" t="s">
        <v>1794</v>
      </c>
      <c r="J562" s="258" t="s">
        <v>63</v>
      </c>
      <c r="K562" s="234" t="s">
        <v>1795</v>
      </c>
      <c r="L562" s="232" t="s">
        <v>27</v>
      </c>
      <c r="M562" s="232" t="s">
        <v>50</v>
      </c>
      <c r="N562" s="234"/>
      <c r="O562" s="235"/>
      <c r="P562" s="589"/>
      <c r="Q562" s="232"/>
      <c r="R562" s="478"/>
      <c r="S562" s="232"/>
      <c r="T562" s="732"/>
      <c r="U562" s="732"/>
    </row>
    <row r="563" spans="1:21" ht="14.25" hidden="1" customHeight="1">
      <c r="A563" s="225">
        <f>ROW()-1</f>
        <v>562</v>
      </c>
      <c r="B563" s="471">
        <v>46176</v>
      </c>
      <c r="C563" s="234" t="s">
        <v>1346</v>
      </c>
      <c r="D563" s="242" t="s">
        <v>21</v>
      </c>
      <c r="E563" s="232" t="s">
        <v>22</v>
      </c>
      <c r="F563" s="232" t="s">
        <v>73</v>
      </c>
      <c r="G563" s="234" t="s">
        <v>1796</v>
      </c>
      <c r="H563" s="233">
        <v>7391079106</v>
      </c>
      <c r="I563" s="243" t="s">
        <v>1503</v>
      </c>
      <c r="J563" s="258" t="s">
        <v>66</v>
      </c>
      <c r="K563" s="234" t="s">
        <v>1797</v>
      </c>
      <c r="L563" s="232" t="s">
        <v>27</v>
      </c>
      <c r="M563" s="232" t="s">
        <v>28</v>
      </c>
      <c r="N563" s="234"/>
      <c r="O563" s="235"/>
      <c r="P563" s="589"/>
      <c r="Q563" s="232"/>
      <c r="R563" s="478"/>
      <c r="S563" s="232"/>
      <c r="T563" s="732"/>
      <c r="U563" s="732"/>
    </row>
    <row r="564" spans="1:21" ht="14.25" hidden="1" customHeight="1">
      <c r="A564" s="225">
        <f>ROW()-1</f>
        <v>563</v>
      </c>
      <c r="B564" s="471">
        <v>46176</v>
      </c>
      <c r="C564" s="234" t="s">
        <v>1798</v>
      </c>
      <c r="D564" s="242" t="s">
        <v>1799</v>
      </c>
      <c r="E564" s="232" t="s">
        <v>22</v>
      </c>
      <c r="F564" s="232" t="s">
        <v>60</v>
      </c>
      <c r="G564" s="234" t="s">
        <v>1763</v>
      </c>
      <c r="H564" s="233">
        <v>9545380789</v>
      </c>
      <c r="I564" s="565" t="s">
        <v>1506</v>
      </c>
      <c r="J564" s="258" t="s">
        <v>122</v>
      </c>
      <c r="K564" s="560" t="s">
        <v>1800</v>
      </c>
      <c r="L564" s="232" t="s">
        <v>49</v>
      </c>
      <c r="M564" s="236" t="s">
        <v>40</v>
      </c>
      <c r="N564" s="234"/>
      <c r="O564" s="235"/>
      <c r="P564" s="589"/>
      <c r="Q564" s="232"/>
      <c r="R564" s="478"/>
      <c r="S564" s="232"/>
      <c r="T564" s="732"/>
      <c r="U564" s="732"/>
    </row>
    <row r="565" spans="1:21" ht="14.25" hidden="1" customHeight="1">
      <c r="A565" s="225">
        <f>ROW()-1</f>
        <v>564</v>
      </c>
      <c r="B565" s="471">
        <v>46176</v>
      </c>
      <c r="C565" s="234" t="s">
        <v>1508</v>
      </c>
      <c r="D565" s="242" t="s">
        <v>1260</v>
      </c>
      <c r="E565" s="232" t="s">
        <v>595</v>
      </c>
      <c r="F565" s="232" t="s">
        <v>60</v>
      </c>
      <c r="G565" s="234" t="s">
        <v>1801</v>
      </c>
      <c r="H565" s="233">
        <v>9062082988</v>
      </c>
      <c r="I565" s="243"/>
      <c r="J565" s="258" t="s">
        <v>122</v>
      </c>
      <c r="K565" s="234" t="s">
        <v>1802</v>
      </c>
      <c r="L565" s="232" t="s">
        <v>58</v>
      </c>
      <c r="M565" s="236" t="s">
        <v>40</v>
      </c>
      <c r="N565" s="234"/>
      <c r="O565" s="235"/>
      <c r="P565" s="589"/>
      <c r="Q565" s="232"/>
      <c r="R565" s="478"/>
      <c r="S565" s="232"/>
      <c r="T565" s="732"/>
      <c r="U565" s="732"/>
    </row>
    <row r="566" spans="1:21" s="464" customFormat="1" ht="14.25" hidden="1" customHeight="1">
      <c r="A566" s="225">
        <f>ROW()-1</f>
        <v>565</v>
      </c>
      <c r="B566" s="471">
        <v>46176</v>
      </c>
      <c r="C566" s="234" t="s">
        <v>1803</v>
      </c>
      <c r="D566" s="242" t="s">
        <v>1804</v>
      </c>
      <c r="E566" s="232" t="s">
        <v>514</v>
      </c>
      <c r="F566" s="232" t="s">
        <v>73</v>
      </c>
      <c r="G566" s="234" t="s">
        <v>1190</v>
      </c>
      <c r="H566" s="233">
        <v>7561905586</v>
      </c>
      <c r="I566" s="243"/>
      <c r="J566" s="258" t="s">
        <v>47</v>
      </c>
      <c r="K566" s="234" t="s">
        <v>1512</v>
      </c>
      <c r="L566" s="232" t="s">
        <v>58</v>
      </c>
      <c r="M566" s="232" t="s">
        <v>50</v>
      </c>
      <c r="N566" s="234"/>
      <c r="O566" s="235"/>
      <c r="P566" s="589"/>
      <c r="Q566" s="232"/>
      <c r="R566" s="478"/>
      <c r="S566" s="232"/>
      <c r="T566" s="529"/>
      <c r="U566" s="529"/>
    </row>
    <row r="567" spans="1:21" ht="14.25" hidden="1" customHeight="1">
      <c r="A567" s="225">
        <f>ROW()-1</f>
        <v>566</v>
      </c>
      <c r="B567" s="471">
        <v>46176</v>
      </c>
      <c r="C567" s="234" t="s">
        <v>1805</v>
      </c>
      <c r="D567" s="240" t="s">
        <v>1806</v>
      </c>
      <c r="E567" s="236" t="s">
        <v>82</v>
      </c>
      <c r="F567" s="236" t="s">
        <v>59</v>
      </c>
      <c r="G567" s="530" t="s">
        <v>1807</v>
      </c>
      <c r="H567" s="237">
        <v>9087781829</v>
      </c>
      <c r="I567" s="243" t="s">
        <v>1514</v>
      </c>
      <c r="J567" s="257" t="s">
        <v>122</v>
      </c>
      <c r="K567" s="238" t="s">
        <v>1808</v>
      </c>
      <c r="L567" s="232" t="s">
        <v>49</v>
      </c>
      <c r="M567" s="232" t="s">
        <v>50</v>
      </c>
      <c r="N567" s="234"/>
      <c r="O567" s="239"/>
      <c r="P567" s="593"/>
      <c r="Q567" s="236"/>
      <c r="R567" s="531"/>
      <c r="S567" s="236"/>
      <c r="T567" s="732"/>
      <c r="U567" s="732"/>
    </row>
    <row r="568" spans="1:21" ht="14.25" hidden="1" customHeight="1">
      <c r="A568" s="225">
        <f>ROW()-1</f>
        <v>567</v>
      </c>
      <c r="B568" s="471">
        <v>46176</v>
      </c>
      <c r="C568" s="234" t="s">
        <v>1809</v>
      </c>
      <c r="D568" s="240" t="s">
        <v>1810</v>
      </c>
      <c r="E568" s="236" t="s">
        <v>214</v>
      </c>
      <c r="F568" s="236" t="s">
        <v>83</v>
      </c>
      <c r="G568" s="530" t="s">
        <v>1811</v>
      </c>
      <c r="H568" s="237">
        <v>9866470304</v>
      </c>
      <c r="I568" s="243" t="s">
        <v>1518</v>
      </c>
      <c r="J568" s="257" t="s">
        <v>1113</v>
      </c>
      <c r="K568" s="532" t="s">
        <v>1812</v>
      </c>
      <c r="L568" s="232" t="s">
        <v>49</v>
      </c>
      <c r="M568" s="232" t="s">
        <v>50</v>
      </c>
      <c r="N568" s="234"/>
      <c r="O568" s="239"/>
      <c r="P568" s="593"/>
      <c r="Q568" s="236"/>
      <c r="R568" s="531"/>
      <c r="S568" s="236"/>
      <c r="T568" s="732"/>
      <c r="U568" s="732"/>
    </row>
    <row r="569" spans="1:21" ht="14.25" hidden="1" customHeight="1">
      <c r="A569" s="225">
        <f>ROW()-1</f>
        <v>568</v>
      </c>
      <c r="B569" s="471">
        <v>46176</v>
      </c>
      <c r="C569" s="234" t="s">
        <v>1520</v>
      </c>
      <c r="D569" s="242" t="s">
        <v>1813</v>
      </c>
      <c r="E569" s="232" t="s">
        <v>22</v>
      </c>
      <c r="F569" s="232" t="s">
        <v>23</v>
      </c>
      <c r="G569" s="234" t="s">
        <v>1487</v>
      </c>
      <c r="H569" s="233">
        <v>7798890900</v>
      </c>
      <c r="I569" s="243" t="s">
        <v>1814</v>
      </c>
      <c r="J569" s="258" t="s">
        <v>47</v>
      </c>
      <c r="K569" s="234" t="s">
        <v>1815</v>
      </c>
      <c r="L569" s="232" t="s">
        <v>58</v>
      </c>
      <c r="M569" s="232" t="s">
        <v>50</v>
      </c>
      <c r="N569" s="234"/>
      <c r="O569" s="235"/>
      <c r="P569" s="589"/>
      <c r="Q569" s="232"/>
      <c r="R569" s="478"/>
      <c r="S569" s="232"/>
      <c r="T569" s="732"/>
      <c r="U569" s="732"/>
    </row>
    <row r="570" spans="1:21" ht="14.25" hidden="1" customHeight="1">
      <c r="A570" s="225">
        <f>ROW()-1</f>
        <v>569</v>
      </c>
      <c r="B570" s="471">
        <v>46176</v>
      </c>
      <c r="C570" s="234" t="s">
        <v>1436</v>
      </c>
      <c r="D570" s="240" t="s">
        <v>1523</v>
      </c>
      <c r="E570" s="236" t="s">
        <v>126</v>
      </c>
      <c r="F570" s="236" t="s">
        <v>44</v>
      </c>
      <c r="G570" s="238"/>
      <c r="H570" s="237">
        <v>9999122898</v>
      </c>
      <c r="I570" s="480" t="s">
        <v>139</v>
      </c>
      <c r="J570" s="257" t="s">
        <v>122</v>
      </c>
      <c r="K570" s="234" t="s">
        <v>139</v>
      </c>
      <c r="L570" s="232" t="s">
        <v>49</v>
      </c>
      <c r="M570" s="232" t="s">
        <v>50</v>
      </c>
      <c r="N570" s="234"/>
      <c r="O570" s="239"/>
      <c r="P570" s="593"/>
      <c r="Q570" s="236"/>
      <c r="R570" s="531"/>
      <c r="S570" s="236"/>
      <c r="T570" s="732"/>
      <c r="U570" s="732"/>
    </row>
    <row r="571" spans="1:21" ht="14.25" hidden="1" customHeight="1">
      <c r="A571" s="225">
        <f>ROW()-1</f>
        <v>570</v>
      </c>
      <c r="B571" s="471">
        <v>46176</v>
      </c>
      <c r="C571" s="234" t="s">
        <v>1816</v>
      </c>
      <c r="D571" s="242" t="s">
        <v>1817</v>
      </c>
      <c r="E571" s="232" t="s">
        <v>193</v>
      </c>
      <c r="F571" s="232" t="s">
        <v>23</v>
      </c>
      <c r="G571" s="234" t="s">
        <v>777</v>
      </c>
      <c r="H571" s="233">
        <v>9510857905</v>
      </c>
      <c r="I571" s="243" t="s">
        <v>1526</v>
      </c>
      <c r="J571" s="258" t="s">
        <v>63</v>
      </c>
      <c r="K571" s="234" t="s">
        <v>1818</v>
      </c>
      <c r="L571" s="232" t="s">
        <v>49</v>
      </c>
      <c r="M571" s="232" t="s">
        <v>50</v>
      </c>
      <c r="N571" s="234"/>
      <c r="O571" s="235"/>
      <c r="P571" s="589"/>
      <c r="Q571" s="232"/>
      <c r="R571" s="478"/>
      <c r="S571" s="232"/>
      <c r="T571" s="732"/>
      <c r="U571" s="732"/>
    </row>
    <row r="572" spans="1:21" ht="14.25" hidden="1" customHeight="1">
      <c r="A572" s="225">
        <f>ROW()-1</f>
        <v>571</v>
      </c>
      <c r="B572" s="471">
        <v>46176</v>
      </c>
      <c r="C572" s="234" t="s">
        <v>1819</v>
      </c>
      <c r="D572" s="242" t="s">
        <v>131</v>
      </c>
      <c r="E572" s="232" t="s">
        <v>22</v>
      </c>
      <c r="F572" s="232" t="s">
        <v>73</v>
      </c>
      <c r="G572" s="234" t="s">
        <v>1820</v>
      </c>
      <c r="H572" s="233">
        <v>8690111325</v>
      </c>
      <c r="I572" s="480" t="s">
        <v>139</v>
      </c>
      <c r="J572" s="258" t="s">
        <v>1113</v>
      </c>
      <c r="K572" s="234" t="s">
        <v>139</v>
      </c>
      <c r="L572" s="232" t="s">
        <v>49</v>
      </c>
      <c r="M572" s="232" t="s">
        <v>50</v>
      </c>
      <c r="N572" s="234"/>
      <c r="O572" s="235"/>
      <c r="P572" s="589"/>
      <c r="Q572" s="232"/>
      <c r="R572" s="478"/>
      <c r="S572" s="232"/>
      <c r="T572" s="732"/>
      <c r="U572" s="732"/>
    </row>
    <row r="573" spans="1:21" ht="14.25" hidden="1" customHeight="1">
      <c r="A573" s="225">
        <f>ROW()-1</f>
        <v>572</v>
      </c>
      <c r="B573" s="471">
        <v>46176</v>
      </c>
      <c r="C573" s="234" t="s">
        <v>1776</v>
      </c>
      <c r="D573" s="242" t="s">
        <v>1821</v>
      </c>
      <c r="E573" s="232" t="s">
        <v>214</v>
      </c>
      <c r="F573" s="232" t="s">
        <v>32</v>
      </c>
      <c r="G573" s="234" t="s">
        <v>1822</v>
      </c>
      <c r="H573" s="233">
        <v>8688043749</v>
      </c>
      <c r="I573" s="243" t="s">
        <v>1823</v>
      </c>
      <c r="J573" s="258" t="s">
        <v>66</v>
      </c>
      <c r="K573" s="234"/>
      <c r="L573" s="232" t="s">
        <v>27</v>
      </c>
      <c r="M573" s="232" t="s">
        <v>28</v>
      </c>
      <c r="N573" s="234" t="s">
        <v>1531</v>
      </c>
      <c r="O573" s="235">
        <v>46176</v>
      </c>
      <c r="P573" s="589">
        <v>658867</v>
      </c>
      <c r="Q573" s="232" t="s">
        <v>292</v>
      </c>
      <c r="R573" s="478"/>
      <c r="S573" s="232"/>
      <c r="T573" s="732"/>
      <c r="U573" s="732"/>
    </row>
    <row r="574" spans="1:21" ht="14.25" hidden="1" customHeight="1">
      <c r="A574" s="225">
        <f>ROW()-1</f>
        <v>573</v>
      </c>
      <c r="B574" s="471">
        <v>46176</v>
      </c>
      <c r="C574" s="234" t="s">
        <v>1824</v>
      </c>
      <c r="D574" s="242" t="s">
        <v>214</v>
      </c>
      <c r="E574" s="232" t="s">
        <v>214</v>
      </c>
      <c r="F574" s="232" t="s">
        <v>23</v>
      </c>
      <c r="G574" s="234" t="s">
        <v>1825</v>
      </c>
      <c r="H574" s="233">
        <v>8885519828</v>
      </c>
      <c r="I574" s="243" t="s">
        <v>1826</v>
      </c>
      <c r="J574" s="258" t="s">
        <v>567</v>
      </c>
      <c r="K574" s="234" t="s">
        <v>1533</v>
      </c>
      <c r="L574" s="232" t="s">
        <v>49</v>
      </c>
      <c r="M574" s="232" t="s">
        <v>50</v>
      </c>
      <c r="N574" s="234"/>
      <c r="O574" s="235"/>
      <c r="P574" s="589"/>
      <c r="Q574" s="232"/>
      <c r="R574" s="478"/>
      <c r="S574" s="232"/>
      <c r="T574" s="732"/>
      <c r="U574" s="732"/>
    </row>
    <row r="575" spans="1:21" ht="14.25" hidden="1" customHeight="1">
      <c r="A575" s="225">
        <f>ROW()-1</f>
        <v>574</v>
      </c>
      <c r="B575" s="471">
        <v>46176</v>
      </c>
      <c r="C575" s="234" t="s">
        <v>1827</v>
      </c>
      <c r="D575" s="242" t="s">
        <v>1107</v>
      </c>
      <c r="E575" s="232" t="s">
        <v>22</v>
      </c>
      <c r="F575" s="232" t="s">
        <v>73</v>
      </c>
      <c r="G575" s="234" t="s">
        <v>1828</v>
      </c>
      <c r="H575" s="233">
        <v>9542195545</v>
      </c>
      <c r="I575" s="243"/>
      <c r="J575" s="258" t="s">
        <v>1113</v>
      </c>
      <c r="K575" s="234" t="s">
        <v>1829</v>
      </c>
      <c r="L575" s="232" t="s">
        <v>58</v>
      </c>
      <c r="M575" s="232" t="s">
        <v>50</v>
      </c>
      <c r="N575" s="234"/>
      <c r="O575" s="235"/>
      <c r="P575" s="589"/>
      <c r="Q575" s="232"/>
      <c r="R575" s="478"/>
      <c r="S575" s="232"/>
      <c r="T575" s="732"/>
      <c r="U575" s="732"/>
    </row>
    <row r="576" spans="1:21" ht="14.25" hidden="1" customHeight="1">
      <c r="A576" s="225">
        <f>ROW()-1</f>
        <v>575</v>
      </c>
      <c r="B576" s="471">
        <v>46177</v>
      </c>
      <c r="C576" s="234" t="s">
        <v>1359</v>
      </c>
      <c r="D576" s="242" t="s">
        <v>1152</v>
      </c>
      <c r="E576" s="232" t="s">
        <v>214</v>
      </c>
      <c r="F576" s="232" t="s">
        <v>60</v>
      </c>
      <c r="G576" s="234" t="s">
        <v>1830</v>
      </c>
      <c r="H576" s="233">
        <v>9676867621</v>
      </c>
      <c r="I576" s="243"/>
      <c r="J576" s="258" t="s">
        <v>1113</v>
      </c>
      <c r="K576" s="234" t="s">
        <v>1361</v>
      </c>
      <c r="L576" s="232" t="s">
        <v>58</v>
      </c>
      <c r="M576" s="236" t="s">
        <v>40</v>
      </c>
      <c r="N576" s="234"/>
      <c r="O576" s="235"/>
      <c r="P576" s="589"/>
      <c r="Q576" s="232"/>
      <c r="R576" s="478"/>
      <c r="S576" s="232"/>
      <c r="T576" s="732"/>
      <c r="U576" s="732"/>
    </row>
    <row r="577" spans="1:21" ht="14.25" hidden="1" customHeight="1">
      <c r="A577" s="225">
        <f>ROW()-1</f>
        <v>576</v>
      </c>
      <c r="B577" s="471">
        <v>46177</v>
      </c>
      <c r="C577" s="234" t="s">
        <v>1831</v>
      </c>
      <c r="D577" s="242" t="s">
        <v>1152</v>
      </c>
      <c r="E577" s="232" t="s">
        <v>214</v>
      </c>
      <c r="F577" s="232" t="s">
        <v>73</v>
      </c>
      <c r="G577" s="234" t="s">
        <v>1832</v>
      </c>
      <c r="H577" s="233">
        <v>7013316338</v>
      </c>
      <c r="I577" s="565"/>
      <c r="J577" s="258" t="s">
        <v>122</v>
      </c>
      <c r="K577" s="234"/>
      <c r="L577" s="232" t="s">
        <v>58</v>
      </c>
      <c r="M577" s="232" t="s">
        <v>50</v>
      </c>
      <c r="N577" s="234"/>
      <c r="O577" s="235"/>
      <c r="P577" s="589"/>
      <c r="Q577" s="232"/>
      <c r="R577" s="478"/>
      <c r="S577" s="232"/>
      <c r="T577" s="732"/>
      <c r="U577" s="732"/>
    </row>
    <row r="578" spans="1:21" ht="14.25" hidden="1" customHeight="1">
      <c r="A578" s="225">
        <f>ROW()-1</f>
        <v>577</v>
      </c>
      <c r="B578" s="471">
        <v>46177</v>
      </c>
      <c r="C578" s="234" t="s">
        <v>1537</v>
      </c>
      <c r="D578" s="242" t="s">
        <v>131</v>
      </c>
      <c r="E578" s="232" t="s">
        <v>22</v>
      </c>
      <c r="F578" s="236" t="s">
        <v>73</v>
      </c>
      <c r="G578" s="238" t="s">
        <v>1833</v>
      </c>
      <c r="H578" s="237">
        <v>7219051663</v>
      </c>
      <c r="I578" s="243" t="s">
        <v>1834</v>
      </c>
      <c r="J578" s="257" t="s">
        <v>567</v>
      </c>
      <c r="K578" s="532" t="s">
        <v>1835</v>
      </c>
      <c r="L578" s="232" t="s">
        <v>49</v>
      </c>
      <c r="M578" s="232" t="s">
        <v>50</v>
      </c>
      <c r="N578" s="234"/>
      <c r="O578" s="239"/>
      <c r="P578" s="593"/>
      <c r="Q578" s="236"/>
      <c r="R578" s="531"/>
      <c r="S578" s="236"/>
      <c r="T578" s="732"/>
      <c r="U578" s="732"/>
    </row>
    <row r="579" spans="1:21" ht="14.25" hidden="1" customHeight="1">
      <c r="A579" s="225">
        <f>ROW()-1</f>
        <v>578</v>
      </c>
      <c r="B579" s="533">
        <v>46177</v>
      </c>
      <c r="C579" s="238" t="s">
        <v>1836</v>
      </c>
      <c r="D579" s="541" t="s">
        <v>131</v>
      </c>
      <c r="E579" s="542" t="s">
        <v>22</v>
      </c>
      <c r="F579" s="536" t="s">
        <v>23</v>
      </c>
      <c r="G579" s="534" t="s">
        <v>1837</v>
      </c>
      <c r="H579" s="537">
        <v>8007110884</v>
      </c>
      <c r="I579" s="480" t="s">
        <v>139</v>
      </c>
      <c r="J579" s="253" t="s">
        <v>1698</v>
      </c>
      <c r="K579" s="704" t="s">
        <v>1836</v>
      </c>
      <c r="L579" s="542" t="s">
        <v>49</v>
      </c>
      <c r="M579" s="542" t="s">
        <v>50</v>
      </c>
      <c r="N579" s="234"/>
      <c r="O579" s="538"/>
      <c r="P579" s="593"/>
      <c r="Q579" s="536"/>
      <c r="R579" s="539"/>
      <c r="S579" s="536"/>
      <c r="T579" s="732"/>
      <c r="U579" s="732"/>
    </row>
    <row r="580" spans="1:21" ht="14.25" hidden="1" customHeight="1">
      <c r="A580" s="225">
        <f>ROW()-1</f>
        <v>579</v>
      </c>
      <c r="B580" s="471">
        <v>46177</v>
      </c>
      <c r="C580" s="234" t="s">
        <v>1838</v>
      </c>
      <c r="D580" s="242" t="s">
        <v>1839</v>
      </c>
      <c r="E580" s="232" t="s">
        <v>22</v>
      </c>
      <c r="F580" s="232" t="s">
        <v>73</v>
      </c>
      <c r="G580" s="234" t="s">
        <v>1840</v>
      </c>
      <c r="H580" s="233">
        <v>9511684566</v>
      </c>
      <c r="I580" s="243"/>
      <c r="J580" s="258" t="s">
        <v>567</v>
      </c>
      <c r="K580" s="234"/>
      <c r="L580" s="232" t="s">
        <v>58</v>
      </c>
      <c r="M580" s="232" t="s">
        <v>50</v>
      </c>
      <c r="N580" s="234"/>
      <c r="O580" s="235"/>
      <c r="P580" s="589"/>
      <c r="Q580" s="232"/>
      <c r="R580" s="478"/>
      <c r="S580" s="232"/>
      <c r="T580" s="732"/>
      <c r="U580" s="732"/>
    </row>
    <row r="581" spans="1:21" ht="14.25" hidden="1" customHeight="1">
      <c r="A581" s="225">
        <f>ROW()-1</f>
        <v>580</v>
      </c>
      <c r="B581" s="471">
        <v>46177</v>
      </c>
      <c r="C581" s="234" t="s">
        <v>1841</v>
      </c>
      <c r="D581" s="242" t="s">
        <v>1107</v>
      </c>
      <c r="E581" s="232" t="s">
        <v>22</v>
      </c>
      <c r="F581" s="232" t="s">
        <v>73</v>
      </c>
      <c r="G581" s="234" t="s">
        <v>1842</v>
      </c>
      <c r="H581" s="233">
        <v>7992247934</v>
      </c>
      <c r="I581" s="243"/>
      <c r="J581" s="258" t="s">
        <v>1113</v>
      </c>
      <c r="K581" s="234"/>
      <c r="L581" s="232" t="s">
        <v>58</v>
      </c>
      <c r="M581" s="232" t="s">
        <v>50</v>
      </c>
      <c r="N581" s="234"/>
      <c r="O581" s="235"/>
      <c r="P581" s="589"/>
      <c r="Q581" s="232"/>
      <c r="R581" s="478"/>
      <c r="S581" s="232"/>
      <c r="T581" s="732"/>
      <c r="U581" s="732"/>
    </row>
    <row r="582" spans="1:21" ht="14.25" hidden="1" customHeight="1">
      <c r="A582" s="225">
        <f>ROW()-1</f>
        <v>581</v>
      </c>
      <c r="B582" s="471">
        <v>46178</v>
      </c>
      <c r="C582" s="238" t="s">
        <v>1843</v>
      </c>
      <c r="D582" s="240" t="s">
        <v>1844</v>
      </c>
      <c r="E582" s="236" t="s">
        <v>1545</v>
      </c>
      <c r="F582" s="236" t="s">
        <v>32</v>
      </c>
      <c r="G582" s="238" t="s">
        <v>1845</v>
      </c>
      <c r="H582" s="537">
        <v>9667738445</v>
      </c>
      <c r="I582" s="243" t="s">
        <v>1846</v>
      </c>
      <c r="J582" s="257" t="s">
        <v>567</v>
      </c>
      <c r="K582" s="234" t="s">
        <v>1847</v>
      </c>
      <c r="L582" s="232" t="s">
        <v>49</v>
      </c>
      <c r="M582" s="232" t="s">
        <v>50</v>
      </c>
      <c r="N582" s="234"/>
      <c r="O582" s="239"/>
      <c r="P582" s="593"/>
      <c r="Q582" s="236"/>
      <c r="R582" s="531"/>
      <c r="S582" s="236"/>
      <c r="T582" s="732"/>
      <c r="U582" s="732"/>
    </row>
    <row r="583" spans="1:21" ht="14.25" hidden="1" customHeight="1">
      <c r="A583" s="225">
        <f>ROW()-1</f>
        <v>582</v>
      </c>
      <c r="B583" s="533">
        <v>46178</v>
      </c>
      <c r="C583" s="540" t="s">
        <v>1848</v>
      </c>
      <c r="D583" s="242" t="s">
        <v>1548</v>
      </c>
      <c r="E583" s="542" t="s">
        <v>214</v>
      </c>
      <c r="F583" s="542" t="s">
        <v>73</v>
      </c>
      <c r="G583" s="540" t="s">
        <v>1849</v>
      </c>
      <c r="H583" s="543">
        <v>8217710584</v>
      </c>
      <c r="I583" s="243" t="s">
        <v>1850</v>
      </c>
      <c r="J583" s="544" t="s">
        <v>1113</v>
      </c>
      <c r="K583" s="540" t="s">
        <v>1851</v>
      </c>
      <c r="L583" s="542" t="s">
        <v>58</v>
      </c>
      <c r="M583" s="542" t="s">
        <v>50</v>
      </c>
      <c r="N583" s="234"/>
      <c r="O583" s="545"/>
      <c r="P583" s="589"/>
      <c r="Q583" s="542"/>
      <c r="R583" s="478"/>
      <c r="S583" s="542"/>
      <c r="T583" s="732"/>
      <c r="U583" s="732"/>
    </row>
    <row r="584" spans="1:21" ht="14.25" hidden="1" customHeight="1">
      <c r="A584" s="225">
        <f>ROW()-1</f>
        <v>583</v>
      </c>
      <c r="B584" s="471">
        <v>46178</v>
      </c>
      <c r="C584" s="234" t="s">
        <v>1852</v>
      </c>
      <c r="D584" s="242" t="s">
        <v>1152</v>
      </c>
      <c r="E584" s="232" t="s">
        <v>214</v>
      </c>
      <c r="F584" s="232" t="s">
        <v>44</v>
      </c>
      <c r="G584" s="234" t="s">
        <v>45</v>
      </c>
      <c r="H584" s="233">
        <v>9845057979</v>
      </c>
      <c r="I584" s="243"/>
      <c r="J584" s="258" t="s">
        <v>47</v>
      </c>
      <c r="K584" s="234" t="s">
        <v>1552</v>
      </c>
      <c r="L584" s="232" t="s">
        <v>58</v>
      </c>
      <c r="M584" s="232" t="s">
        <v>50</v>
      </c>
      <c r="N584" s="234"/>
      <c r="O584" s="235"/>
      <c r="P584" s="589"/>
      <c r="Q584" s="232"/>
      <c r="R584" s="478"/>
      <c r="S584" s="232"/>
      <c r="T584" s="732"/>
      <c r="U584" s="732"/>
    </row>
    <row r="585" spans="1:21" ht="14.25" hidden="1" customHeight="1">
      <c r="A585" s="225">
        <f>ROW()-1</f>
        <v>584</v>
      </c>
      <c r="B585" s="471">
        <v>46178</v>
      </c>
      <c r="C585" s="238" t="s">
        <v>1853</v>
      </c>
      <c r="D585" s="242" t="s">
        <v>131</v>
      </c>
      <c r="E585" s="232" t="s">
        <v>22</v>
      </c>
      <c r="F585" s="236" t="s">
        <v>73</v>
      </c>
      <c r="G585" s="238" t="s">
        <v>1854</v>
      </c>
      <c r="H585" s="237">
        <v>9850144708</v>
      </c>
      <c r="I585" s="243" t="s">
        <v>1855</v>
      </c>
      <c r="J585" s="257" t="s">
        <v>567</v>
      </c>
      <c r="K585" s="540" t="s">
        <v>1856</v>
      </c>
      <c r="L585" s="232" t="s">
        <v>49</v>
      </c>
      <c r="M585" s="232" t="s">
        <v>50</v>
      </c>
      <c r="N585" s="234"/>
      <c r="O585" s="239"/>
      <c r="P585" s="593"/>
      <c r="Q585" s="236"/>
      <c r="R585" s="531"/>
      <c r="S585" s="236"/>
      <c r="T585" s="732"/>
      <c r="U585" s="732"/>
    </row>
    <row r="586" spans="1:21" ht="14.25" hidden="1" customHeight="1">
      <c r="A586" s="225">
        <f>ROW()-1</f>
        <v>585</v>
      </c>
      <c r="B586" s="471">
        <v>46178</v>
      </c>
      <c r="C586" s="234" t="s">
        <v>20</v>
      </c>
      <c r="D586" s="242" t="s">
        <v>21</v>
      </c>
      <c r="E586" s="232" t="s">
        <v>22</v>
      </c>
      <c r="F586" s="232" t="s">
        <v>73</v>
      </c>
      <c r="G586" s="234" t="s">
        <v>1857</v>
      </c>
      <c r="H586" s="233"/>
      <c r="I586" s="243" t="s">
        <v>1555</v>
      </c>
      <c r="J586" s="258" t="s">
        <v>86</v>
      </c>
      <c r="K586" s="540" t="s">
        <v>1858</v>
      </c>
      <c r="L586" s="232" t="s">
        <v>27</v>
      </c>
      <c r="M586" s="232" t="s">
        <v>28</v>
      </c>
      <c r="N586" s="234" t="s">
        <v>1859</v>
      </c>
      <c r="O586" s="235">
        <v>46178</v>
      </c>
      <c r="P586" s="589">
        <v>6204014</v>
      </c>
      <c r="Q586" s="232" t="s">
        <v>70</v>
      </c>
      <c r="R586" s="478">
        <v>46179</v>
      </c>
      <c r="S586" s="232"/>
      <c r="T586" s="732"/>
      <c r="U586" s="732"/>
    </row>
    <row r="587" spans="1:21" ht="14.25" hidden="1" customHeight="1">
      <c r="A587" s="225">
        <f>ROW()-1</f>
        <v>586</v>
      </c>
      <c r="B587" s="471">
        <v>46178</v>
      </c>
      <c r="C587" s="234" t="s">
        <v>20</v>
      </c>
      <c r="D587" s="242" t="s">
        <v>21</v>
      </c>
      <c r="E587" s="232" t="s">
        <v>22</v>
      </c>
      <c r="F587" s="232" t="s">
        <v>73</v>
      </c>
      <c r="G587" s="234" t="s">
        <v>1860</v>
      </c>
      <c r="H587" s="233">
        <v>7742081777</v>
      </c>
      <c r="I587" s="243" t="s">
        <v>1558</v>
      </c>
      <c r="J587" s="258" t="s">
        <v>86</v>
      </c>
      <c r="K587" s="540" t="s">
        <v>1754</v>
      </c>
      <c r="L587" s="232" t="s">
        <v>27</v>
      </c>
      <c r="M587" s="232" t="s">
        <v>28</v>
      </c>
      <c r="N587" s="234" t="s">
        <v>1861</v>
      </c>
      <c r="O587" s="235">
        <v>46178</v>
      </c>
      <c r="P587" s="589">
        <v>1630248</v>
      </c>
      <c r="Q587" s="232" t="s">
        <v>70</v>
      </c>
      <c r="R587" s="478"/>
      <c r="S587" s="232"/>
      <c r="T587" s="732"/>
      <c r="U587" s="732"/>
    </row>
    <row r="588" spans="1:21" ht="14.25" hidden="1" customHeight="1">
      <c r="A588" s="225">
        <f>ROW()-1</f>
        <v>587</v>
      </c>
      <c r="B588" s="471">
        <v>46178</v>
      </c>
      <c r="C588" s="234" t="s">
        <v>20</v>
      </c>
      <c r="D588" s="242" t="s">
        <v>21</v>
      </c>
      <c r="E588" s="232" t="s">
        <v>22</v>
      </c>
      <c r="F588" s="232" t="s">
        <v>73</v>
      </c>
      <c r="G588" s="234" t="s">
        <v>1857</v>
      </c>
      <c r="H588" s="233"/>
      <c r="I588" s="243" t="s">
        <v>1862</v>
      </c>
      <c r="J588" s="258" t="s">
        <v>66</v>
      </c>
      <c r="K588" s="540" t="s">
        <v>1863</v>
      </c>
      <c r="L588" s="232" t="s">
        <v>27</v>
      </c>
      <c r="M588" s="232" t="s">
        <v>28</v>
      </c>
      <c r="N588" s="234" t="s">
        <v>1562</v>
      </c>
      <c r="O588" s="235">
        <v>46179</v>
      </c>
      <c r="P588" s="589"/>
      <c r="Q588" s="232" t="s">
        <v>70</v>
      </c>
      <c r="R588" s="478">
        <v>46180</v>
      </c>
      <c r="S588" s="232"/>
      <c r="T588" s="732"/>
      <c r="U588" s="732"/>
    </row>
    <row r="589" spans="1:21" ht="14.25" hidden="1" customHeight="1">
      <c r="A589" s="225">
        <f>ROW()-1</f>
        <v>588</v>
      </c>
      <c r="B589" s="471">
        <v>46178</v>
      </c>
      <c r="C589" s="234" t="s">
        <v>962</v>
      </c>
      <c r="D589" s="242" t="s">
        <v>963</v>
      </c>
      <c r="E589" s="232" t="s">
        <v>22</v>
      </c>
      <c r="F589" s="232" t="s">
        <v>73</v>
      </c>
      <c r="G589" s="234" t="s">
        <v>1860</v>
      </c>
      <c r="H589" s="233"/>
      <c r="I589" s="243" t="s">
        <v>1563</v>
      </c>
      <c r="J589" s="258" t="s">
        <v>66</v>
      </c>
      <c r="K589" s="540" t="s">
        <v>1864</v>
      </c>
      <c r="L589" s="232" t="s">
        <v>27</v>
      </c>
      <c r="M589" s="232" t="s">
        <v>77</v>
      </c>
      <c r="N589" s="234" t="s">
        <v>1865</v>
      </c>
      <c r="O589" s="235">
        <v>46179</v>
      </c>
      <c r="P589" s="589">
        <v>4891663</v>
      </c>
      <c r="Q589" s="232" t="s">
        <v>70</v>
      </c>
      <c r="R589" s="478">
        <v>46179</v>
      </c>
      <c r="S589" s="232"/>
      <c r="T589" s="732"/>
      <c r="U589" s="732"/>
    </row>
    <row r="590" spans="1:21" ht="14.25" hidden="1" customHeight="1">
      <c r="A590" s="225">
        <f>ROW()-1</f>
        <v>589</v>
      </c>
      <c r="B590" s="471">
        <v>46178</v>
      </c>
      <c r="C590" s="234" t="s">
        <v>1866</v>
      </c>
      <c r="D590" s="242" t="s">
        <v>981</v>
      </c>
      <c r="E590" s="232" t="s">
        <v>214</v>
      </c>
      <c r="F590" s="232" t="s">
        <v>73</v>
      </c>
      <c r="G590" s="234" t="s">
        <v>1867</v>
      </c>
      <c r="H590" s="233">
        <v>9098818530</v>
      </c>
      <c r="I590" s="243" t="s">
        <v>1868</v>
      </c>
      <c r="J590" s="258" t="s">
        <v>567</v>
      </c>
      <c r="K590" s="540" t="s">
        <v>1869</v>
      </c>
      <c r="L590" s="232" t="s">
        <v>58</v>
      </c>
      <c r="M590" s="232" t="s">
        <v>50</v>
      </c>
      <c r="N590" s="234"/>
      <c r="O590" s="235"/>
      <c r="P590" s="589"/>
      <c r="Q590" s="232"/>
      <c r="R590" s="478"/>
      <c r="S590" s="232"/>
      <c r="T590" s="732"/>
      <c r="U590" s="732"/>
    </row>
    <row r="591" spans="1:21" ht="14.25" hidden="1" customHeight="1">
      <c r="A591" s="225">
        <f>ROW()-1</f>
        <v>590</v>
      </c>
      <c r="B591" s="471">
        <v>46178</v>
      </c>
      <c r="C591" s="234" t="s">
        <v>1707</v>
      </c>
      <c r="D591" s="242" t="s">
        <v>1821</v>
      </c>
      <c r="E591" s="232" t="s">
        <v>214</v>
      </c>
      <c r="F591" s="232" t="s">
        <v>73</v>
      </c>
      <c r="G591" s="234" t="s">
        <v>1870</v>
      </c>
      <c r="H591" s="233"/>
      <c r="I591" s="243" t="s">
        <v>1871</v>
      </c>
      <c r="J591" s="258" t="s">
        <v>86</v>
      </c>
      <c r="K591" s="540" t="s">
        <v>1569</v>
      </c>
      <c r="L591" s="232" t="s">
        <v>74</v>
      </c>
      <c r="M591" s="232" t="s">
        <v>28</v>
      </c>
      <c r="N591" s="234" t="s">
        <v>1872</v>
      </c>
      <c r="O591" s="235">
        <v>46178</v>
      </c>
      <c r="P591" s="589">
        <v>3333376</v>
      </c>
      <c r="Q591" s="232" t="s">
        <v>70</v>
      </c>
      <c r="R591" s="478">
        <v>46179</v>
      </c>
      <c r="S591" s="232"/>
      <c r="T591" s="732"/>
      <c r="U591" s="732"/>
    </row>
    <row r="592" spans="1:21" ht="14.25" hidden="1" customHeight="1">
      <c r="A592" s="225">
        <f>ROW()-1</f>
        <v>591</v>
      </c>
      <c r="B592" s="471">
        <v>46178</v>
      </c>
      <c r="C592" s="234" t="s">
        <v>1873</v>
      </c>
      <c r="D592" s="242" t="s">
        <v>1152</v>
      </c>
      <c r="E592" s="232" t="s">
        <v>214</v>
      </c>
      <c r="F592" s="232" t="s">
        <v>60</v>
      </c>
      <c r="G592" s="234" t="s">
        <v>1801</v>
      </c>
      <c r="H592" s="233">
        <v>9848038910</v>
      </c>
      <c r="I592" s="243" t="s">
        <v>1874</v>
      </c>
      <c r="J592" s="258" t="s">
        <v>56</v>
      </c>
      <c r="K592" s="540" t="s">
        <v>1875</v>
      </c>
      <c r="L592" s="232" t="s">
        <v>58</v>
      </c>
      <c r="M592" s="236" t="s">
        <v>40</v>
      </c>
      <c r="N592" s="234"/>
      <c r="O592" s="235"/>
      <c r="P592" s="589"/>
      <c r="Q592" s="232"/>
      <c r="R592" s="478"/>
      <c r="S592" s="232"/>
      <c r="T592" s="732"/>
      <c r="U592" s="732"/>
    </row>
    <row r="593" spans="1:21" ht="14.25" hidden="1" customHeight="1">
      <c r="A593" s="225">
        <f>ROW()-1</f>
        <v>592</v>
      </c>
      <c r="B593" s="471">
        <v>46178</v>
      </c>
      <c r="C593" s="234" t="s">
        <v>1876</v>
      </c>
      <c r="D593" s="242" t="s">
        <v>1574</v>
      </c>
      <c r="E593" s="232" t="s">
        <v>214</v>
      </c>
      <c r="F593" s="232" t="s">
        <v>59</v>
      </c>
      <c r="G593" s="234" t="s">
        <v>1877</v>
      </c>
      <c r="H593" s="233">
        <v>9422135703</v>
      </c>
      <c r="I593" s="243" t="s">
        <v>1878</v>
      </c>
      <c r="J593" s="258" t="s">
        <v>1113</v>
      </c>
      <c r="K593" s="540" t="s">
        <v>1879</v>
      </c>
      <c r="L593" s="232" t="s">
        <v>58</v>
      </c>
      <c r="M593" s="232" t="s">
        <v>50</v>
      </c>
      <c r="N593" s="234"/>
      <c r="O593" s="235"/>
      <c r="P593" s="589"/>
      <c r="Q593" s="232"/>
      <c r="R593" s="478"/>
      <c r="S593" s="232"/>
      <c r="T593" s="732"/>
      <c r="U593" s="732"/>
    </row>
    <row r="594" spans="1:21" ht="14.25" hidden="1" customHeight="1">
      <c r="A594" s="225">
        <f>ROW()-1</f>
        <v>593</v>
      </c>
      <c r="B594" s="471">
        <v>46178</v>
      </c>
      <c r="C594" s="234" t="s">
        <v>1880</v>
      </c>
      <c r="D594" s="242" t="s">
        <v>1574</v>
      </c>
      <c r="E594" s="232" t="s">
        <v>214</v>
      </c>
      <c r="F594" s="232" t="s">
        <v>59</v>
      </c>
      <c r="G594" s="234" t="s">
        <v>1881</v>
      </c>
      <c r="H594" s="233">
        <v>9845011316</v>
      </c>
      <c r="I594" s="243" t="s">
        <v>1882</v>
      </c>
      <c r="J594" s="258" t="s">
        <v>1113</v>
      </c>
      <c r="K594" s="540" t="s">
        <v>1883</v>
      </c>
      <c r="L594" s="232" t="s">
        <v>58</v>
      </c>
      <c r="M594" s="232" t="s">
        <v>50</v>
      </c>
      <c r="N594" s="234"/>
      <c r="O594" s="235"/>
      <c r="P594" s="589"/>
      <c r="Q594" s="232"/>
      <c r="R594" s="478"/>
      <c r="S594" s="232"/>
      <c r="T594" s="732"/>
      <c r="U594" s="732"/>
    </row>
    <row r="595" spans="1:21" ht="14.25" hidden="1" customHeight="1">
      <c r="A595" s="225">
        <f>ROW()-1</f>
        <v>594</v>
      </c>
      <c r="B595" s="471">
        <v>46178</v>
      </c>
      <c r="C595" s="238" t="s">
        <v>1579</v>
      </c>
      <c r="D595" s="240" t="s">
        <v>1884</v>
      </c>
      <c r="E595" s="236" t="s">
        <v>22</v>
      </c>
      <c r="F595" s="236" t="s">
        <v>60</v>
      </c>
      <c r="G595" s="234" t="s">
        <v>1763</v>
      </c>
      <c r="H595" s="237">
        <v>9271729009</v>
      </c>
      <c r="I595" s="243" t="s">
        <v>1885</v>
      </c>
      <c r="J595" s="257" t="s">
        <v>1113</v>
      </c>
      <c r="K595" s="540" t="s">
        <v>1886</v>
      </c>
      <c r="L595" s="232" t="s">
        <v>49</v>
      </c>
      <c r="M595" s="236" t="s">
        <v>40</v>
      </c>
      <c r="N595" s="234"/>
      <c r="O595" s="239"/>
      <c r="P595" s="593"/>
      <c r="Q595" s="236"/>
      <c r="R595" s="531"/>
      <c r="S595" s="236"/>
      <c r="T595" s="732"/>
      <c r="U595" s="732"/>
    </row>
    <row r="596" spans="1:21" ht="14.25" hidden="1" customHeight="1">
      <c r="A596" s="225">
        <f>ROW()-1</f>
        <v>595</v>
      </c>
      <c r="B596" s="471">
        <v>46178</v>
      </c>
      <c r="C596" s="234" t="s">
        <v>1887</v>
      </c>
      <c r="D596" s="242" t="s">
        <v>1888</v>
      </c>
      <c r="E596" s="232" t="s">
        <v>162</v>
      </c>
      <c r="F596" s="232" t="s">
        <v>73</v>
      </c>
      <c r="G596" s="234" t="s">
        <v>1889</v>
      </c>
      <c r="H596" s="233">
        <v>9845011316</v>
      </c>
      <c r="I596" s="243" t="s">
        <v>1890</v>
      </c>
      <c r="J596" s="258" t="s">
        <v>1113</v>
      </c>
      <c r="K596" s="540" t="s">
        <v>1891</v>
      </c>
      <c r="L596" s="232" t="s">
        <v>58</v>
      </c>
      <c r="M596" s="232" t="s">
        <v>50</v>
      </c>
      <c r="N596" s="234"/>
      <c r="O596" s="235"/>
      <c r="P596" s="589"/>
      <c r="Q596" s="232"/>
      <c r="R596" s="478"/>
      <c r="S596" s="232"/>
      <c r="T596" s="732"/>
      <c r="U596" s="732"/>
    </row>
    <row r="597" spans="1:21" ht="14.25" hidden="1" customHeight="1">
      <c r="A597" s="225">
        <f>ROW()-1</f>
        <v>596</v>
      </c>
      <c r="B597" s="471">
        <v>46179</v>
      </c>
      <c r="C597" s="234" t="s">
        <v>1464</v>
      </c>
      <c r="D597" s="242" t="s">
        <v>131</v>
      </c>
      <c r="E597" s="232" t="s">
        <v>22</v>
      </c>
      <c r="F597" s="232" t="s">
        <v>23</v>
      </c>
      <c r="G597" s="234" t="s">
        <v>1892</v>
      </c>
      <c r="H597" s="233">
        <v>8669660939</v>
      </c>
      <c r="I597" s="243" t="s">
        <v>1418</v>
      </c>
      <c r="J597" s="258" t="s">
        <v>66</v>
      </c>
      <c r="K597" s="540" t="s">
        <v>889</v>
      </c>
      <c r="L597" s="232" t="s">
        <v>27</v>
      </c>
      <c r="M597" s="232" t="s">
        <v>28</v>
      </c>
      <c r="N597" s="234" t="s">
        <v>1893</v>
      </c>
      <c r="O597" s="235">
        <v>46179</v>
      </c>
      <c r="P597" s="589">
        <v>240000</v>
      </c>
      <c r="Q597" s="232" t="s">
        <v>70</v>
      </c>
      <c r="R597" s="478"/>
      <c r="S597" s="232"/>
      <c r="T597" s="732"/>
      <c r="U597" s="732"/>
    </row>
    <row r="598" spans="1:21" ht="14.25" hidden="1" customHeight="1">
      <c r="A598" s="225">
        <f>ROW()-1</f>
        <v>597</v>
      </c>
      <c r="B598" s="471">
        <v>46179</v>
      </c>
      <c r="C598" s="234" t="s">
        <v>1894</v>
      </c>
      <c r="D598" s="242" t="s">
        <v>131</v>
      </c>
      <c r="E598" s="232" t="s">
        <v>22</v>
      </c>
      <c r="F598" s="232" t="s">
        <v>23</v>
      </c>
      <c r="G598" s="234" t="s">
        <v>1895</v>
      </c>
      <c r="H598" s="233" t="s">
        <v>1586</v>
      </c>
      <c r="I598" s="243" t="s">
        <v>1896</v>
      </c>
      <c r="J598" s="258" t="s">
        <v>66</v>
      </c>
      <c r="K598" s="540" t="s">
        <v>1897</v>
      </c>
      <c r="L598" s="232" t="s">
        <v>27</v>
      </c>
      <c r="M598" s="232" t="s">
        <v>28</v>
      </c>
      <c r="N598" s="234" t="s">
        <v>1898</v>
      </c>
      <c r="O598" s="235">
        <v>46179</v>
      </c>
      <c r="P598" s="589">
        <v>450000</v>
      </c>
      <c r="Q598" s="232" t="s">
        <v>70</v>
      </c>
      <c r="R598" s="478"/>
      <c r="S598" s="232"/>
      <c r="T598" s="732"/>
      <c r="U598" s="732"/>
    </row>
    <row r="599" spans="1:21" ht="14.25" hidden="1" customHeight="1">
      <c r="A599" s="225">
        <f>ROW()-1</f>
        <v>598</v>
      </c>
      <c r="B599" s="471">
        <v>46179</v>
      </c>
      <c r="C599" s="234" t="s">
        <v>1899</v>
      </c>
      <c r="D599" s="242" t="s">
        <v>759</v>
      </c>
      <c r="E599" s="232" t="s">
        <v>1900</v>
      </c>
      <c r="F599" s="232" t="s">
        <v>32</v>
      </c>
      <c r="G599" s="234" t="s">
        <v>1901</v>
      </c>
      <c r="H599" s="233"/>
      <c r="I599" s="243" t="s">
        <v>1902</v>
      </c>
      <c r="J599" s="258" t="s">
        <v>25</v>
      </c>
      <c r="K599" s="540" t="s">
        <v>1903</v>
      </c>
      <c r="L599" s="232" t="s">
        <v>27</v>
      </c>
      <c r="M599" s="232" t="s">
        <v>28</v>
      </c>
      <c r="N599" s="234" t="s">
        <v>1904</v>
      </c>
      <c r="O599" s="235">
        <v>46179</v>
      </c>
      <c r="P599" s="589">
        <v>140000</v>
      </c>
      <c r="Q599" s="232" t="s">
        <v>70</v>
      </c>
      <c r="R599" s="478">
        <v>46182</v>
      </c>
      <c r="S599" s="232" t="s">
        <v>1905</v>
      </c>
      <c r="T599" s="732"/>
      <c r="U599" s="732"/>
    </row>
    <row r="600" spans="1:21" ht="14.25" hidden="1" customHeight="1">
      <c r="A600" s="225">
        <f>ROW()-1</f>
        <v>599</v>
      </c>
      <c r="B600" s="471">
        <v>46179</v>
      </c>
      <c r="C600" s="238" t="s">
        <v>1592</v>
      </c>
      <c r="D600" s="254" t="s">
        <v>1906</v>
      </c>
      <c r="E600" s="254" t="s">
        <v>143</v>
      </c>
      <c r="F600" s="236" t="s">
        <v>73</v>
      </c>
      <c r="G600" s="254" t="s">
        <v>1907</v>
      </c>
      <c r="H600" s="254">
        <v>7972843249</v>
      </c>
      <c r="I600" s="254" t="s">
        <v>1908</v>
      </c>
      <c r="J600" s="257" t="s">
        <v>567</v>
      </c>
      <c r="K600" s="634" t="s">
        <v>1909</v>
      </c>
      <c r="L600" s="232" t="s">
        <v>58</v>
      </c>
      <c r="M600" s="236" t="s">
        <v>50</v>
      </c>
      <c r="N600" s="238"/>
      <c r="O600" s="239"/>
      <c r="P600" s="593"/>
      <c r="Q600" s="236"/>
      <c r="R600" s="531"/>
      <c r="S600" s="236"/>
      <c r="T600" s="732"/>
      <c r="U600" s="732"/>
    </row>
    <row r="601" spans="1:21" ht="14.25" hidden="1" customHeight="1">
      <c r="A601" s="225">
        <f>ROW()-1</f>
        <v>600</v>
      </c>
      <c r="B601" s="471">
        <v>46179</v>
      </c>
      <c r="C601" s="238" t="s">
        <v>1910</v>
      </c>
      <c r="D601" s="254" t="s">
        <v>1911</v>
      </c>
      <c r="E601" s="254" t="s">
        <v>22</v>
      </c>
      <c r="F601" s="236" t="s">
        <v>23</v>
      </c>
      <c r="G601" s="254" t="s">
        <v>1912</v>
      </c>
      <c r="H601" s="254">
        <v>7875770709</v>
      </c>
      <c r="I601" s="254"/>
      <c r="J601" s="257" t="s">
        <v>1113</v>
      </c>
      <c r="K601" s="634" t="s">
        <v>1597</v>
      </c>
      <c r="L601" s="232" t="s">
        <v>58</v>
      </c>
      <c r="M601" s="236" t="s">
        <v>50</v>
      </c>
      <c r="N601" s="238"/>
      <c r="O601" s="239"/>
      <c r="P601" s="593"/>
      <c r="Q601" s="236"/>
      <c r="R601" s="531"/>
      <c r="S601" s="236"/>
      <c r="T601" s="732"/>
      <c r="U601" s="732"/>
    </row>
    <row r="602" spans="1:21" ht="14.25" hidden="1" customHeight="1">
      <c r="A602" s="225">
        <f>ROW()-1</f>
        <v>601</v>
      </c>
      <c r="B602" s="471">
        <v>46179</v>
      </c>
      <c r="C602" s="238" t="s">
        <v>1913</v>
      </c>
      <c r="D602" s="254" t="s">
        <v>730</v>
      </c>
      <c r="E602" s="254" t="s">
        <v>1914</v>
      </c>
      <c r="F602" s="236" t="s">
        <v>60</v>
      </c>
      <c r="G602" s="254" t="s">
        <v>1275</v>
      </c>
      <c r="H602" s="254">
        <v>9873027075</v>
      </c>
      <c r="I602" s="254"/>
      <c r="J602" s="257" t="s">
        <v>47</v>
      </c>
      <c r="K602" s="634" t="s">
        <v>1915</v>
      </c>
      <c r="L602" s="232" t="s">
        <v>58</v>
      </c>
      <c r="M602" s="236" t="s">
        <v>40</v>
      </c>
      <c r="N602" s="238"/>
      <c r="O602" s="239"/>
      <c r="P602" s="593"/>
      <c r="Q602" s="236"/>
      <c r="R602" s="531"/>
      <c r="S602" s="236"/>
      <c r="T602" s="732"/>
      <c r="U602" s="732"/>
    </row>
    <row r="603" spans="1:21" ht="14.25" hidden="1" customHeight="1">
      <c r="A603" s="225">
        <f>ROW()-1</f>
        <v>602</v>
      </c>
      <c r="B603" s="471">
        <v>46179</v>
      </c>
      <c r="C603" s="238" t="s">
        <v>1916</v>
      </c>
      <c r="D603" s="254" t="s">
        <v>618</v>
      </c>
      <c r="E603" s="254" t="s">
        <v>82</v>
      </c>
      <c r="F603" s="236" t="s">
        <v>23</v>
      </c>
      <c r="G603" s="254" t="s">
        <v>1917</v>
      </c>
      <c r="H603" s="254">
        <v>7200216035</v>
      </c>
      <c r="I603" s="254"/>
      <c r="J603" s="257" t="s">
        <v>122</v>
      </c>
      <c r="K603" s="634"/>
      <c r="L603" s="232" t="s">
        <v>58</v>
      </c>
      <c r="M603" s="236" t="s">
        <v>50</v>
      </c>
      <c r="N603" s="238"/>
      <c r="O603" s="239"/>
      <c r="P603" s="593"/>
      <c r="Q603" s="236"/>
      <c r="R603" s="531"/>
      <c r="S603" s="236"/>
      <c r="T603" s="732"/>
      <c r="U603" s="732"/>
    </row>
    <row r="604" spans="1:21" ht="14.25" hidden="1" customHeight="1">
      <c r="A604" s="225">
        <f>ROW()-1</f>
        <v>603</v>
      </c>
      <c r="B604" s="471">
        <v>46179</v>
      </c>
      <c r="C604" s="238" t="s">
        <v>1918</v>
      </c>
      <c r="D604" s="254" t="s">
        <v>859</v>
      </c>
      <c r="E604" s="254" t="s">
        <v>22</v>
      </c>
      <c r="F604" s="236" t="s">
        <v>60</v>
      </c>
      <c r="G604" s="254" t="s">
        <v>1919</v>
      </c>
      <c r="H604" s="254">
        <v>9822524701</v>
      </c>
      <c r="I604" s="254" t="s">
        <v>1920</v>
      </c>
      <c r="J604" s="257" t="s">
        <v>122</v>
      </c>
      <c r="K604" s="634" t="s">
        <v>1921</v>
      </c>
      <c r="L604" s="232" t="s">
        <v>58</v>
      </c>
      <c r="M604" s="236" t="s">
        <v>40</v>
      </c>
      <c r="N604" s="238"/>
      <c r="O604" s="239"/>
      <c r="P604" s="593"/>
      <c r="Q604" s="236"/>
      <c r="R604" s="531"/>
      <c r="S604" s="236"/>
      <c r="T604" s="732"/>
      <c r="U604" s="732"/>
    </row>
    <row r="605" spans="1:21" ht="14.25" hidden="1" customHeight="1">
      <c r="A605" s="225">
        <f>ROW()-1</f>
        <v>604</v>
      </c>
      <c r="B605" s="471">
        <v>46179</v>
      </c>
      <c r="C605" s="238" t="s">
        <v>1922</v>
      </c>
      <c r="D605" s="254" t="s">
        <v>293</v>
      </c>
      <c r="E605" s="254" t="s">
        <v>22</v>
      </c>
      <c r="F605" s="236" t="s">
        <v>73</v>
      </c>
      <c r="G605" s="254" t="s">
        <v>1923</v>
      </c>
      <c r="H605" s="254">
        <v>9820330985</v>
      </c>
      <c r="I605" s="254" t="s">
        <v>1605</v>
      </c>
      <c r="J605" s="559" t="s">
        <v>66</v>
      </c>
      <c r="K605" s="634" t="s">
        <v>1924</v>
      </c>
      <c r="L605" s="232" t="s">
        <v>58</v>
      </c>
      <c r="M605" s="236" t="s">
        <v>50</v>
      </c>
      <c r="N605" s="238"/>
      <c r="O605" s="239"/>
      <c r="P605" s="593"/>
      <c r="Q605" s="236"/>
      <c r="R605" s="531"/>
      <c r="S605" s="236"/>
      <c r="T605" s="732"/>
      <c r="U605" s="732"/>
    </row>
    <row r="606" spans="1:21" ht="14.25" hidden="1" customHeight="1">
      <c r="A606" s="225">
        <f>ROW()-1</f>
        <v>605</v>
      </c>
      <c r="B606" s="471">
        <v>46179</v>
      </c>
      <c r="C606" s="238" t="s">
        <v>1925</v>
      </c>
      <c r="D606" s="254" t="s">
        <v>1926</v>
      </c>
      <c r="E606" s="254"/>
      <c r="F606" s="236" t="s">
        <v>73</v>
      </c>
      <c r="G606" s="254" t="s">
        <v>1927</v>
      </c>
      <c r="H606" s="254">
        <v>9822898319</v>
      </c>
      <c r="I606" s="254" t="s">
        <v>1609</v>
      </c>
      <c r="J606" s="257" t="s">
        <v>122</v>
      </c>
      <c r="K606" s="634" t="s">
        <v>1928</v>
      </c>
      <c r="L606" s="232" t="s">
        <v>58</v>
      </c>
      <c r="M606" s="236" t="s">
        <v>50</v>
      </c>
      <c r="N606" s="238"/>
      <c r="O606" s="239"/>
      <c r="P606" s="593"/>
      <c r="Q606" s="236"/>
      <c r="R606" s="531"/>
      <c r="S606" s="236"/>
      <c r="T606" s="732"/>
      <c r="U606" s="732"/>
    </row>
    <row r="607" spans="1:21" ht="14.25" hidden="1" customHeight="1">
      <c r="A607" s="225">
        <f>ROW()-1</f>
        <v>606</v>
      </c>
      <c r="B607" s="471">
        <v>46179</v>
      </c>
      <c r="C607" s="234" t="s">
        <v>1776</v>
      </c>
      <c r="D607" s="242" t="s">
        <v>1929</v>
      </c>
      <c r="E607" s="232" t="s">
        <v>214</v>
      </c>
      <c r="F607" s="232" t="s">
        <v>32</v>
      </c>
      <c r="G607" s="234" t="s">
        <v>1930</v>
      </c>
      <c r="H607" s="233">
        <v>8688043749</v>
      </c>
      <c r="I607" s="243" t="s">
        <v>1823</v>
      </c>
      <c r="J607" s="544" t="s">
        <v>66</v>
      </c>
      <c r="K607" s="540"/>
      <c r="L607" s="232" t="s">
        <v>27</v>
      </c>
      <c r="M607" s="232" t="s">
        <v>28</v>
      </c>
      <c r="N607" s="234" t="s">
        <v>1612</v>
      </c>
      <c r="O607" s="235">
        <v>46179</v>
      </c>
      <c r="P607" s="589">
        <v>333368</v>
      </c>
      <c r="Q607" s="232" t="s">
        <v>70</v>
      </c>
      <c r="R607" s="478"/>
      <c r="S607" s="232"/>
      <c r="T607" s="732"/>
      <c r="U607" s="732"/>
    </row>
    <row r="608" spans="1:21" ht="14.25" hidden="1" customHeight="1">
      <c r="A608" s="225">
        <f>ROW()-1</f>
        <v>607</v>
      </c>
      <c r="B608" s="471">
        <v>46179</v>
      </c>
      <c r="C608" s="238" t="s">
        <v>1931</v>
      </c>
      <c r="D608" s="254" t="s">
        <v>795</v>
      </c>
      <c r="E608" s="254" t="s">
        <v>162</v>
      </c>
      <c r="F608" s="236" t="s">
        <v>73</v>
      </c>
      <c r="G608" s="254" t="s">
        <v>1428</v>
      </c>
      <c r="H608" s="254">
        <v>9713593961</v>
      </c>
      <c r="I608" s="675" t="s">
        <v>1932</v>
      </c>
      <c r="J608" s="257" t="s">
        <v>1113</v>
      </c>
      <c r="K608" s="703" t="s">
        <v>1933</v>
      </c>
      <c r="L608" s="232" t="s">
        <v>58</v>
      </c>
      <c r="M608" s="236" t="s">
        <v>50</v>
      </c>
      <c r="N608" s="238"/>
      <c r="O608" s="239"/>
      <c r="P608" s="593"/>
      <c r="Q608" s="236"/>
      <c r="R608" s="531"/>
      <c r="S608" s="236"/>
      <c r="T608" s="732"/>
      <c r="U608" s="732"/>
    </row>
    <row r="609" spans="1:21" ht="14.25" hidden="1" customHeight="1">
      <c r="A609" s="225">
        <f>ROW()-1</f>
        <v>608</v>
      </c>
      <c r="B609" s="471">
        <v>46179</v>
      </c>
      <c r="C609" s="238" t="s">
        <v>1616</v>
      </c>
      <c r="D609" s="240" t="s">
        <v>131</v>
      </c>
      <c r="E609" s="236" t="s">
        <v>22</v>
      </c>
      <c r="F609" s="236" t="s">
        <v>60</v>
      </c>
      <c r="G609" s="238" t="s">
        <v>170</v>
      </c>
      <c r="H609" s="237">
        <v>7414958989</v>
      </c>
      <c r="I609" s="673" t="s">
        <v>1934</v>
      </c>
      <c r="J609" s="257" t="s">
        <v>1113</v>
      </c>
      <c r="K609" s="581" t="s">
        <v>1935</v>
      </c>
      <c r="L609" s="232" t="s">
        <v>49</v>
      </c>
      <c r="M609" s="236" t="s">
        <v>40</v>
      </c>
      <c r="N609" s="234"/>
      <c r="O609" s="239"/>
      <c r="P609" s="593"/>
      <c r="Q609" s="236"/>
      <c r="R609" s="531"/>
      <c r="S609" s="236"/>
      <c r="T609" s="732"/>
      <c r="U609" s="732"/>
    </row>
    <row r="610" spans="1:21" ht="14.25" hidden="1" customHeight="1">
      <c r="A610" s="225">
        <f>ROW()-1</f>
        <v>609</v>
      </c>
      <c r="B610" s="471">
        <v>46180</v>
      </c>
      <c r="C610" s="238" t="s">
        <v>1936</v>
      </c>
      <c r="D610" s="240" t="s">
        <v>1937</v>
      </c>
      <c r="E610" s="236" t="s">
        <v>22</v>
      </c>
      <c r="F610" s="236" t="s">
        <v>73</v>
      </c>
      <c r="G610" s="238" t="s">
        <v>901</v>
      </c>
      <c r="H610" s="237">
        <v>9623826856</v>
      </c>
      <c r="I610" s="565" t="s">
        <v>1938</v>
      </c>
      <c r="J610" s="583" t="s">
        <v>1113</v>
      </c>
      <c r="K610" s="540" t="s">
        <v>1939</v>
      </c>
      <c r="L610" s="232" t="s">
        <v>49</v>
      </c>
      <c r="M610" s="232" t="s">
        <v>50</v>
      </c>
      <c r="N610" s="234"/>
      <c r="O610" s="239"/>
      <c r="P610" s="589"/>
      <c r="Q610" s="236"/>
      <c r="R610" s="531"/>
      <c r="S610" s="236"/>
      <c r="T610" s="732"/>
      <c r="U610" s="732"/>
    </row>
    <row r="611" spans="1:21" ht="14.25" hidden="1" customHeight="1">
      <c r="A611" s="225">
        <f>ROW()-1</f>
        <v>610</v>
      </c>
      <c r="B611" s="471">
        <v>46180</v>
      </c>
      <c r="C611" s="238" t="s">
        <v>1940</v>
      </c>
      <c r="D611" s="240" t="s">
        <v>100</v>
      </c>
      <c r="E611" s="236" t="s">
        <v>22</v>
      </c>
      <c r="F611" s="236" t="s">
        <v>83</v>
      </c>
      <c r="G611" s="238" t="s">
        <v>1941</v>
      </c>
      <c r="H611" s="237">
        <v>9763718741</v>
      </c>
      <c r="I611" s="243" t="s">
        <v>1942</v>
      </c>
      <c r="J611" s="257" t="s">
        <v>1624</v>
      </c>
      <c r="K611" s="540" t="s">
        <v>1943</v>
      </c>
      <c r="L611" s="232" t="s">
        <v>49</v>
      </c>
      <c r="M611" s="232" t="s">
        <v>28</v>
      </c>
      <c r="N611" s="234"/>
      <c r="O611" s="239"/>
      <c r="P611" s="589"/>
      <c r="Q611" s="236"/>
      <c r="R611" s="531"/>
      <c r="S611" s="236"/>
      <c r="T611" s="732"/>
      <c r="U611" s="732"/>
    </row>
    <row r="612" spans="1:21" ht="14.25" hidden="1" customHeight="1">
      <c r="A612" s="225">
        <f>ROW()-1</f>
        <v>611</v>
      </c>
      <c r="B612" s="533">
        <v>46180</v>
      </c>
      <c r="C612" s="540" t="s">
        <v>1894</v>
      </c>
      <c r="D612" s="535" t="s">
        <v>1626</v>
      </c>
      <c r="E612" s="536" t="s">
        <v>22</v>
      </c>
      <c r="F612" s="536" t="s">
        <v>32</v>
      </c>
      <c r="G612" s="561" t="s">
        <v>1944</v>
      </c>
      <c r="H612" s="537"/>
      <c r="I612" s="243"/>
      <c r="J612" s="253" t="s">
        <v>66</v>
      </c>
      <c r="K612" s="540"/>
      <c r="L612" s="232" t="s">
        <v>27</v>
      </c>
      <c r="M612" s="236" t="s">
        <v>40</v>
      </c>
      <c r="N612" s="234" t="s">
        <v>1945</v>
      </c>
      <c r="O612" s="538">
        <v>46180</v>
      </c>
      <c r="P612" s="589">
        <v>1202253.6299999999</v>
      </c>
      <c r="Q612" s="236" t="s">
        <v>70</v>
      </c>
      <c r="R612" s="478">
        <v>46180</v>
      </c>
      <c r="S612" s="536"/>
      <c r="T612" s="732"/>
      <c r="U612" s="732"/>
    </row>
    <row r="613" spans="1:21" ht="14.25" hidden="1" customHeight="1">
      <c r="A613" s="225">
        <f>ROW()-1</f>
        <v>612</v>
      </c>
      <c r="B613" s="533">
        <v>46180</v>
      </c>
      <c r="C613" s="534" t="s">
        <v>1946</v>
      </c>
      <c r="D613" s="535"/>
      <c r="E613" s="536" t="s">
        <v>22</v>
      </c>
      <c r="F613" s="536" t="s">
        <v>60</v>
      </c>
      <c r="G613" s="654" t="s">
        <v>1947</v>
      </c>
      <c r="H613" s="557"/>
      <c r="I613" s="673" t="s">
        <v>1948</v>
      </c>
      <c r="J613" s="257" t="s">
        <v>56</v>
      </c>
      <c r="K613" s="560" t="s">
        <v>139</v>
      </c>
      <c r="L613" s="232" t="s">
        <v>49</v>
      </c>
      <c r="M613" s="232" t="s">
        <v>50</v>
      </c>
      <c r="N613" s="234" t="s">
        <v>1949</v>
      </c>
      <c r="O613" s="538">
        <v>46180</v>
      </c>
      <c r="P613" s="589">
        <v>170000</v>
      </c>
      <c r="Q613" s="232" t="s">
        <v>70</v>
      </c>
      <c r="R613" s="478">
        <v>46180</v>
      </c>
      <c r="S613" s="536"/>
      <c r="T613" s="732"/>
      <c r="U613" s="732"/>
    </row>
    <row r="614" spans="1:21" hidden="1">
      <c r="A614" s="225">
        <f>ROW()-1</f>
        <v>613</v>
      </c>
      <c r="B614" s="533">
        <v>46180</v>
      </c>
      <c r="C614" s="540" t="s">
        <v>1950</v>
      </c>
      <c r="D614" s="541" t="s">
        <v>1951</v>
      </c>
      <c r="E614" s="542" t="s">
        <v>22</v>
      </c>
      <c r="F614" s="542" t="s">
        <v>59</v>
      </c>
      <c r="G614" s="540" t="s">
        <v>1952</v>
      </c>
      <c r="H614" s="543">
        <v>9310057709</v>
      </c>
      <c r="I614" s="243" t="s">
        <v>1953</v>
      </c>
      <c r="J614" s="697" t="s">
        <v>66</v>
      </c>
      <c r="K614" s="540" t="s">
        <v>1954</v>
      </c>
      <c r="L614" s="232" t="s">
        <v>27</v>
      </c>
      <c r="M614" s="232" t="s">
        <v>28</v>
      </c>
      <c r="N614" s="540" t="s">
        <v>1955</v>
      </c>
      <c r="O614" s="545">
        <v>46179</v>
      </c>
      <c r="P614" s="589">
        <v>23460000</v>
      </c>
      <c r="Q614" s="232" t="s">
        <v>70</v>
      </c>
      <c r="R614" s="251">
        <v>46180</v>
      </c>
      <c r="S614" s="542"/>
      <c r="T614" s="732"/>
      <c r="U614" s="732"/>
    </row>
    <row r="615" spans="1:21" hidden="1">
      <c r="A615" s="225">
        <f>ROW()-1</f>
        <v>614</v>
      </c>
      <c r="B615" s="533">
        <v>46180</v>
      </c>
      <c r="C615" s="540" t="s">
        <v>1633</v>
      </c>
      <c r="D615" s="541" t="s">
        <v>1956</v>
      </c>
      <c r="E615" s="542" t="s">
        <v>199</v>
      </c>
      <c r="F615" s="542" t="s">
        <v>73</v>
      </c>
      <c r="G615" s="540" t="s">
        <v>1957</v>
      </c>
      <c r="H615" s="543"/>
      <c r="I615" s="674" t="s">
        <v>1958</v>
      </c>
      <c r="J615" s="258" t="s">
        <v>66</v>
      </c>
      <c r="K615" s="581" t="s">
        <v>1959</v>
      </c>
      <c r="L615" s="232" t="s">
        <v>27</v>
      </c>
      <c r="M615" s="232" t="s">
        <v>77</v>
      </c>
      <c r="N615" s="540" t="s">
        <v>1960</v>
      </c>
      <c r="O615" s="545">
        <v>46179</v>
      </c>
      <c r="P615" s="589">
        <v>35055777</v>
      </c>
      <c r="Q615" s="542" t="s">
        <v>70</v>
      </c>
      <c r="R615" s="251">
        <v>46179</v>
      </c>
      <c r="S615" s="542"/>
      <c r="T615" s="732"/>
      <c r="U615" s="732"/>
    </row>
    <row r="616" spans="1:21" ht="14.25" hidden="1" customHeight="1">
      <c r="A616" s="225">
        <f>ROW()-1</f>
        <v>615</v>
      </c>
      <c r="B616" s="533">
        <v>46180</v>
      </c>
      <c r="C616" s="534" t="s">
        <v>1961</v>
      </c>
      <c r="D616" s="535" t="s">
        <v>1564</v>
      </c>
      <c r="E616" s="536" t="s">
        <v>126</v>
      </c>
      <c r="F616" s="573" t="s">
        <v>23</v>
      </c>
      <c r="G616" s="549" t="s">
        <v>1188</v>
      </c>
      <c r="H616" s="660">
        <v>9728450271</v>
      </c>
      <c r="I616" s="580" t="s">
        <v>139</v>
      </c>
      <c r="J616" s="257" t="s">
        <v>567</v>
      </c>
      <c r="K616" s="581" t="s">
        <v>1962</v>
      </c>
      <c r="L616" s="232" t="s">
        <v>49</v>
      </c>
      <c r="M616" s="232" t="s">
        <v>50</v>
      </c>
      <c r="N616" s="540"/>
      <c r="O616" s="538"/>
      <c r="P616" s="593"/>
      <c r="Q616" s="536"/>
      <c r="R616" s="539"/>
      <c r="S616" s="536"/>
      <c r="T616" s="732"/>
      <c r="U616" s="732"/>
    </row>
    <row r="617" spans="1:21" ht="14.25" hidden="1" customHeight="1">
      <c r="A617" s="225">
        <f>ROW()-1</f>
        <v>616</v>
      </c>
      <c r="B617" s="533">
        <v>46180</v>
      </c>
      <c r="C617" s="534" t="s">
        <v>1963</v>
      </c>
      <c r="D617" s="535" t="s">
        <v>1964</v>
      </c>
      <c r="E617" s="536" t="s">
        <v>22</v>
      </c>
      <c r="F617" s="536" t="s">
        <v>60</v>
      </c>
      <c r="G617" s="546" t="s">
        <v>1639</v>
      </c>
      <c r="H617" s="564">
        <v>7977421660</v>
      </c>
      <c r="I617" s="671" t="s">
        <v>1965</v>
      </c>
      <c r="J617" s="257" t="s">
        <v>122</v>
      </c>
      <c r="K617" s="581" t="s">
        <v>1642</v>
      </c>
      <c r="L617" s="232" t="s">
        <v>49</v>
      </c>
      <c r="M617" s="236" t="s">
        <v>40</v>
      </c>
      <c r="N617" s="540"/>
      <c r="O617" s="538"/>
      <c r="P617" s="594"/>
      <c r="Q617" s="536"/>
      <c r="R617" s="539"/>
      <c r="S617" s="536"/>
      <c r="T617" s="732"/>
      <c r="U617" s="732"/>
    </row>
    <row r="618" spans="1:21" ht="14.25" hidden="1" customHeight="1">
      <c r="A618" s="225">
        <f>ROW()-1</f>
        <v>617</v>
      </c>
      <c r="B618" s="533">
        <v>46180</v>
      </c>
      <c r="C618" s="534" t="s">
        <v>1966</v>
      </c>
      <c r="D618" s="535" t="s">
        <v>131</v>
      </c>
      <c r="E618" s="536" t="s">
        <v>22</v>
      </c>
      <c r="F618" s="536" t="s">
        <v>44</v>
      </c>
      <c r="G618" s="534" t="s">
        <v>1967</v>
      </c>
      <c r="H618" s="564">
        <v>9588670540</v>
      </c>
      <c r="I618" s="565" t="s">
        <v>1968</v>
      </c>
      <c r="J618" s="695" t="s">
        <v>1438</v>
      </c>
      <c r="K618" s="540" t="s">
        <v>1969</v>
      </c>
      <c r="L618" s="232" t="s">
        <v>49</v>
      </c>
      <c r="M618" s="542" t="s">
        <v>50</v>
      </c>
      <c r="N618" s="540"/>
      <c r="O618" s="538"/>
      <c r="P618" s="721"/>
      <c r="Q618" s="536"/>
      <c r="R618" s="539"/>
      <c r="S618" s="536"/>
    </row>
    <row r="619" spans="1:21" ht="14.25" hidden="1" customHeight="1">
      <c r="A619" s="225">
        <f>ROW()-1</f>
        <v>618</v>
      </c>
      <c r="B619" s="533">
        <v>46180</v>
      </c>
      <c r="C619" s="540" t="s">
        <v>1970</v>
      </c>
      <c r="D619" s="541" t="s">
        <v>1951</v>
      </c>
      <c r="E619" s="542" t="s">
        <v>22</v>
      </c>
      <c r="F619" s="542" t="s">
        <v>23</v>
      </c>
      <c r="G619" s="540" t="s">
        <v>1971</v>
      </c>
      <c r="H619" s="564"/>
      <c r="I619" s="671"/>
      <c r="J619" s="258" t="s">
        <v>66</v>
      </c>
      <c r="K619" s="581" t="s">
        <v>1972</v>
      </c>
      <c r="L619" s="232" t="s">
        <v>74</v>
      </c>
      <c r="M619" s="542" t="s">
        <v>28</v>
      </c>
      <c r="N619" s="540" t="s">
        <v>1648</v>
      </c>
      <c r="O619" s="570">
        <v>46179</v>
      </c>
      <c r="P619" s="595">
        <v>1817437</v>
      </c>
      <c r="Q619" s="571" t="s">
        <v>70</v>
      </c>
      <c r="R619" s="251">
        <v>46180</v>
      </c>
      <c r="S619" s="542"/>
    </row>
    <row r="620" spans="1:21" ht="14.25" hidden="1" customHeight="1">
      <c r="A620" s="225">
        <f>ROW()-1</f>
        <v>619</v>
      </c>
      <c r="B620" s="533">
        <v>46180</v>
      </c>
      <c r="C620" s="534" t="s">
        <v>1973</v>
      </c>
      <c r="D620" s="541" t="s">
        <v>1951</v>
      </c>
      <c r="E620" s="536" t="s">
        <v>22</v>
      </c>
      <c r="F620" s="536" t="s">
        <v>32</v>
      </c>
      <c r="G620" s="534" t="s">
        <v>1650</v>
      </c>
      <c r="H620" s="564">
        <v>9607482828</v>
      </c>
      <c r="I620" s="671" t="s">
        <v>1974</v>
      </c>
      <c r="J620" s="257" t="s">
        <v>66</v>
      </c>
      <c r="K620" s="581" t="s">
        <v>1651</v>
      </c>
      <c r="L620" s="551" t="s">
        <v>74</v>
      </c>
      <c r="M620" s="236" t="s">
        <v>28</v>
      </c>
      <c r="N620" s="540" t="s">
        <v>1975</v>
      </c>
      <c r="O620" s="716">
        <v>46179</v>
      </c>
      <c r="P620" s="595">
        <v>561072</v>
      </c>
      <c r="Q620" s="572" t="s">
        <v>70</v>
      </c>
      <c r="R620" s="251">
        <v>46180</v>
      </c>
      <c r="S620" s="536"/>
    </row>
    <row r="621" spans="1:21" ht="14.25" hidden="1" customHeight="1">
      <c r="A621" s="225">
        <f>ROW()-1</f>
        <v>620</v>
      </c>
      <c r="B621" s="533">
        <v>46181</v>
      </c>
      <c r="C621" s="534" t="s">
        <v>1976</v>
      </c>
      <c r="D621" s="634" t="s">
        <v>1716</v>
      </c>
      <c r="E621" s="634" t="s">
        <v>22</v>
      </c>
      <c r="F621" s="536" t="s">
        <v>36</v>
      </c>
      <c r="G621" s="634" t="s">
        <v>1977</v>
      </c>
      <c r="H621" s="659">
        <v>9511916274</v>
      </c>
      <c r="I621" s="653" t="s">
        <v>1978</v>
      </c>
      <c r="J621" s="257" t="s">
        <v>1113</v>
      </c>
      <c r="K621" s="703" t="s">
        <v>1979</v>
      </c>
      <c r="L621" s="232" t="s">
        <v>58</v>
      </c>
      <c r="M621" s="536" t="s">
        <v>50</v>
      </c>
      <c r="N621" s="534"/>
      <c r="O621" s="716"/>
      <c r="P621" s="720"/>
      <c r="Q621" s="572"/>
      <c r="R621" s="539"/>
      <c r="S621" s="536"/>
    </row>
    <row r="622" spans="1:21" ht="14.25" hidden="1" customHeight="1">
      <c r="A622" s="225">
        <f>ROW()-1</f>
        <v>621</v>
      </c>
      <c r="B622" s="533">
        <v>46181</v>
      </c>
      <c r="C622" s="534" t="s">
        <v>1980</v>
      </c>
      <c r="D622" s="634" t="s">
        <v>424</v>
      </c>
      <c r="E622" s="634" t="s">
        <v>22</v>
      </c>
      <c r="F622" s="536" t="s">
        <v>23</v>
      </c>
      <c r="G622" s="634" t="s">
        <v>1981</v>
      </c>
      <c r="H622" s="659">
        <v>8530907373</v>
      </c>
      <c r="I622" s="550" t="s">
        <v>1982</v>
      </c>
      <c r="J622" s="695" t="s">
        <v>1113</v>
      </c>
      <c r="K622" s="634" t="s">
        <v>1983</v>
      </c>
      <c r="L622" s="232" t="s">
        <v>58</v>
      </c>
      <c r="M622" s="536" t="s">
        <v>50</v>
      </c>
      <c r="N622" s="534"/>
      <c r="O622" s="716"/>
      <c r="P622" s="720"/>
      <c r="Q622" s="572"/>
      <c r="R622" s="539"/>
      <c r="S622" s="536"/>
    </row>
    <row r="623" spans="1:21" ht="14.25" hidden="1" customHeight="1">
      <c r="A623" s="225">
        <f>ROW()-1</f>
        <v>622</v>
      </c>
      <c r="B623" s="533">
        <v>46181</v>
      </c>
      <c r="C623" s="534" t="s">
        <v>1984</v>
      </c>
      <c r="D623" s="634" t="s">
        <v>192</v>
      </c>
      <c r="E623" s="634" t="s">
        <v>193</v>
      </c>
      <c r="F623" s="536" t="s">
        <v>60</v>
      </c>
      <c r="G623" s="634" t="s">
        <v>1275</v>
      </c>
      <c r="H623" s="659">
        <v>9427268241</v>
      </c>
      <c r="I623" s="550"/>
      <c r="J623" s="567" t="s">
        <v>122</v>
      </c>
      <c r="K623" s="634" t="s">
        <v>1985</v>
      </c>
      <c r="L623" s="232" t="s">
        <v>58</v>
      </c>
      <c r="M623" s="236" t="s">
        <v>40</v>
      </c>
      <c r="N623" s="534"/>
      <c r="O623" s="716"/>
      <c r="P623" s="720"/>
      <c r="Q623" s="572"/>
      <c r="R623" s="539"/>
      <c r="S623" s="536"/>
    </row>
    <row r="624" spans="1:21" ht="14.25" hidden="1" customHeight="1">
      <c r="A624" s="225">
        <f>ROW()-1</f>
        <v>623</v>
      </c>
      <c r="B624" s="533">
        <v>46181</v>
      </c>
      <c r="C624" s="561" t="s">
        <v>1986</v>
      </c>
      <c r="D624" s="644" t="s">
        <v>154</v>
      </c>
      <c r="E624" s="634" t="s">
        <v>595</v>
      </c>
      <c r="F624" s="536" t="s">
        <v>60</v>
      </c>
      <c r="G624" s="634" t="s">
        <v>1987</v>
      </c>
      <c r="H624" s="659">
        <v>8275258079</v>
      </c>
      <c r="I624" s="550" t="s">
        <v>1660</v>
      </c>
      <c r="J624" s="567" t="s">
        <v>1698</v>
      </c>
      <c r="K624" s="634" t="s">
        <v>1988</v>
      </c>
      <c r="L624" s="232" t="s">
        <v>58</v>
      </c>
      <c r="M624" s="236" t="s">
        <v>40</v>
      </c>
      <c r="N624" s="534"/>
      <c r="O624" s="716"/>
      <c r="P624" s="720"/>
      <c r="Q624" s="572"/>
      <c r="R624" s="539"/>
      <c r="S624" s="536"/>
    </row>
    <row r="625" spans="1:20" ht="14.25" hidden="1" customHeight="1">
      <c r="A625" s="225">
        <f>ROW()-1</f>
        <v>624</v>
      </c>
      <c r="B625" s="533">
        <v>46181</v>
      </c>
      <c r="C625" s="534" t="s">
        <v>1662</v>
      </c>
      <c r="D625" s="535" t="s">
        <v>1663</v>
      </c>
      <c r="E625" s="536" t="s">
        <v>193</v>
      </c>
      <c r="F625" s="536" t="s">
        <v>23</v>
      </c>
      <c r="G625" s="534" t="s">
        <v>1989</v>
      </c>
      <c r="H625" s="741">
        <v>9898544074</v>
      </c>
      <c r="I625" s="565" t="s">
        <v>1990</v>
      </c>
      <c r="J625" s="567" t="s">
        <v>66</v>
      </c>
      <c r="K625" s="540" t="s">
        <v>1991</v>
      </c>
      <c r="L625" s="232" t="s">
        <v>27</v>
      </c>
      <c r="M625" s="232" t="s">
        <v>40</v>
      </c>
      <c r="N625" s="540" t="s">
        <v>1992</v>
      </c>
      <c r="O625" s="538">
        <v>46181</v>
      </c>
      <c r="P625" s="594">
        <v>1192058.8</v>
      </c>
      <c r="Q625" s="542" t="s">
        <v>70</v>
      </c>
      <c r="R625" s="251">
        <v>46181</v>
      </c>
      <c r="S625" s="536"/>
    </row>
    <row r="626" spans="1:20" ht="14.25" hidden="1" customHeight="1">
      <c r="A626" s="225">
        <f>ROW()-1</f>
        <v>625</v>
      </c>
      <c r="B626" s="533">
        <v>46181</v>
      </c>
      <c r="C626" s="534" t="s">
        <v>1993</v>
      </c>
      <c r="D626" s="254" t="s">
        <v>131</v>
      </c>
      <c r="E626" s="254" t="s">
        <v>22</v>
      </c>
      <c r="F626" s="536" t="s">
        <v>73</v>
      </c>
      <c r="G626" s="634" t="s">
        <v>1994</v>
      </c>
      <c r="H626" s="659">
        <v>8888843637</v>
      </c>
      <c r="I626" s="550" t="s">
        <v>1995</v>
      </c>
      <c r="J626" s="567" t="s">
        <v>63</v>
      </c>
      <c r="K626" s="634" t="s">
        <v>1669</v>
      </c>
      <c r="L626" s="232" t="s">
        <v>58</v>
      </c>
      <c r="M626" s="236" t="s">
        <v>50</v>
      </c>
      <c r="N626" s="534"/>
      <c r="O626" s="538"/>
      <c r="P626" s="718"/>
      <c r="Q626" s="536"/>
      <c r="R626" s="539"/>
      <c r="S626" s="536"/>
    </row>
    <row r="627" spans="1:20" ht="14.25" hidden="1" customHeight="1">
      <c r="A627" s="225">
        <f>ROW()-1</f>
        <v>626</v>
      </c>
      <c r="B627" s="533">
        <v>46181</v>
      </c>
      <c r="C627" s="534" t="s">
        <v>1996</v>
      </c>
      <c r="D627" s="535" t="s">
        <v>131</v>
      </c>
      <c r="E627" s="236" t="s">
        <v>22</v>
      </c>
      <c r="F627" s="536" t="s">
        <v>60</v>
      </c>
      <c r="G627" s="534" t="s">
        <v>1997</v>
      </c>
      <c r="H627" s="564"/>
      <c r="I627" s="676" t="s">
        <v>1998</v>
      </c>
      <c r="J627" s="567" t="s">
        <v>66</v>
      </c>
      <c r="K627" s="534"/>
      <c r="L627" s="236" t="s">
        <v>74</v>
      </c>
      <c r="M627" s="236" t="s">
        <v>40</v>
      </c>
      <c r="N627" s="534" t="s">
        <v>1999</v>
      </c>
      <c r="O627" s="538">
        <v>46183</v>
      </c>
      <c r="P627" s="594">
        <v>251743</v>
      </c>
      <c r="Q627" s="536" t="s">
        <v>70</v>
      </c>
      <c r="R627" s="539"/>
      <c r="S627" s="536"/>
    </row>
    <row r="628" spans="1:20" ht="14.25" hidden="1" customHeight="1">
      <c r="A628" s="225">
        <f>ROW()-1</f>
        <v>627</v>
      </c>
      <c r="B628" s="533">
        <v>46181</v>
      </c>
      <c r="C628" s="534" t="s">
        <v>1672</v>
      </c>
      <c r="D628" s="535"/>
      <c r="E628" s="536"/>
      <c r="F628" s="536" t="s">
        <v>23</v>
      </c>
      <c r="G628" s="651" t="s">
        <v>1487</v>
      </c>
      <c r="H628" s="564">
        <v>7887384915</v>
      </c>
      <c r="I628" s="671" t="s">
        <v>2000</v>
      </c>
      <c r="J628" s="257" t="s">
        <v>63</v>
      </c>
      <c r="K628" s="581" t="s">
        <v>2001</v>
      </c>
      <c r="L628" s="542" t="s">
        <v>49</v>
      </c>
      <c r="M628" s="575" t="s">
        <v>50</v>
      </c>
      <c r="N628" s="549"/>
      <c r="O628" s="553"/>
      <c r="P628" s="595"/>
      <c r="Q628" s="551"/>
      <c r="R628" s="722"/>
      <c r="S628" s="572"/>
    </row>
    <row r="629" spans="1:20" ht="14.25" hidden="1" customHeight="1">
      <c r="A629" s="225">
        <f>ROW()-1</f>
        <v>628</v>
      </c>
      <c r="B629" s="533">
        <v>46181</v>
      </c>
      <c r="C629" s="534" t="s">
        <v>1922</v>
      </c>
      <c r="D629" s="238" t="s">
        <v>1674</v>
      </c>
      <c r="E629" s="236" t="s">
        <v>22</v>
      </c>
      <c r="F629" s="536" t="s">
        <v>73</v>
      </c>
      <c r="G629" s="534"/>
      <c r="H629" s="564">
        <v>9820330985</v>
      </c>
      <c r="I629" s="677" t="s">
        <v>2002</v>
      </c>
      <c r="J629" s="695" t="s">
        <v>66</v>
      </c>
      <c r="K629" s="540" t="s">
        <v>2003</v>
      </c>
      <c r="L629" s="232" t="s">
        <v>49</v>
      </c>
      <c r="M629" s="604" t="s">
        <v>50</v>
      </c>
      <c r="N629" s="549" t="s">
        <v>2004</v>
      </c>
      <c r="O629" s="553">
        <v>46182</v>
      </c>
      <c r="P629" s="595">
        <v>1437898.91</v>
      </c>
      <c r="Q629" s="552" t="s">
        <v>70</v>
      </c>
      <c r="R629" s="722"/>
      <c r="S629" s="572"/>
    </row>
    <row r="630" spans="1:20" ht="14.25" hidden="1" customHeight="1">
      <c r="A630" s="225">
        <f>ROW()-1</f>
        <v>629</v>
      </c>
      <c r="B630" s="533">
        <v>46181</v>
      </c>
      <c r="C630" s="534" t="s">
        <v>1922</v>
      </c>
      <c r="D630" s="238" t="s">
        <v>1674</v>
      </c>
      <c r="E630" s="236" t="s">
        <v>22</v>
      </c>
      <c r="F630" s="536" t="s">
        <v>59</v>
      </c>
      <c r="G630" s="534" t="s">
        <v>2005</v>
      </c>
      <c r="H630" s="564">
        <v>9820330985</v>
      </c>
      <c r="I630" s="565" t="s">
        <v>2002</v>
      </c>
      <c r="J630" s="567" t="s">
        <v>1698</v>
      </c>
      <c r="K630" s="540" t="s">
        <v>2003</v>
      </c>
      <c r="L630" s="232" t="s">
        <v>49</v>
      </c>
      <c r="M630" s="604" t="s">
        <v>50</v>
      </c>
      <c r="N630" s="549"/>
      <c r="O630" s="553"/>
      <c r="P630" s="595"/>
      <c r="Q630" s="551"/>
      <c r="R630" s="722"/>
      <c r="S630" s="572"/>
    </row>
    <row r="631" spans="1:20" ht="14.25" hidden="1" customHeight="1">
      <c r="A631" s="225">
        <f>ROW()-1</f>
        <v>630</v>
      </c>
      <c r="B631" s="533">
        <v>46181</v>
      </c>
      <c r="C631" s="534" t="s">
        <v>1677</v>
      </c>
      <c r="D631" s="634" t="s">
        <v>2006</v>
      </c>
      <c r="E631" s="634" t="s">
        <v>725</v>
      </c>
      <c r="F631" s="536" t="s">
        <v>60</v>
      </c>
      <c r="G631" s="634" t="s">
        <v>1275</v>
      </c>
      <c r="H631" s="659">
        <v>9847538444</v>
      </c>
      <c r="I631" s="550" t="s">
        <v>2007</v>
      </c>
      <c r="J631" s="567" t="s">
        <v>1113</v>
      </c>
      <c r="K631" s="634" t="s">
        <v>2008</v>
      </c>
      <c r="L631" s="232" t="s">
        <v>58</v>
      </c>
      <c r="M631" s="574" t="s">
        <v>40</v>
      </c>
      <c r="N631" s="549"/>
      <c r="O631" s="553"/>
      <c r="P631" s="720"/>
      <c r="Q631" s="551"/>
      <c r="R631" s="722"/>
      <c r="S631" s="572"/>
    </row>
    <row r="632" spans="1:20" ht="14.25" hidden="1" customHeight="1">
      <c r="A632" s="225">
        <f>ROW()-1</f>
        <v>631</v>
      </c>
      <c r="B632" s="533">
        <v>46181</v>
      </c>
      <c r="C632" s="534" t="s">
        <v>1681</v>
      </c>
      <c r="D632" s="634" t="s">
        <v>779</v>
      </c>
      <c r="E632" s="634" t="s">
        <v>390</v>
      </c>
      <c r="F632" s="536" t="s">
        <v>60</v>
      </c>
      <c r="G632" s="644" t="s">
        <v>1141</v>
      </c>
      <c r="H632" s="659">
        <v>7893422516</v>
      </c>
      <c r="I632" s="653"/>
      <c r="J632" s="257" t="s">
        <v>171</v>
      </c>
      <c r="K632" s="703" t="s">
        <v>2009</v>
      </c>
      <c r="L632" s="232" t="s">
        <v>58</v>
      </c>
      <c r="M632" s="573" t="s">
        <v>40</v>
      </c>
      <c r="N632" s="549"/>
      <c r="O632" s="553"/>
      <c r="P632" s="720"/>
      <c r="Q632" s="551"/>
      <c r="R632" s="722"/>
      <c r="S632" s="572"/>
    </row>
    <row r="633" spans="1:20" ht="14.25" hidden="1" customHeight="1">
      <c r="A633" s="225">
        <f>ROW()-1</f>
        <v>632</v>
      </c>
      <c r="B633" s="533">
        <v>46182</v>
      </c>
      <c r="C633" s="534" t="s">
        <v>2010</v>
      </c>
      <c r="D633" s="634" t="s">
        <v>1684</v>
      </c>
      <c r="E633" s="634" t="s">
        <v>126</v>
      </c>
      <c r="F633" s="536" t="s">
        <v>23</v>
      </c>
      <c r="G633" s="634" t="s">
        <v>2011</v>
      </c>
      <c r="H633" s="659">
        <v>8447547941</v>
      </c>
      <c r="I633" s="550" t="s">
        <v>2012</v>
      </c>
      <c r="J633" s="695" t="s">
        <v>567</v>
      </c>
      <c r="K633" s="634" t="s">
        <v>2013</v>
      </c>
      <c r="L633" s="542" t="s">
        <v>58</v>
      </c>
      <c r="M633" s="573" t="s">
        <v>50</v>
      </c>
      <c r="N633" s="549"/>
      <c r="O633" s="553"/>
      <c r="P633" s="595"/>
      <c r="Q633" s="551"/>
      <c r="R633" s="722"/>
      <c r="S633" s="572"/>
    </row>
    <row r="634" spans="1:20" ht="14.25" hidden="1" customHeight="1">
      <c r="A634" s="225">
        <f>ROW()-1</f>
        <v>633</v>
      </c>
      <c r="B634" s="548">
        <v>46182</v>
      </c>
      <c r="C634" s="549" t="s">
        <v>2014</v>
      </c>
      <c r="D634" s="555" t="s">
        <v>131</v>
      </c>
      <c r="E634" s="536" t="s">
        <v>22</v>
      </c>
      <c r="F634" s="551" t="s">
        <v>83</v>
      </c>
      <c r="G634" s="556" t="s">
        <v>2015</v>
      </c>
      <c r="H634" s="566">
        <v>8655742581</v>
      </c>
      <c r="I634" s="558" t="s">
        <v>1688</v>
      </c>
      <c r="J634" s="257" t="s">
        <v>47</v>
      </c>
      <c r="K634" s="560" t="s">
        <v>139</v>
      </c>
      <c r="L634" s="232" t="s">
        <v>49</v>
      </c>
      <c r="M634" s="577" t="s">
        <v>50</v>
      </c>
      <c r="N634" s="549"/>
      <c r="O634" s="553"/>
      <c r="P634" s="595"/>
      <c r="Q634" s="551"/>
      <c r="R634" s="722"/>
      <c r="S634" s="578"/>
      <c r="T634" s="554"/>
    </row>
    <row r="635" spans="1:20" ht="14.25" hidden="1" customHeight="1">
      <c r="A635" s="225">
        <f>ROW()-1</f>
        <v>634</v>
      </c>
      <c r="B635" s="548">
        <v>46182</v>
      </c>
      <c r="C635" s="549" t="s">
        <v>2016</v>
      </c>
      <c r="D635" s="555"/>
      <c r="E635" s="551" t="s">
        <v>22</v>
      </c>
      <c r="F635" s="551" t="s">
        <v>59</v>
      </c>
      <c r="G635" s="556"/>
      <c r="H635" s="566"/>
      <c r="I635" s="558"/>
      <c r="J635" s="694" t="s">
        <v>66</v>
      </c>
      <c r="K635" s="560"/>
      <c r="L635" s="552" t="s">
        <v>27</v>
      </c>
      <c r="M635" s="576" t="s">
        <v>40</v>
      </c>
      <c r="N635" s="549" t="s">
        <v>2017</v>
      </c>
      <c r="O635" s="553"/>
      <c r="P635" s="595">
        <v>125000</v>
      </c>
      <c r="Q635" s="551" t="s">
        <v>70</v>
      </c>
      <c r="R635" s="722"/>
      <c r="S635" s="578"/>
      <c r="T635" s="554"/>
    </row>
    <row r="636" spans="1:20" ht="14.25" hidden="1" customHeight="1">
      <c r="A636" s="225">
        <f>ROW()-1</f>
        <v>635</v>
      </c>
      <c r="B636" s="548">
        <v>46182</v>
      </c>
      <c r="C636" s="549" t="s">
        <v>2018</v>
      </c>
      <c r="D636" s="555" t="s">
        <v>2019</v>
      </c>
      <c r="E636" s="551" t="s">
        <v>22</v>
      </c>
      <c r="F636" s="551" t="s">
        <v>23</v>
      </c>
      <c r="G636" s="556" t="s">
        <v>2020</v>
      </c>
      <c r="H636" s="566">
        <v>9527277666</v>
      </c>
      <c r="I636" s="672" t="s">
        <v>1691</v>
      </c>
      <c r="J636" s="568" t="s">
        <v>122</v>
      </c>
      <c r="K636" s="560" t="s">
        <v>2021</v>
      </c>
      <c r="L636" s="552" t="s">
        <v>49</v>
      </c>
      <c r="M636" s="577" t="s">
        <v>50</v>
      </c>
      <c r="N636" s="549"/>
      <c r="O636" s="553"/>
      <c r="P636" s="595"/>
      <c r="Q636" s="551"/>
      <c r="R636" s="722"/>
      <c r="S636" s="578"/>
      <c r="T636" s="554"/>
    </row>
    <row r="637" spans="1:20" ht="14.25" hidden="1" customHeight="1">
      <c r="A637" s="225">
        <f>ROW()-1</f>
        <v>636</v>
      </c>
      <c r="B637" s="548">
        <v>46182</v>
      </c>
      <c r="C637" s="549" t="s">
        <v>588</v>
      </c>
      <c r="D637" s="555" t="s">
        <v>293</v>
      </c>
      <c r="E637" s="551" t="s">
        <v>22</v>
      </c>
      <c r="F637" s="551" t="s">
        <v>59</v>
      </c>
      <c r="G637" s="556" t="s">
        <v>2022</v>
      </c>
      <c r="H637" s="566">
        <v>7208917221</v>
      </c>
      <c r="I637" s="558" t="s">
        <v>139</v>
      </c>
      <c r="J637" s="568" t="s">
        <v>567</v>
      </c>
      <c r="K637" s="560" t="s">
        <v>139</v>
      </c>
      <c r="L637" s="552" t="s">
        <v>49</v>
      </c>
      <c r="M637" s="552" t="s">
        <v>50</v>
      </c>
      <c r="N637" s="623"/>
      <c r="O637" s="715"/>
      <c r="P637" s="595"/>
      <c r="Q637" s="626"/>
      <c r="R637" s="726"/>
      <c r="S637" s="551"/>
      <c r="T637" s="554"/>
    </row>
    <row r="638" spans="1:20" ht="14.25" hidden="1" customHeight="1">
      <c r="A638" s="225">
        <f>ROW()-1</f>
        <v>637</v>
      </c>
      <c r="B638" s="548">
        <v>46182</v>
      </c>
      <c r="C638" s="549" t="s">
        <v>1346</v>
      </c>
      <c r="D638" s="555"/>
      <c r="E638" s="551" t="s">
        <v>22</v>
      </c>
      <c r="F638" s="551" t="s">
        <v>32</v>
      </c>
      <c r="G638" s="556"/>
      <c r="H638" s="566"/>
      <c r="I638" s="558"/>
      <c r="J638" s="568" t="s">
        <v>66</v>
      </c>
      <c r="K638" s="560"/>
      <c r="L638" s="552" t="s">
        <v>27</v>
      </c>
      <c r="M638" s="551" t="s">
        <v>28</v>
      </c>
      <c r="N638" s="549" t="s">
        <v>2023</v>
      </c>
      <c r="O638" s="553"/>
      <c r="P638" s="595">
        <v>2924000</v>
      </c>
      <c r="Q638" s="551" t="s">
        <v>70</v>
      </c>
      <c r="R638" s="722"/>
      <c r="S638" s="551"/>
      <c r="T638" s="554"/>
    </row>
    <row r="639" spans="1:20" ht="14.25" hidden="1" customHeight="1">
      <c r="A639" s="225">
        <f>ROW()-1</f>
        <v>638</v>
      </c>
      <c r="B639" s="548">
        <v>46182</v>
      </c>
      <c r="C639" s="549" t="s">
        <v>1346</v>
      </c>
      <c r="D639" s="555"/>
      <c r="E639" s="551" t="s">
        <v>22</v>
      </c>
      <c r="F639" s="551" t="s">
        <v>59</v>
      </c>
      <c r="G639" s="556"/>
      <c r="H639" s="566"/>
      <c r="I639" s="558"/>
      <c r="J639" s="568" t="s">
        <v>66</v>
      </c>
      <c r="K639" s="560"/>
      <c r="L639" s="552" t="s">
        <v>27</v>
      </c>
      <c r="M639" s="551" t="s">
        <v>40</v>
      </c>
      <c r="N639" s="549" t="s">
        <v>2024</v>
      </c>
      <c r="O639" s="553"/>
      <c r="P639" s="595">
        <v>566363</v>
      </c>
      <c r="Q639" s="551" t="s">
        <v>70</v>
      </c>
      <c r="R639" s="722"/>
      <c r="S639" s="551"/>
      <c r="T639" s="554"/>
    </row>
    <row r="640" spans="1:20" ht="14.25" hidden="1" customHeight="1">
      <c r="A640" s="225">
        <f>ROW()-1</f>
        <v>639</v>
      </c>
      <c r="B640" s="548">
        <v>46182</v>
      </c>
      <c r="C640" s="637" t="s">
        <v>1695</v>
      </c>
      <c r="D640" s="643" t="s">
        <v>2025</v>
      </c>
      <c r="E640" s="551" t="s">
        <v>162</v>
      </c>
      <c r="F640" s="551" t="s">
        <v>60</v>
      </c>
      <c r="G640" s="556" t="s">
        <v>2026</v>
      </c>
      <c r="H640" s="566">
        <v>7000327355</v>
      </c>
      <c r="I640" s="558" t="s">
        <v>1696</v>
      </c>
      <c r="J640" s="568" t="s">
        <v>63</v>
      </c>
      <c r="K640" s="560" t="s">
        <v>139</v>
      </c>
      <c r="L640" s="552" t="s">
        <v>49</v>
      </c>
      <c r="M640" s="552" t="s">
        <v>50</v>
      </c>
      <c r="N640" s="549"/>
      <c r="O640" s="553"/>
      <c r="P640" s="595"/>
      <c r="Q640" s="551"/>
      <c r="R640" s="722"/>
      <c r="S640" s="551"/>
      <c r="T640" s="554"/>
    </row>
    <row r="641" spans="1:20" ht="14.25" hidden="1" customHeight="1">
      <c r="A641" s="225">
        <f>ROW()-1</f>
        <v>640</v>
      </c>
      <c r="B641" s="548">
        <v>46182</v>
      </c>
      <c r="C641" s="549" t="s">
        <v>2027</v>
      </c>
      <c r="D641" s="550" t="s">
        <v>293</v>
      </c>
      <c r="E641" s="550" t="s">
        <v>22</v>
      </c>
      <c r="F641" s="551" t="s">
        <v>59</v>
      </c>
      <c r="G641" s="653" t="s">
        <v>2028</v>
      </c>
      <c r="H641" s="653">
        <v>9172916573</v>
      </c>
      <c r="I641" s="550" t="s">
        <v>2029</v>
      </c>
      <c r="J641" s="568" t="s">
        <v>122</v>
      </c>
      <c r="K641" s="550" t="s">
        <v>2030</v>
      </c>
      <c r="L641" s="552" t="s">
        <v>58</v>
      </c>
      <c r="M641" s="551" t="s">
        <v>50</v>
      </c>
      <c r="N641" s="549"/>
      <c r="O641" s="553"/>
      <c r="P641" s="595"/>
      <c r="Q641" s="551"/>
      <c r="R641" s="722"/>
      <c r="S641" s="551"/>
      <c r="T641" s="554"/>
    </row>
    <row r="642" spans="1:20" ht="14.25" hidden="1" customHeight="1">
      <c r="A642" s="225">
        <f>ROW()-1</f>
        <v>641</v>
      </c>
      <c r="B642" s="548">
        <v>46182</v>
      </c>
      <c r="C642" s="549" t="s">
        <v>2031</v>
      </c>
      <c r="D642" s="550" t="s">
        <v>859</v>
      </c>
      <c r="E642" s="550" t="s">
        <v>22</v>
      </c>
      <c r="F642" s="551" t="s">
        <v>73</v>
      </c>
      <c r="G642" s="653" t="s">
        <v>2032</v>
      </c>
      <c r="H642" s="653">
        <v>7276227272</v>
      </c>
      <c r="I642" s="550" t="s">
        <v>1701</v>
      </c>
      <c r="J642" s="568" t="s">
        <v>567</v>
      </c>
      <c r="K642" s="550" t="s">
        <v>2033</v>
      </c>
      <c r="L642" s="552" t="s">
        <v>58</v>
      </c>
      <c r="M642" s="551" t="s">
        <v>50</v>
      </c>
      <c r="N642" s="549"/>
      <c r="O642" s="553"/>
      <c r="P642" s="595"/>
      <c r="Q642" s="551"/>
      <c r="R642" s="722"/>
      <c r="S642" s="551"/>
      <c r="T642" s="554"/>
    </row>
    <row r="643" spans="1:20" ht="14.25" hidden="1" customHeight="1">
      <c r="A643" s="225">
        <f>ROW()-1</f>
        <v>642</v>
      </c>
      <c r="B643" s="548">
        <v>46182</v>
      </c>
      <c r="C643" s="549" t="s">
        <v>2034</v>
      </c>
      <c r="D643" s="550" t="s">
        <v>749</v>
      </c>
      <c r="E643" s="550" t="s">
        <v>214</v>
      </c>
      <c r="F643" s="551" t="s">
        <v>59</v>
      </c>
      <c r="G643" s="550" t="s">
        <v>2035</v>
      </c>
      <c r="H643" s="644">
        <v>9989717631</v>
      </c>
      <c r="I643" s="550"/>
      <c r="J643" s="568" t="s">
        <v>122</v>
      </c>
      <c r="K643" s="550" t="s">
        <v>2036</v>
      </c>
      <c r="L643" s="552" t="s">
        <v>58</v>
      </c>
      <c r="M643" s="551" t="s">
        <v>50</v>
      </c>
      <c r="N643" s="549"/>
      <c r="O643" s="553"/>
      <c r="P643" s="595"/>
      <c r="Q643" s="551"/>
      <c r="R643" s="722"/>
      <c r="S643" s="551"/>
      <c r="T643" s="554"/>
    </row>
    <row r="644" spans="1:20" ht="14.25" hidden="1" customHeight="1">
      <c r="A644" s="225">
        <f>ROW()-1</f>
        <v>643</v>
      </c>
      <c r="B644" s="548">
        <v>46182</v>
      </c>
      <c r="C644" s="549" t="s">
        <v>374</v>
      </c>
      <c r="D644" s="550" t="s">
        <v>131</v>
      </c>
      <c r="E644" s="550" t="s">
        <v>22</v>
      </c>
      <c r="F644" s="551" t="s">
        <v>73</v>
      </c>
      <c r="G644" s="653" t="s">
        <v>2037</v>
      </c>
      <c r="H644" s="653">
        <v>7972482297</v>
      </c>
      <c r="I644" s="550"/>
      <c r="J644" s="568" t="s">
        <v>63</v>
      </c>
      <c r="K644" s="550"/>
      <c r="L644" s="552" t="s">
        <v>58</v>
      </c>
      <c r="M644" s="551" t="s">
        <v>50</v>
      </c>
      <c r="N644" s="549"/>
      <c r="O644" s="553"/>
      <c r="P644" s="595"/>
      <c r="Q644" s="551"/>
      <c r="R644" s="722"/>
      <c r="S644" s="551"/>
      <c r="T644" s="554"/>
    </row>
    <row r="645" spans="1:20" ht="14.25" hidden="1" customHeight="1">
      <c r="A645" s="225">
        <f>ROW()-1</f>
        <v>644</v>
      </c>
      <c r="B645" s="548">
        <v>46182</v>
      </c>
      <c r="C645" s="549" t="s">
        <v>2038</v>
      </c>
      <c r="D645" s="550" t="s">
        <v>1705</v>
      </c>
      <c r="E645" s="550" t="s">
        <v>1421</v>
      </c>
      <c r="F645" s="551" t="s">
        <v>59</v>
      </c>
      <c r="G645" s="653" t="s">
        <v>1308</v>
      </c>
      <c r="H645" s="653">
        <v>9390264290</v>
      </c>
      <c r="I645" s="550"/>
      <c r="J645" s="568" t="s">
        <v>122</v>
      </c>
      <c r="K645" s="550" t="s">
        <v>2039</v>
      </c>
      <c r="L645" s="552" t="s">
        <v>58</v>
      </c>
      <c r="M645" s="551" t="s">
        <v>50</v>
      </c>
      <c r="N645" s="549"/>
      <c r="O645" s="553"/>
      <c r="P645" s="595"/>
      <c r="Q645" s="551"/>
      <c r="R645" s="722"/>
      <c r="S645" s="551"/>
      <c r="T645" s="554"/>
    </row>
    <row r="646" spans="1:20" ht="14.25" hidden="1" customHeight="1">
      <c r="A646" s="225">
        <f>ROW()-1</f>
        <v>645</v>
      </c>
      <c r="B646" s="548">
        <v>46182</v>
      </c>
      <c r="C646" s="549" t="s">
        <v>2040</v>
      </c>
      <c r="D646" s="555" t="s">
        <v>2041</v>
      </c>
      <c r="E646" s="551" t="s">
        <v>143</v>
      </c>
      <c r="F646" s="551" t="s">
        <v>73</v>
      </c>
      <c r="G646" s="556" t="s">
        <v>747</v>
      </c>
      <c r="H646" s="566">
        <v>7905831265</v>
      </c>
      <c r="I646" s="558" t="s">
        <v>1709</v>
      </c>
      <c r="J646" s="569" t="s">
        <v>1113</v>
      </c>
      <c r="K646" s="560" t="s">
        <v>2042</v>
      </c>
      <c r="L646" s="552" t="s">
        <v>49</v>
      </c>
      <c r="M646" s="552" t="s">
        <v>50</v>
      </c>
      <c r="N646" s="549"/>
      <c r="O646" s="553"/>
      <c r="P646" s="720"/>
      <c r="Q646" s="551"/>
      <c r="R646" s="722"/>
      <c r="S646" s="551"/>
      <c r="T646" s="554"/>
    </row>
    <row r="647" spans="1:20" ht="14.25" hidden="1" customHeight="1">
      <c r="A647" s="225">
        <f>ROW()-1</f>
        <v>646</v>
      </c>
      <c r="B647" s="548">
        <v>46182</v>
      </c>
      <c r="C647" s="549" t="s">
        <v>2043</v>
      </c>
      <c r="D647" s="555"/>
      <c r="E647" s="536" t="s">
        <v>22</v>
      </c>
      <c r="F647" s="551" t="s">
        <v>32</v>
      </c>
      <c r="G647" s="556"/>
      <c r="H647" s="566"/>
      <c r="I647" s="580" t="s">
        <v>139</v>
      </c>
      <c r="J647" s="257" t="s">
        <v>66</v>
      </c>
      <c r="K647" s="582" t="s">
        <v>139</v>
      </c>
      <c r="L647" s="552" t="s">
        <v>49</v>
      </c>
      <c r="M647" s="551" t="s">
        <v>50</v>
      </c>
      <c r="N647" s="549" t="s">
        <v>2044</v>
      </c>
      <c r="O647" s="553">
        <v>46183</v>
      </c>
      <c r="P647" s="595">
        <v>2100000</v>
      </c>
      <c r="Q647" s="551" t="s">
        <v>70</v>
      </c>
      <c r="R647" s="722"/>
      <c r="S647" s="551"/>
      <c r="T647" s="554"/>
    </row>
    <row r="648" spans="1:20" ht="14.25" hidden="1" customHeight="1">
      <c r="A648" s="225">
        <f>ROW()-1</f>
        <v>647</v>
      </c>
      <c r="B648" s="548">
        <v>46182</v>
      </c>
      <c r="C648" s="549" t="s">
        <v>2045</v>
      </c>
      <c r="D648" s="550" t="s">
        <v>1053</v>
      </c>
      <c r="E648" s="550" t="s">
        <v>759</v>
      </c>
      <c r="F648" s="551" t="s">
        <v>23</v>
      </c>
      <c r="G648" s="653" t="s">
        <v>2046</v>
      </c>
      <c r="H648" s="653">
        <v>9822120554</v>
      </c>
      <c r="I648" s="550" t="s">
        <v>2047</v>
      </c>
      <c r="J648" s="694" t="s">
        <v>1113</v>
      </c>
      <c r="K648" s="550" t="s">
        <v>2048</v>
      </c>
      <c r="L648" s="552" t="s">
        <v>58</v>
      </c>
      <c r="M648" s="551" t="s">
        <v>50</v>
      </c>
      <c r="N648" s="549"/>
      <c r="O648" s="553"/>
      <c r="P648" s="595"/>
      <c r="Q648" s="551"/>
      <c r="R648" s="722"/>
      <c r="S648" s="551"/>
      <c r="T648" s="554"/>
    </row>
    <row r="649" spans="1:20" ht="14.25" hidden="1" customHeight="1">
      <c r="A649" s="225">
        <f>ROW()-1</f>
        <v>648</v>
      </c>
      <c r="B649" s="548">
        <v>46182</v>
      </c>
      <c r="C649" s="549" t="s">
        <v>2049</v>
      </c>
      <c r="D649" s="550" t="s">
        <v>293</v>
      </c>
      <c r="E649" s="550" t="s">
        <v>22</v>
      </c>
      <c r="F649" s="551" t="s">
        <v>73</v>
      </c>
      <c r="G649" s="653" t="s">
        <v>2050</v>
      </c>
      <c r="H649" s="653">
        <v>9867950100</v>
      </c>
      <c r="I649" s="550" t="s">
        <v>2051</v>
      </c>
      <c r="J649" s="568" t="s">
        <v>122</v>
      </c>
      <c r="K649" s="550" t="s">
        <v>2052</v>
      </c>
      <c r="L649" s="552" t="s">
        <v>58</v>
      </c>
      <c r="M649" s="551" t="s">
        <v>50</v>
      </c>
      <c r="N649" s="549"/>
      <c r="O649" s="553"/>
      <c r="P649" s="595"/>
      <c r="Q649" s="551"/>
      <c r="R649" s="722"/>
      <c r="S649" s="551"/>
      <c r="T649" s="554"/>
    </row>
    <row r="650" spans="1:20" ht="14.25" hidden="1" customHeight="1">
      <c r="A650" s="225">
        <f>ROW()-1</f>
        <v>649</v>
      </c>
      <c r="B650" s="548">
        <v>46182</v>
      </c>
      <c r="C650" s="549" t="s">
        <v>2053</v>
      </c>
      <c r="D650" s="555"/>
      <c r="E650" s="551"/>
      <c r="F650" s="551" t="s">
        <v>59</v>
      </c>
      <c r="G650" s="556" t="s">
        <v>2054</v>
      </c>
      <c r="H650" s="566">
        <v>9810317534</v>
      </c>
      <c r="I650" s="558" t="s">
        <v>2055</v>
      </c>
      <c r="J650" s="569" t="s">
        <v>47</v>
      </c>
      <c r="K650" s="560" t="s">
        <v>2056</v>
      </c>
      <c r="L650" s="552" t="s">
        <v>49</v>
      </c>
      <c r="M650" s="552" t="s">
        <v>50</v>
      </c>
      <c r="N650" s="549"/>
      <c r="O650" s="553"/>
      <c r="P650" s="595"/>
      <c r="Q650" s="551"/>
      <c r="R650" s="722"/>
      <c r="S650" s="551"/>
      <c r="T650" s="554"/>
    </row>
    <row r="651" spans="1:20" ht="14.25" hidden="1" customHeight="1">
      <c r="A651" s="225">
        <f>ROW()-1</f>
        <v>650</v>
      </c>
      <c r="B651" s="548">
        <v>46182</v>
      </c>
      <c r="C651" s="549" t="s">
        <v>2057</v>
      </c>
      <c r="D651" s="555"/>
      <c r="E651" s="536" t="s">
        <v>22</v>
      </c>
      <c r="F651" s="551" t="s">
        <v>1435</v>
      </c>
      <c r="G651" s="556"/>
      <c r="H651" s="566"/>
      <c r="I651" s="580"/>
      <c r="J651" s="257" t="s">
        <v>66</v>
      </c>
      <c r="K651" s="582"/>
      <c r="L651" s="552" t="s">
        <v>27</v>
      </c>
      <c r="M651" s="236" t="s">
        <v>40</v>
      </c>
      <c r="N651" s="549" t="s">
        <v>1721</v>
      </c>
      <c r="O651" s="553"/>
      <c r="P651" s="595">
        <v>1450000</v>
      </c>
      <c r="Q651" s="551" t="s">
        <v>70</v>
      </c>
      <c r="R651" s="722"/>
      <c r="S651" s="551"/>
      <c r="T651" s="554"/>
    </row>
    <row r="652" spans="1:20" ht="14.25" hidden="1" customHeight="1">
      <c r="A652" s="225">
        <f>ROW()-1</f>
        <v>651</v>
      </c>
      <c r="B652" s="548">
        <v>46182</v>
      </c>
      <c r="C652" s="549" t="s">
        <v>2058</v>
      </c>
      <c r="D652" s="550" t="s">
        <v>52</v>
      </c>
      <c r="E652" s="634" t="s">
        <v>22</v>
      </c>
      <c r="F652" s="551"/>
      <c r="G652" s="656" t="s">
        <v>2059</v>
      </c>
      <c r="H652" s="644">
        <v>9987062301</v>
      </c>
      <c r="I652" s="653" t="s">
        <v>2060</v>
      </c>
      <c r="J652" s="257" t="s">
        <v>63</v>
      </c>
      <c r="K652" s="702" t="s">
        <v>1723</v>
      </c>
      <c r="L652" s="552" t="s">
        <v>58</v>
      </c>
      <c r="M652" s="236" t="s">
        <v>50</v>
      </c>
      <c r="N652" s="549"/>
      <c r="O652" s="553"/>
      <c r="P652" s="595"/>
      <c r="Q652" s="551"/>
      <c r="R652" s="722"/>
      <c r="S652" s="551"/>
      <c r="T652" s="554"/>
    </row>
    <row r="653" spans="1:20" ht="14.25" hidden="1" customHeight="1">
      <c r="A653" s="225">
        <f>ROW()-1</f>
        <v>652</v>
      </c>
      <c r="B653" s="548">
        <v>46182</v>
      </c>
      <c r="C653" s="549" t="s">
        <v>2061</v>
      </c>
      <c r="D653" s="550" t="s">
        <v>873</v>
      </c>
      <c r="E653" s="634" t="s">
        <v>82</v>
      </c>
      <c r="F653" s="551" t="s">
        <v>73</v>
      </c>
      <c r="G653" s="653" t="s">
        <v>556</v>
      </c>
      <c r="H653" s="653">
        <v>9070302070</v>
      </c>
      <c r="I653" s="653" t="s">
        <v>2062</v>
      </c>
      <c r="J653" s="257" t="s">
        <v>47</v>
      </c>
      <c r="K653" s="702" t="s">
        <v>1725</v>
      </c>
      <c r="L653" s="552" t="s">
        <v>58</v>
      </c>
      <c r="M653" s="236" t="s">
        <v>50</v>
      </c>
      <c r="N653" s="549"/>
      <c r="O653" s="553"/>
      <c r="P653" s="595"/>
      <c r="Q653" s="551"/>
      <c r="R653" s="722"/>
      <c r="S653" s="551"/>
      <c r="T653" s="554"/>
    </row>
    <row r="654" spans="1:20" ht="14.25" hidden="1" customHeight="1">
      <c r="A654" s="225">
        <f>ROW()-1</f>
        <v>653</v>
      </c>
      <c r="B654" s="548">
        <v>46183</v>
      </c>
      <c r="C654" s="549" t="s">
        <v>2063</v>
      </c>
      <c r="D654" s="555" t="s">
        <v>131</v>
      </c>
      <c r="E654" s="551" t="s">
        <v>22</v>
      </c>
      <c r="F654" s="551" t="s">
        <v>44</v>
      </c>
      <c r="G654" s="556" t="s">
        <v>2064</v>
      </c>
      <c r="H654" s="566">
        <v>8482988150</v>
      </c>
      <c r="I654" s="558"/>
      <c r="J654" s="696" t="s">
        <v>122</v>
      </c>
      <c r="K654" s="560" t="s">
        <v>2065</v>
      </c>
      <c r="L654" s="552" t="s">
        <v>58</v>
      </c>
      <c r="M654" s="552" t="s">
        <v>50</v>
      </c>
      <c r="N654" s="549"/>
      <c r="O654" s="553"/>
      <c r="P654" s="595"/>
      <c r="Q654" s="551"/>
      <c r="R654" s="722"/>
      <c r="S654" s="551"/>
      <c r="T654" s="554"/>
    </row>
    <row r="655" spans="1:20" ht="14.25" hidden="1" customHeight="1">
      <c r="A655" s="225">
        <f>ROW()-1</f>
        <v>654</v>
      </c>
      <c r="B655" s="533">
        <v>46183</v>
      </c>
      <c r="C655" s="534" t="s">
        <v>1729</v>
      </c>
      <c r="D655" s="634" t="s">
        <v>2066</v>
      </c>
      <c r="E655" s="550" t="s">
        <v>741</v>
      </c>
      <c r="F655" s="536" t="s">
        <v>59</v>
      </c>
      <c r="G655" s="634" t="s">
        <v>2067</v>
      </c>
      <c r="H655" s="659">
        <v>8789188344</v>
      </c>
      <c r="I655" s="653"/>
      <c r="J655" s="257" t="s">
        <v>122</v>
      </c>
      <c r="K655" s="703" t="s">
        <v>2068</v>
      </c>
      <c r="L655" s="542" t="s">
        <v>58</v>
      </c>
      <c r="M655" s="542" t="s">
        <v>50</v>
      </c>
      <c r="N655" s="534"/>
      <c r="O655" s="538"/>
      <c r="P655" s="595"/>
      <c r="Q655" s="551"/>
      <c r="R655" s="539"/>
      <c r="S655" s="536"/>
      <c r="T655" s="554"/>
    </row>
    <row r="656" spans="1:20" ht="14.25" hidden="1" customHeight="1">
      <c r="A656" s="225">
        <f>ROW()-1</f>
        <v>655</v>
      </c>
      <c r="B656" s="548">
        <v>46183</v>
      </c>
      <c r="C656" s="549" t="s">
        <v>1732</v>
      </c>
      <c r="D656" s="550" t="s">
        <v>675</v>
      </c>
      <c r="E656" s="550" t="s">
        <v>22</v>
      </c>
      <c r="F656" s="551" t="s">
        <v>73</v>
      </c>
      <c r="G656" s="653" t="s">
        <v>2069</v>
      </c>
      <c r="H656" s="653">
        <v>8766740349</v>
      </c>
      <c r="I656" s="550" t="s">
        <v>2070</v>
      </c>
      <c r="J656" s="694" t="s">
        <v>63</v>
      </c>
      <c r="K656" s="550" t="s">
        <v>2071</v>
      </c>
      <c r="L656" s="552" t="s">
        <v>58</v>
      </c>
      <c r="M656" s="552" t="s">
        <v>50</v>
      </c>
      <c r="N656" s="549"/>
      <c r="O656" s="553"/>
      <c r="P656" s="595"/>
      <c r="Q656" s="551"/>
      <c r="R656" s="722"/>
      <c r="S656" s="551"/>
      <c r="T656" s="554"/>
    </row>
    <row r="657" spans="1:20" ht="14.25" hidden="1" customHeight="1">
      <c r="A657" s="225">
        <f>ROW()-1</f>
        <v>656</v>
      </c>
      <c r="B657" s="548">
        <v>46183</v>
      </c>
      <c r="C657" s="549" t="s">
        <v>2072</v>
      </c>
      <c r="D657" s="550" t="s">
        <v>131</v>
      </c>
      <c r="E657" s="550" t="s">
        <v>22</v>
      </c>
      <c r="F657" s="551" t="s">
        <v>59</v>
      </c>
      <c r="G657" s="550" t="s">
        <v>2073</v>
      </c>
      <c r="H657" s="644">
        <v>9371858511</v>
      </c>
      <c r="I657" s="550"/>
      <c r="J657" s="568" t="s">
        <v>567</v>
      </c>
      <c r="K657" s="550" t="s">
        <v>2074</v>
      </c>
      <c r="L657" s="552" t="s">
        <v>58</v>
      </c>
      <c r="M657" s="552" t="s">
        <v>50</v>
      </c>
      <c r="N657" s="549"/>
      <c r="O657" s="553"/>
      <c r="P657" s="595"/>
      <c r="Q657" s="551"/>
      <c r="R657" s="722"/>
      <c r="S657" s="551"/>
      <c r="T657" s="554"/>
    </row>
    <row r="658" spans="1:20" ht="14.25" hidden="1" customHeight="1">
      <c r="A658" s="225">
        <f>ROW()-1</f>
        <v>657</v>
      </c>
      <c r="B658" s="548">
        <v>46183</v>
      </c>
      <c r="C658" s="549" t="s">
        <v>2075</v>
      </c>
      <c r="D658" s="550" t="s">
        <v>759</v>
      </c>
      <c r="E658" s="550" t="s">
        <v>759</v>
      </c>
      <c r="F658" s="551" t="s">
        <v>60</v>
      </c>
      <c r="G658" s="653" t="s">
        <v>701</v>
      </c>
      <c r="H658" s="653">
        <v>9518742031</v>
      </c>
      <c r="I658" s="550"/>
      <c r="J658" s="568" t="s">
        <v>567</v>
      </c>
      <c r="K658" s="550" t="s">
        <v>2076</v>
      </c>
      <c r="L658" s="552" t="s">
        <v>58</v>
      </c>
      <c r="M658" s="552" t="s">
        <v>50</v>
      </c>
      <c r="N658" s="549"/>
      <c r="O658" s="553"/>
      <c r="P658" s="595"/>
      <c r="Q658" s="551"/>
      <c r="R658" s="722"/>
      <c r="S658" s="551"/>
      <c r="T658" s="554"/>
    </row>
    <row r="659" spans="1:20" ht="14.25" hidden="1" customHeight="1">
      <c r="A659" s="225">
        <f>ROW()-1</f>
        <v>658</v>
      </c>
      <c r="B659" s="548">
        <v>46183</v>
      </c>
      <c r="C659" s="549" t="s">
        <v>2077</v>
      </c>
      <c r="D659" s="550" t="s">
        <v>1740</v>
      </c>
      <c r="E659" s="550" t="s">
        <v>390</v>
      </c>
      <c r="F659" s="551" t="s">
        <v>60</v>
      </c>
      <c r="G659" s="653" t="s">
        <v>1392</v>
      </c>
      <c r="H659" s="653">
        <v>9840399420</v>
      </c>
      <c r="I659" s="550"/>
      <c r="J659" s="568" t="s">
        <v>122</v>
      </c>
      <c r="K659" s="550" t="s">
        <v>2078</v>
      </c>
      <c r="L659" s="552" t="s">
        <v>58</v>
      </c>
      <c r="M659" s="552" t="s">
        <v>50</v>
      </c>
      <c r="N659" s="549"/>
      <c r="O659" s="553"/>
      <c r="P659" s="595"/>
      <c r="Q659" s="551"/>
      <c r="R659" s="722"/>
      <c r="S659" s="551"/>
      <c r="T659" s="554"/>
    </row>
    <row r="660" spans="1:20" ht="14.25" hidden="1" customHeight="1">
      <c r="A660" s="225">
        <f>ROW()-1</f>
        <v>659</v>
      </c>
      <c r="B660" s="548">
        <v>46183</v>
      </c>
      <c r="C660" s="549" t="s">
        <v>2079</v>
      </c>
      <c r="D660" s="642" t="s">
        <v>2080</v>
      </c>
      <c r="E660" s="551" t="s">
        <v>22</v>
      </c>
      <c r="F660" s="551" t="s">
        <v>73</v>
      </c>
      <c r="G660" s="556" t="s">
        <v>2081</v>
      </c>
      <c r="H660" s="566">
        <v>9271179655</v>
      </c>
      <c r="I660" s="672" t="s">
        <v>2082</v>
      </c>
      <c r="J660" s="568" t="s">
        <v>66</v>
      </c>
      <c r="K660" s="549" t="s">
        <v>1745</v>
      </c>
      <c r="L660" s="552" t="s">
        <v>117</v>
      </c>
      <c r="M660" s="551" t="s">
        <v>77</v>
      </c>
      <c r="N660" s="549" t="s">
        <v>2083</v>
      </c>
      <c r="O660" s="553">
        <v>46186</v>
      </c>
      <c r="P660" s="595">
        <v>32758334</v>
      </c>
      <c r="Q660" s="551" t="s">
        <v>70</v>
      </c>
      <c r="R660" s="722"/>
      <c r="S660" s="551"/>
      <c r="T660" s="554"/>
    </row>
    <row r="661" spans="1:20" ht="14.25" hidden="1" customHeight="1">
      <c r="A661" s="225">
        <f>ROW()-1</f>
        <v>660</v>
      </c>
      <c r="B661" s="548">
        <v>46183</v>
      </c>
      <c r="C661" s="549" t="s">
        <v>2084</v>
      </c>
      <c r="D661" s="555" t="s">
        <v>729</v>
      </c>
      <c r="E661" s="551" t="s">
        <v>730</v>
      </c>
      <c r="F661" s="551" t="s">
        <v>60</v>
      </c>
      <c r="G661" s="556" t="s">
        <v>2085</v>
      </c>
      <c r="H661" s="566">
        <v>9211635852</v>
      </c>
      <c r="I661" s="558" t="s">
        <v>139</v>
      </c>
      <c r="J661" s="568" t="s">
        <v>122</v>
      </c>
      <c r="K661" s="560" t="s">
        <v>1748</v>
      </c>
      <c r="L661" s="552" t="s">
        <v>49</v>
      </c>
      <c r="M661" s="552" t="s">
        <v>50</v>
      </c>
      <c r="N661" s="549"/>
      <c r="O661" s="553"/>
      <c r="P661" s="595"/>
      <c r="Q661" s="551"/>
      <c r="R661" s="722"/>
      <c r="S661" s="551"/>
      <c r="T661" s="554"/>
    </row>
    <row r="662" spans="1:20" ht="14.25" hidden="1" customHeight="1">
      <c r="A662" s="225">
        <f>ROW()-1</f>
        <v>661</v>
      </c>
      <c r="B662" s="548">
        <v>46183</v>
      </c>
      <c r="C662" s="549" t="s">
        <v>2086</v>
      </c>
      <c r="D662" s="550" t="s">
        <v>1749</v>
      </c>
      <c r="E662" s="550" t="s">
        <v>22</v>
      </c>
      <c r="F662" s="551" t="s">
        <v>73</v>
      </c>
      <c r="G662" s="653" t="s">
        <v>2087</v>
      </c>
      <c r="H662" s="653">
        <v>9890220999</v>
      </c>
      <c r="I662" s="550" t="s">
        <v>2088</v>
      </c>
      <c r="J662" s="568" t="s">
        <v>1698</v>
      </c>
      <c r="K662" s="550" t="s">
        <v>1752</v>
      </c>
      <c r="L662" s="552" t="s">
        <v>58</v>
      </c>
      <c r="M662" s="552" t="s">
        <v>50</v>
      </c>
      <c r="N662" s="549"/>
      <c r="O662" s="553"/>
      <c r="P662" s="595"/>
      <c r="Q662" s="551"/>
      <c r="R662" s="722"/>
      <c r="S662" s="551"/>
      <c r="T662" s="554"/>
    </row>
    <row r="663" spans="1:20" ht="14.25" hidden="1" customHeight="1">
      <c r="A663" s="225">
        <f>ROW()-1</f>
        <v>662</v>
      </c>
      <c r="B663" s="548">
        <v>46183</v>
      </c>
      <c r="C663" s="636" t="s">
        <v>2089</v>
      </c>
      <c r="D663" s="555" t="s">
        <v>293</v>
      </c>
      <c r="E663" s="551" t="s">
        <v>22</v>
      </c>
      <c r="F663" s="551" t="s">
        <v>73</v>
      </c>
      <c r="G663" s="556"/>
      <c r="H663" s="566"/>
      <c r="I663" s="558"/>
      <c r="J663" s="568" t="s">
        <v>66</v>
      </c>
      <c r="K663" s="549"/>
      <c r="L663" s="552" t="s">
        <v>27</v>
      </c>
      <c r="M663" s="551" t="s">
        <v>28</v>
      </c>
      <c r="N663" s="549" t="s">
        <v>2090</v>
      </c>
      <c r="O663" s="553">
        <v>46188</v>
      </c>
      <c r="P663" s="595"/>
      <c r="Q663" s="551"/>
      <c r="R663" s="722"/>
      <c r="S663" s="551"/>
      <c r="T663" s="554"/>
    </row>
    <row r="664" spans="1:20" ht="14.25" hidden="1" customHeight="1">
      <c r="A664" s="225">
        <f>ROW()-1</f>
        <v>663</v>
      </c>
      <c r="B664" s="548">
        <v>46183</v>
      </c>
      <c r="C664" s="549" t="s">
        <v>2091</v>
      </c>
      <c r="D664" s="555" t="s">
        <v>131</v>
      </c>
      <c r="E664" s="551" t="s">
        <v>22</v>
      </c>
      <c r="F664" s="551" t="s">
        <v>44</v>
      </c>
      <c r="G664" s="556" t="s">
        <v>45</v>
      </c>
      <c r="H664" s="566">
        <v>9697881515</v>
      </c>
      <c r="I664" s="558"/>
      <c r="J664" s="568" t="s">
        <v>122</v>
      </c>
      <c r="K664" s="560" t="s">
        <v>2092</v>
      </c>
      <c r="L664" s="552" t="s">
        <v>58</v>
      </c>
      <c r="M664" s="552" t="s">
        <v>50</v>
      </c>
      <c r="N664" s="549"/>
      <c r="O664" s="553"/>
      <c r="P664" s="595"/>
      <c r="Q664" s="551"/>
      <c r="R664" s="722"/>
      <c r="S664" s="551"/>
      <c r="T664" s="554"/>
    </row>
    <row r="665" spans="1:20" ht="14.25" hidden="1" customHeight="1">
      <c r="A665" s="225">
        <f>ROW()-1</f>
        <v>664</v>
      </c>
      <c r="B665" s="548">
        <v>46183</v>
      </c>
      <c r="C665" s="549" t="s">
        <v>2093</v>
      </c>
      <c r="D665" s="555" t="s">
        <v>810</v>
      </c>
      <c r="E665" s="551" t="s">
        <v>595</v>
      </c>
      <c r="F665" s="551" t="s">
        <v>44</v>
      </c>
      <c r="G665" s="655" t="s">
        <v>45</v>
      </c>
      <c r="H665" s="566">
        <v>8777235518</v>
      </c>
      <c r="I665" s="558" t="s">
        <v>2085</v>
      </c>
      <c r="J665" s="568" t="s">
        <v>1698</v>
      </c>
      <c r="K665" s="560" t="s">
        <v>2094</v>
      </c>
      <c r="L665" s="552" t="s">
        <v>58</v>
      </c>
      <c r="M665" s="551" t="s">
        <v>40</v>
      </c>
      <c r="N665" s="549"/>
      <c r="O665" s="553"/>
      <c r="P665" s="595"/>
      <c r="Q665" s="551"/>
      <c r="R665" s="722"/>
      <c r="S665" s="551"/>
      <c r="T665" s="554"/>
    </row>
    <row r="666" spans="1:20" ht="14.25" hidden="1" customHeight="1">
      <c r="A666" s="225">
        <f>ROW()-1</f>
        <v>665</v>
      </c>
      <c r="B666" s="548">
        <v>46183</v>
      </c>
      <c r="C666" s="549" t="s">
        <v>1758</v>
      </c>
      <c r="D666" s="555" t="s">
        <v>2095</v>
      </c>
      <c r="E666" s="551" t="s">
        <v>22</v>
      </c>
      <c r="F666" s="551" t="s">
        <v>60</v>
      </c>
      <c r="G666" s="556" t="s">
        <v>2096</v>
      </c>
      <c r="H666" s="566">
        <v>8275258079</v>
      </c>
      <c r="I666" s="558"/>
      <c r="J666" s="568" t="s">
        <v>66</v>
      </c>
      <c r="K666" s="549" t="s">
        <v>1988</v>
      </c>
      <c r="L666" s="551" t="s">
        <v>58</v>
      </c>
      <c r="M666" s="551" t="s">
        <v>40</v>
      </c>
      <c r="N666" s="549" t="s">
        <v>2097</v>
      </c>
      <c r="O666" s="553"/>
      <c r="P666" s="595">
        <v>188524</v>
      </c>
      <c r="Q666" s="551" t="s">
        <v>70</v>
      </c>
      <c r="R666" s="722"/>
      <c r="S666" s="551"/>
      <c r="T666" s="554"/>
    </row>
    <row r="667" spans="1:20" ht="14.25" hidden="1" customHeight="1">
      <c r="A667" s="225">
        <f>ROW()-1</f>
        <v>666</v>
      </c>
      <c r="B667" s="548">
        <v>46183</v>
      </c>
      <c r="C667" s="549" t="s">
        <v>1010</v>
      </c>
      <c r="D667" s="550" t="s">
        <v>655</v>
      </c>
      <c r="E667" s="550" t="s">
        <v>205</v>
      </c>
      <c r="F667" s="551" t="s">
        <v>73</v>
      </c>
      <c r="G667" s="653" t="s">
        <v>2098</v>
      </c>
      <c r="H667" s="653">
        <v>9448131687</v>
      </c>
      <c r="I667" s="550" t="s">
        <v>1012</v>
      </c>
      <c r="J667" s="569" t="s">
        <v>1113</v>
      </c>
      <c r="K667" s="550" t="s">
        <v>1013</v>
      </c>
      <c r="L667" s="552" t="s">
        <v>49</v>
      </c>
      <c r="M667" s="552" t="s">
        <v>50</v>
      </c>
      <c r="N667" s="549"/>
      <c r="O667" s="553"/>
      <c r="P667" s="595"/>
      <c r="Q667" s="551"/>
      <c r="R667" s="722"/>
      <c r="S667" s="551"/>
      <c r="T667" s="554"/>
    </row>
    <row r="668" spans="1:20" ht="14.25" hidden="1" customHeight="1">
      <c r="A668" s="225">
        <f>ROW()-1</f>
        <v>667</v>
      </c>
      <c r="B668" s="548">
        <v>46183</v>
      </c>
      <c r="C668" s="549" t="s">
        <v>219</v>
      </c>
      <c r="D668" s="550" t="s">
        <v>2099</v>
      </c>
      <c r="E668" s="550" t="s">
        <v>82</v>
      </c>
      <c r="F668" s="551" t="s">
        <v>73</v>
      </c>
      <c r="G668" s="550" t="s">
        <v>1224</v>
      </c>
      <c r="H668" s="644">
        <v>9443114544</v>
      </c>
      <c r="I668" s="653" t="s">
        <v>2100</v>
      </c>
      <c r="J668" s="257" t="s">
        <v>567</v>
      </c>
      <c r="K668" s="702" t="s">
        <v>1763</v>
      </c>
      <c r="L668" s="552" t="s">
        <v>49</v>
      </c>
      <c r="M668" s="552" t="s">
        <v>50</v>
      </c>
      <c r="N668" s="549"/>
      <c r="O668" s="553"/>
      <c r="P668" s="595"/>
      <c r="Q668" s="551"/>
      <c r="R668" s="722"/>
      <c r="S668" s="551"/>
      <c r="T668" s="554"/>
    </row>
    <row r="669" spans="1:20" ht="14.25" hidden="1" customHeight="1">
      <c r="A669" s="225">
        <f>ROW()-1</f>
        <v>668</v>
      </c>
      <c r="B669" s="548">
        <v>46183</v>
      </c>
      <c r="C669" s="549" t="s">
        <v>2101</v>
      </c>
      <c r="D669" s="555" t="s">
        <v>2102</v>
      </c>
      <c r="E669" s="551" t="s">
        <v>82</v>
      </c>
      <c r="F669" s="551" t="s">
        <v>23</v>
      </c>
      <c r="G669" s="556" t="s">
        <v>2103</v>
      </c>
      <c r="H669" s="566">
        <v>8778342398</v>
      </c>
      <c r="I669" s="558"/>
      <c r="J669" s="694" t="s">
        <v>63</v>
      </c>
      <c r="K669" s="560" t="s">
        <v>707</v>
      </c>
      <c r="L669" s="552" t="s">
        <v>58</v>
      </c>
      <c r="M669" s="552" t="s">
        <v>50</v>
      </c>
      <c r="N669" s="549"/>
      <c r="O669" s="553"/>
      <c r="P669" s="595"/>
      <c r="Q669" s="551"/>
      <c r="R669" s="722"/>
      <c r="S669" s="551"/>
      <c r="T669" s="554"/>
    </row>
    <row r="670" spans="1:20" ht="14.25" hidden="1" customHeight="1">
      <c r="A670" s="225">
        <f>ROW()-1</f>
        <v>669</v>
      </c>
      <c r="B670" s="548">
        <v>46184</v>
      </c>
      <c r="C670" s="549" t="s">
        <v>2104</v>
      </c>
      <c r="D670" s="550" t="s">
        <v>486</v>
      </c>
      <c r="E670" s="550" t="s">
        <v>143</v>
      </c>
      <c r="F670" s="551" t="s">
        <v>73</v>
      </c>
      <c r="G670" s="550" t="s">
        <v>2105</v>
      </c>
      <c r="H670" s="644">
        <v>7080855087</v>
      </c>
      <c r="I670" s="550" t="s">
        <v>2106</v>
      </c>
      <c r="J670" s="568" t="s">
        <v>567</v>
      </c>
      <c r="K670" s="550" t="s">
        <v>2107</v>
      </c>
      <c r="L670" s="552" t="s">
        <v>58</v>
      </c>
      <c r="M670" s="552" t="s">
        <v>50</v>
      </c>
      <c r="N670" s="549"/>
      <c r="O670" s="553"/>
      <c r="P670" s="595"/>
      <c r="Q670" s="551"/>
      <c r="R670" s="722"/>
      <c r="S670" s="551"/>
      <c r="T670" s="554"/>
    </row>
    <row r="671" spans="1:20" ht="14.25" hidden="1" customHeight="1">
      <c r="A671" s="225">
        <f>ROW()-1</f>
        <v>670</v>
      </c>
      <c r="B671" s="548">
        <v>46184</v>
      </c>
      <c r="C671" s="549" t="s">
        <v>2108</v>
      </c>
      <c r="D671" s="550" t="s">
        <v>131</v>
      </c>
      <c r="E671" s="550" t="s">
        <v>22</v>
      </c>
      <c r="F671" s="551" t="s">
        <v>73</v>
      </c>
      <c r="G671" s="550" t="s">
        <v>2109</v>
      </c>
      <c r="H671" s="644">
        <v>8698613575</v>
      </c>
      <c r="I671" s="550"/>
      <c r="J671" s="568" t="s">
        <v>47</v>
      </c>
      <c r="K671" s="550" t="s">
        <v>2110</v>
      </c>
      <c r="L671" s="552" t="s">
        <v>58</v>
      </c>
      <c r="M671" s="552" t="s">
        <v>50</v>
      </c>
      <c r="N671" s="549"/>
      <c r="O671" s="553"/>
      <c r="P671" s="595"/>
      <c r="Q671" s="551"/>
      <c r="R671" s="722"/>
      <c r="S671" s="551"/>
      <c r="T671" s="554"/>
    </row>
    <row r="672" spans="1:20" ht="14.25" hidden="1" customHeight="1">
      <c r="A672" s="225">
        <f>ROW()-1</f>
        <v>671</v>
      </c>
      <c r="B672" s="548">
        <v>46184</v>
      </c>
      <c r="C672" s="549" t="s">
        <v>2111</v>
      </c>
      <c r="D672" s="550" t="s">
        <v>1486</v>
      </c>
      <c r="E672" s="550" t="s">
        <v>193</v>
      </c>
      <c r="F672" s="551" t="s">
        <v>60</v>
      </c>
      <c r="G672" s="653" t="s">
        <v>2112</v>
      </c>
      <c r="H672" s="653">
        <v>9737725816</v>
      </c>
      <c r="I672" s="550" t="s">
        <v>2113</v>
      </c>
      <c r="J672" s="568" t="s">
        <v>122</v>
      </c>
      <c r="K672" s="550" t="s">
        <v>2114</v>
      </c>
      <c r="L672" s="552" t="s">
        <v>58</v>
      </c>
      <c r="M672" s="552" t="s">
        <v>50</v>
      </c>
      <c r="N672" s="549"/>
      <c r="O672" s="553"/>
      <c r="P672" s="595"/>
      <c r="Q672" s="551"/>
      <c r="R672" s="722"/>
      <c r="S672" s="551"/>
      <c r="T672" s="554"/>
    </row>
    <row r="673" spans="1:20" ht="14.25" hidden="1" customHeight="1">
      <c r="A673" s="225">
        <f>ROW()-1</f>
        <v>672</v>
      </c>
      <c r="B673" s="548">
        <v>46184</v>
      </c>
      <c r="C673" s="549" t="s">
        <v>1613</v>
      </c>
      <c r="D673" s="555" t="s">
        <v>362</v>
      </c>
      <c r="E673" s="551" t="s">
        <v>143</v>
      </c>
      <c r="F673" s="551" t="s">
        <v>23</v>
      </c>
      <c r="G673" s="556" t="s">
        <v>23</v>
      </c>
      <c r="H673" s="566">
        <v>8700361920</v>
      </c>
      <c r="I673" s="550" t="s">
        <v>1614</v>
      </c>
      <c r="J673" s="568" t="s">
        <v>567</v>
      </c>
      <c r="K673" s="549" t="s">
        <v>2115</v>
      </c>
      <c r="L673" s="552" t="s">
        <v>58</v>
      </c>
      <c r="M673" s="552" t="s">
        <v>50</v>
      </c>
      <c r="N673" s="549"/>
      <c r="O673" s="553"/>
      <c r="P673" s="595"/>
      <c r="Q673" s="551"/>
      <c r="R673" s="722"/>
      <c r="S673" s="551"/>
      <c r="T673" s="554"/>
    </row>
    <row r="674" spans="1:20" ht="14.25" hidden="1" customHeight="1">
      <c r="A674" s="225">
        <f>ROW()-1</f>
        <v>673</v>
      </c>
      <c r="B674" s="548">
        <v>46184</v>
      </c>
      <c r="C674" s="549" t="s">
        <v>2116</v>
      </c>
      <c r="D674" s="550" t="s">
        <v>2117</v>
      </c>
      <c r="E674" s="550" t="s">
        <v>22</v>
      </c>
      <c r="F674" s="551" t="s">
        <v>73</v>
      </c>
      <c r="G674" s="550" t="s">
        <v>2118</v>
      </c>
      <c r="H674" s="644">
        <v>9284304233</v>
      </c>
      <c r="I674" s="550" t="s">
        <v>2119</v>
      </c>
      <c r="J674" s="568" t="s">
        <v>66</v>
      </c>
      <c r="K674" s="550" t="s">
        <v>1775</v>
      </c>
      <c r="L674" s="552" t="s">
        <v>58</v>
      </c>
      <c r="M674" s="552" t="s">
        <v>50</v>
      </c>
      <c r="N674" s="549" t="s">
        <v>2120</v>
      </c>
      <c r="O674" s="553">
        <v>46188</v>
      </c>
      <c r="P674" s="595"/>
      <c r="Q674" s="551"/>
      <c r="R674" s="722"/>
      <c r="S674" s="551"/>
      <c r="T674" s="554"/>
    </row>
    <row r="675" spans="1:20" ht="14.25" hidden="1" customHeight="1">
      <c r="A675" s="225">
        <f>ROW()-1</f>
        <v>674</v>
      </c>
      <c r="B675" s="548">
        <v>46184</v>
      </c>
      <c r="C675" s="549" t="s">
        <v>2121</v>
      </c>
      <c r="D675" s="550" t="s">
        <v>859</v>
      </c>
      <c r="E675" s="550" t="s">
        <v>22</v>
      </c>
      <c r="F675" s="551" t="s">
        <v>23</v>
      </c>
      <c r="G675" s="653" t="s">
        <v>2122</v>
      </c>
      <c r="H675" s="653">
        <v>8888077779</v>
      </c>
      <c r="I675" s="550" t="s">
        <v>1778</v>
      </c>
      <c r="J675" s="568" t="s">
        <v>63</v>
      </c>
      <c r="K675" s="550" t="s">
        <v>1779</v>
      </c>
      <c r="L675" s="552" t="s">
        <v>58</v>
      </c>
      <c r="M675" s="552" t="s">
        <v>50</v>
      </c>
      <c r="N675" s="549"/>
      <c r="O675" s="553"/>
      <c r="P675" s="595"/>
      <c r="Q675" s="551"/>
      <c r="R675" s="722"/>
      <c r="S675" s="551"/>
      <c r="T675" s="554"/>
    </row>
    <row r="676" spans="1:20" ht="14.25" hidden="1" customHeight="1">
      <c r="A676" s="225">
        <f>ROW()-1</f>
        <v>675</v>
      </c>
      <c r="B676" s="548">
        <v>46184</v>
      </c>
      <c r="C676" s="549" t="s">
        <v>2123</v>
      </c>
      <c r="D676" s="550" t="s">
        <v>131</v>
      </c>
      <c r="E676" s="550" t="s">
        <v>22</v>
      </c>
      <c r="F676" s="551" t="s">
        <v>59</v>
      </c>
      <c r="G676" s="653" t="s">
        <v>1183</v>
      </c>
      <c r="H676" s="653">
        <v>7058270104</v>
      </c>
      <c r="I676" s="550"/>
      <c r="J676" s="568" t="s">
        <v>122</v>
      </c>
      <c r="K676" s="550" t="s">
        <v>2124</v>
      </c>
      <c r="L676" s="552" t="s">
        <v>58</v>
      </c>
      <c r="M676" s="552" t="s">
        <v>50</v>
      </c>
      <c r="N676" s="549"/>
      <c r="O676" s="553"/>
      <c r="P676" s="595"/>
      <c r="Q676" s="551"/>
      <c r="R676" s="722"/>
      <c r="S676" s="551"/>
      <c r="T676" s="554"/>
    </row>
    <row r="677" spans="1:20" ht="14.25" hidden="1" customHeight="1">
      <c r="A677" s="225">
        <f>ROW()-1</f>
        <v>676</v>
      </c>
      <c r="B677" s="548">
        <v>46184</v>
      </c>
      <c r="C677" s="549" t="s">
        <v>2125</v>
      </c>
      <c r="D677" s="550" t="s">
        <v>729</v>
      </c>
      <c r="E677" s="550" t="s">
        <v>730</v>
      </c>
      <c r="F677" s="551" t="s">
        <v>23</v>
      </c>
      <c r="G677" s="653" t="s">
        <v>2126</v>
      </c>
      <c r="H677" s="653">
        <v>9236078710</v>
      </c>
      <c r="I677" s="550"/>
      <c r="J677" s="568" t="s">
        <v>63</v>
      </c>
      <c r="K677" s="550" t="s">
        <v>2127</v>
      </c>
      <c r="L677" s="552" t="s">
        <v>58</v>
      </c>
      <c r="M677" s="552" t="s">
        <v>50</v>
      </c>
      <c r="N677" s="549"/>
      <c r="O677" s="553"/>
      <c r="P677" s="595"/>
      <c r="Q677" s="551"/>
      <c r="R677" s="722"/>
      <c r="S677" s="551"/>
      <c r="T677" s="554"/>
    </row>
    <row r="678" spans="1:20" ht="14.25" hidden="1" customHeight="1">
      <c r="A678" s="225">
        <f>ROW()-1</f>
        <v>677</v>
      </c>
      <c r="B678" s="548">
        <v>46184</v>
      </c>
      <c r="C678" s="549" t="s">
        <v>2128</v>
      </c>
      <c r="D678" s="550" t="s">
        <v>131</v>
      </c>
      <c r="E678" s="550" t="s">
        <v>22</v>
      </c>
      <c r="F678" s="551" t="s">
        <v>73</v>
      </c>
      <c r="G678" s="653" t="s">
        <v>2129</v>
      </c>
      <c r="H678" s="653">
        <v>9730908811</v>
      </c>
      <c r="I678" s="550" t="s">
        <v>2130</v>
      </c>
      <c r="J678" s="568" t="s">
        <v>567</v>
      </c>
      <c r="K678" s="550" t="s">
        <v>2131</v>
      </c>
      <c r="L678" s="552" t="s">
        <v>58</v>
      </c>
      <c r="M678" s="552" t="s">
        <v>50</v>
      </c>
      <c r="N678" s="549"/>
      <c r="O678" s="553"/>
      <c r="P678" s="595"/>
      <c r="Q678" s="551"/>
      <c r="R678" s="722"/>
      <c r="S678" s="551"/>
      <c r="T678" s="554"/>
    </row>
    <row r="679" spans="1:20" ht="14.25" hidden="1" customHeight="1">
      <c r="A679" s="225">
        <f>ROW()-1</f>
        <v>678</v>
      </c>
      <c r="B679" s="548">
        <v>46184</v>
      </c>
      <c r="C679" s="635" t="s">
        <v>2132</v>
      </c>
      <c r="D679" s="641"/>
      <c r="E679" s="641"/>
      <c r="F679" s="231" t="s">
        <v>59</v>
      </c>
      <c r="G679" s="641" t="s">
        <v>2133</v>
      </c>
      <c r="H679" s="644">
        <v>7676622360</v>
      </c>
      <c r="I679" s="550"/>
      <c r="J679" s="569" t="s">
        <v>122</v>
      </c>
      <c r="K679" s="641" t="s">
        <v>2134</v>
      </c>
      <c r="L679" s="552" t="s">
        <v>58</v>
      </c>
      <c r="M679" s="2" t="s">
        <v>50</v>
      </c>
      <c r="N679" s="635"/>
      <c r="O679" s="714"/>
      <c r="P679" s="595"/>
      <c r="Q679" s="231"/>
      <c r="R679" s="722"/>
      <c r="S679" s="551"/>
      <c r="T679" s="554"/>
    </row>
    <row r="680" spans="1:20" ht="14.25" hidden="1" customHeight="1">
      <c r="A680" s="225">
        <f>ROW()-1</f>
        <v>679</v>
      </c>
      <c r="B680" s="630">
        <v>46184</v>
      </c>
      <c r="C680" s="549" t="s">
        <v>2135</v>
      </c>
      <c r="D680" s="550" t="s">
        <v>2136</v>
      </c>
      <c r="E680" s="550"/>
      <c r="F680" s="551" t="s">
        <v>73</v>
      </c>
      <c r="G680" s="550" t="s">
        <v>2137</v>
      </c>
      <c r="H680" s="653">
        <v>7470066588</v>
      </c>
      <c r="I680" s="550"/>
      <c r="J680" s="568" t="s">
        <v>122</v>
      </c>
      <c r="K680" s="550" t="s">
        <v>1790</v>
      </c>
      <c r="L680" s="552" t="s">
        <v>58</v>
      </c>
      <c r="M680" s="577" t="s">
        <v>50</v>
      </c>
      <c r="N680" s="549"/>
      <c r="O680" s="553"/>
      <c r="P680" s="595"/>
      <c r="Q680" s="551"/>
      <c r="R680" s="725"/>
      <c r="S680" s="547"/>
    </row>
    <row r="681" spans="1:20" ht="14.25" hidden="1" customHeight="1">
      <c r="A681" s="225">
        <f>ROW()-1</f>
        <v>680</v>
      </c>
      <c r="B681" s="562">
        <v>46185</v>
      </c>
      <c r="C681" s="549" t="s">
        <v>2138</v>
      </c>
      <c r="D681" s="550" t="s">
        <v>623</v>
      </c>
      <c r="E681" s="550" t="s">
        <v>193</v>
      </c>
      <c r="F681" s="551" t="s">
        <v>23</v>
      </c>
      <c r="G681" s="550" t="s">
        <v>2139</v>
      </c>
      <c r="H681" s="653">
        <v>7043451406</v>
      </c>
      <c r="I681" s="550" t="s">
        <v>2140</v>
      </c>
      <c r="J681" s="568" t="s">
        <v>567</v>
      </c>
      <c r="K681" s="550" t="s">
        <v>2141</v>
      </c>
      <c r="L681" s="552" t="s">
        <v>58</v>
      </c>
      <c r="M681" s="577" t="s">
        <v>50</v>
      </c>
      <c r="N681" s="549"/>
      <c r="O681" s="553"/>
      <c r="P681" s="595"/>
      <c r="Q681" s="551"/>
      <c r="R681" s="725"/>
      <c r="S681" s="547"/>
    </row>
    <row r="682" spans="1:20" ht="14.25" hidden="1" customHeight="1">
      <c r="A682" s="225">
        <f>ROW()-1</f>
        <v>681</v>
      </c>
      <c r="B682" s="562">
        <v>46185</v>
      </c>
      <c r="C682" s="549" t="s">
        <v>2142</v>
      </c>
      <c r="D682" s="550" t="s">
        <v>2143</v>
      </c>
      <c r="E682" s="550" t="s">
        <v>22</v>
      </c>
      <c r="F682" s="551" t="s">
        <v>73</v>
      </c>
      <c r="G682" s="550" t="s">
        <v>2144</v>
      </c>
      <c r="H682" s="653">
        <v>9923430408</v>
      </c>
      <c r="I682" s="550" t="s">
        <v>2145</v>
      </c>
      <c r="J682" s="569" t="s">
        <v>1113</v>
      </c>
      <c r="K682" s="641" t="s">
        <v>1796</v>
      </c>
      <c r="L682" s="552" t="s">
        <v>58</v>
      </c>
      <c r="M682" s="577" t="s">
        <v>50</v>
      </c>
      <c r="N682" s="549"/>
      <c r="O682" s="553"/>
      <c r="P682" s="595"/>
      <c r="Q682" s="551"/>
      <c r="R682" s="725"/>
      <c r="S682" s="547"/>
    </row>
    <row r="683" spans="1:20" ht="14.25" hidden="1" customHeight="1">
      <c r="A683" s="225">
        <f>ROW()-1</f>
        <v>682</v>
      </c>
      <c r="B683" s="548">
        <v>46185</v>
      </c>
      <c r="C683" s="596" t="s">
        <v>71</v>
      </c>
      <c r="D683" s="614" t="s">
        <v>2146</v>
      </c>
      <c r="E683" s="547" t="s">
        <v>22</v>
      </c>
      <c r="F683" s="547" t="s">
        <v>73</v>
      </c>
      <c r="G683" s="546" t="s">
        <v>2147</v>
      </c>
      <c r="H683" s="615" t="s">
        <v>2148</v>
      </c>
      <c r="I683" s="550" t="s">
        <v>2149</v>
      </c>
      <c r="J683" s="568" t="s">
        <v>66</v>
      </c>
      <c r="K683" s="550" t="s">
        <v>2150</v>
      </c>
      <c r="L683" s="709" t="s">
        <v>74</v>
      </c>
      <c r="M683" s="622" t="s">
        <v>77</v>
      </c>
      <c r="N683" s="549" t="s">
        <v>2151</v>
      </c>
      <c r="O683" s="553">
        <v>46185</v>
      </c>
      <c r="P683" s="595">
        <v>1229533</v>
      </c>
      <c r="Q683" s="551" t="s">
        <v>70</v>
      </c>
      <c r="R683" s="723"/>
      <c r="S683" s="536"/>
    </row>
    <row r="684" spans="1:20" ht="14.25" hidden="1" customHeight="1">
      <c r="A684" s="225">
        <f>ROW()-1</f>
        <v>683</v>
      </c>
      <c r="B684" s="548">
        <v>46185</v>
      </c>
      <c r="C684" s="534" t="s">
        <v>2152</v>
      </c>
      <c r="D684" s="535" t="s">
        <v>131</v>
      </c>
      <c r="E684" s="536" t="s">
        <v>22</v>
      </c>
      <c r="F684" s="536" t="s">
        <v>23</v>
      </c>
      <c r="G684" s="534" t="s">
        <v>2153</v>
      </c>
      <c r="H684" s="564">
        <v>8600120115</v>
      </c>
      <c r="I684" s="550" t="s">
        <v>2154</v>
      </c>
      <c r="J684" s="568" t="s">
        <v>66</v>
      </c>
      <c r="K684" s="550" t="s">
        <v>808</v>
      </c>
      <c r="L684" s="563" t="s">
        <v>74</v>
      </c>
      <c r="M684" s="576" t="s">
        <v>40</v>
      </c>
      <c r="N684" s="549" t="s">
        <v>2155</v>
      </c>
      <c r="O684" s="553">
        <v>46186</v>
      </c>
      <c r="P684" s="595">
        <v>185000</v>
      </c>
      <c r="Q684" s="551" t="s">
        <v>70</v>
      </c>
      <c r="R684" s="723"/>
      <c r="S684" s="536"/>
    </row>
    <row r="685" spans="1:20" ht="14.25" hidden="1" customHeight="1">
      <c r="A685" s="225">
        <f>ROW()-1</f>
        <v>684</v>
      </c>
      <c r="B685" s="548">
        <v>46185</v>
      </c>
      <c r="C685" s="534" t="s">
        <v>2156</v>
      </c>
      <c r="D685" s="634" t="s">
        <v>131</v>
      </c>
      <c r="E685" s="634" t="s">
        <v>22</v>
      </c>
      <c r="F685" s="536" t="s">
        <v>73</v>
      </c>
      <c r="G685" s="634" t="s">
        <v>2157</v>
      </c>
      <c r="H685" s="659">
        <v>9822044351</v>
      </c>
      <c r="I685" s="550" t="s">
        <v>2158</v>
      </c>
      <c r="J685" s="569" t="s">
        <v>567</v>
      </c>
      <c r="K685" s="550" t="s">
        <v>2159</v>
      </c>
      <c r="L685" s="563" t="s">
        <v>49</v>
      </c>
      <c r="M685" s="577" t="s">
        <v>50</v>
      </c>
      <c r="N685" s="549"/>
      <c r="O685" s="553"/>
      <c r="P685" s="595"/>
      <c r="Q685" s="551"/>
      <c r="R685" s="723"/>
      <c r="S685" s="536"/>
    </row>
    <row r="686" spans="1:20" ht="14.25" hidden="1" customHeight="1">
      <c r="A686" s="225">
        <f>ROW()-1</f>
        <v>685</v>
      </c>
      <c r="B686" s="533">
        <v>46185</v>
      </c>
      <c r="C686" s="534" t="s">
        <v>2160</v>
      </c>
      <c r="D686" s="634" t="s">
        <v>1604</v>
      </c>
      <c r="E686" s="634" t="s">
        <v>22</v>
      </c>
      <c r="F686" s="536" t="s">
        <v>73</v>
      </c>
      <c r="G686" s="634" t="s">
        <v>2109</v>
      </c>
      <c r="H686" s="659">
        <v>7742090067</v>
      </c>
      <c r="I686" s="550" t="s">
        <v>2161</v>
      </c>
      <c r="J686" s="257" t="s">
        <v>567</v>
      </c>
      <c r="K686" s="550" t="s">
        <v>2162</v>
      </c>
      <c r="L686" s="563" t="s">
        <v>58</v>
      </c>
      <c r="M686" s="575" t="s">
        <v>50</v>
      </c>
      <c r="N686" s="549"/>
      <c r="O686" s="553"/>
      <c r="P686" s="595"/>
      <c r="Q686" s="551"/>
      <c r="R686" s="723"/>
      <c r="S686" s="536"/>
    </row>
    <row r="687" spans="1:20" ht="14.25" hidden="1" customHeight="1">
      <c r="A687" s="225">
        <f>ROW()-1</f>
        <v>686</v>
      </c>
      <c r="B687" s="533">
        <v>46185</v>
      </c>
      <c r="C687" s="534" t="s">
        <v>1807</v>
      </c>
      <c r="D687" s="634" t="s">
        <v>2163</v>
      </c>
      <c r="E687" s="634" t="s">
        <v>143</v>
      </c>
      <c r="F687" s="536" t="s">
        <v>44</v>
      </c>
      <c r="G687" s="634" t="s">
        <v>2164</v>
      </c>
      <c r="H687" s="659">
        <v>9540429228</v>
      </c>
      <c r="I687" s="550" t="s">
        <v>139</v>
      </c>
      <c r="J687" s="257" t="s">
        <v>122</v>
      </c>
      <c r="K687" s="550" t="s">
        <v>2165</v>
      </c>
      <c r="L687" s="563" t="s">
        <v>58</v>
      </c>
      <c r="M687" s="575" t="s">
        <v>50</v>
      </c>
      <c r="N687" s="549"/>
      <c r="O687" s="553"/>
      <c r="P687" s="595"/>
      <c r="Q687" s="551"/>
      <c r="R687" s="723"/>
      <c r="S687" s="536"/>
    </row>
    <row r="688" spans="1:20" ht="14.25" hidden="1" customHeight="1">
      <c r="A688" s="225">
        <f>ROW()-1</f>
        <v>687</v>
      </c>
      <c r="B688" s="548">
        <v>46185</v>
      </c>
      <c r="C688" s="549" t="s">
        <v>2166</v>
      </c>
      <c r="D688" s="555" t="s">
        <v>2167</v>
      </c>
      <c r="E688" s="551" t="s">
        <v>22</v>
      </c>
      <c r="F688" s="551" t="s">
        <v>73</v>
      </c>
      <c r="G688" s="549" t="s">
        <v>2168</v>
      </c>
      <c r="H688" s="566"/>
      <c r="I688" s="550" t="s">
        <v>1811</v>
      </c>
      <c r="J688" s="257" t="s">
        <v>66</v>
      </c>
      <c r="K688" s="550" t="s">
        <v>2166</v>
      </c>
      <c r="L688" s="563" t="s">
        <v>117</v>
      </c>
      <c r="M688" s="576" t="s">
        <v>28</v>
      </c>
      <c r="N688" s="549" t="s">
        <v>2169</v>
      </c>
      <c r="O688" s="553">
        <v>46185</v>
      </c>
      <c r="P688" s="595">
        <v>2505566</v>
      </c>
      <c r="Q688" s="551" t="s">
        <v>70</v>
      </c>
      <c r="R688" s="724"/>
      <c r="S688" s="551"/>
      <c r="T688" s="554"/>
    </row>
    <row r="689" spans="1:20" ht="14.25" hidden="1" customHeight="1">
      <c r="A689" s="225">
        <f>ROW()-1</f>
        <v>688</v>
      </c>
      <c r="B689" s="548">
        <v>46185</v>
      </c>
      <c r="C689" s="549" t="s">
        <v>2170</v>
      </c>
      <c r="D689" s="555" t="s">
        <v>2171</v>
      </c>
      <c r="E689" s="551" t="s">
        <v>82</v>
      </c>
      <c r="F689" s="551" t="s">
        <v>83</v>
      </c>
      <c r="G689" s="549" t="s">
        <v>559</v>
      </c>
      <c r="H689" s="566">
        <v>9994586333</v>
      </c>
      <c r="I689" s="550" t="s">
        <v>2172</v>
      </c>
      <c r="J689" s="257" t="s">
        <v>567</v>
      </c>
      <c r="K689" s="550" t="s">
        <v>2173</v>
      </c>
      <c r="L689" s="563" t="s">
        <v>49</v>
      </c>
      <c r="M689" s="577" t="s">
        <v>50</v>
      </c>
      <c r="N689" s="549"/>
      <c r="O689" s="553"/>
      <c r="P689" s="595"/>
      <c r="Q689" s="551"/>
      <c r="R689" s="724"/>
      <c r="S689" s="551"/>
      <c r="T689" s="554"/>
    </row>
    <row r="690" spans="1:20" ht="14.25" hidden="1" customHeight="1">
      <c r="A690" s="225">
        <f>ROW()-1</f>
        <v>689</v>
      </c>
      <c r="B690" s="548">
        <v>46185</v>
      </c>
      <c r="C690" s="549" t="s">
        <v>2174</v>
      </c>
      <c r="D690" s="555" t="s">
        <v>2175</v>
      </c>
      <c r="E690" s="551" t="s">
        <v>205</v>
      </c>
      <c r="F690" s="551" t="s">
        <v>44</v>
      </c>
      <c r="G690" s="549" t="s">
        <v>44</v>
      </c>
      <c r="H690" s="564">
        <v>8150902877</v>
      </c>
      <c r="I690" s="550" t="s">
        <v>2176</v>
      </c>
      <c r="J690" s="257" t="s">
        <v>63</v>
      </c>
      <c r="K690" s="550" t="s">
        <v>2177</v>
      </c>
      <c r="L690" s="563" t="s">
        <v>49</v>
      </c>
      <c r="M690" s="575" t="s">
        <v>50</v>
      </c>
      <c r="N690" s="549"/>
      <c r="O690" s="553"/>
      <c r="P690" s="595"/>
      <c r="Q690" s="551"/>
      <c r="R690" s="724"/>
      <c r="S690" s="551"/>
      <c r="T690" s="554"/>
    </row>
    <row r="691" spans="1:20" ht="14.25" hidden="1" customHeight="1">
      <c r="A691" s="225">
        <f>ROW()-1</f>
        <v>690</v>
      </c>
      <c r="B691" s="533">
        <v>46186</v>
      </c>
      <c r="C691" s="534" t="s">
        <v>2178</v>
      </c>
      <c r="D691" s="555" t="s">
        <v>154</v>
      </c>
      <c r="E691" s="551" t="s">
        <v>22</v>
      </c>
      <c r="F691" s="536" t="s">
        <v>23</v>
      </c>
      <c r="G691" s="549" t="s">
        <v>2179</v>
      </c>
      <c r="H691" s="564">
        <v>9823042034</v>
      </c>
      <c r="I691" s="550" t="s">
        <v>139</v>
      </c>
      <c r="J691" s="257" t="s">
        <v>567</v>
      </c>
      <c r="K691" s="550" t="s">
        <v>2180</v>
      </c>
      <c r="L691" s="563" t="s">
        <v>49</v>
      </c>
      <c r="M691" s="575" t="s">
        <v>50</v>
      </c>
      <c r="N691" s="549"/>
      <c r="O691" s="553"/>
      <c r="P691" s="595"/>
      <c r="Q691" s="551"/>
      <c r="R691" s="723"/>
      <c r="S691" s="536"/>
    </row>
    <row r="692" spans="1:20" ht="14.25" hidden="1" customHeight="1">
      <c r="A692" s="225">
        <f>ROW()-1</f>
        <v>691</v>
      </c>
      <c r="B692" s="533">
        <v>46186</v>
      </c>
      <c r="C692" s="534" t="s">
        <v>2181</v>
      </c>
      <c r="D692" s="535" t="s">
        <v>1820</v>
      </c>
      <c r="E692" s="551" t="s">
        <v>22</v>
      </c>
      <c r="F692" s="536" t="s">
        <v>83</v>
      </c>
      <c r="G692" s="534" t="s">
        <v>1701</v>
      </c>
      <c r="H692" s="537">
        <v>8600701888</v>
      </c>
      <c r="I692" s="550" t="s">
        <v>2182</v>
      </c>
      <c r="J692" s="257" t="s">
        <v>122</v>
      </c>
      <c r="K692" s="550" t="s">
        <v>1822</v>
      </c>
      <c r="L692" s="563" t="s">
        <v>49</v>
      </c>
      <c r="M692" s="542" t="s">
        <v>50</v>
      </c>
      <c r="N692" s="534"/>
      <c r="O692" s="538"/>
      <c r="P692" s="595"/>
      <c r="Q692" s="551"/>
      <c r="R692" s="539"/>
      <c r="S692" s="536"/>
    </row>
    <row r="693" spans="1:20" ht="14.25" hidden="1" customHeight="1">
      <c r="A693" s="225">
        <f>ROW()-1</f>
        <v>692</v>
      </c>
      <c r="B693" s="533">
        <v>46186</v>
      </c>
      <c r="C693" s="534" t="s">
        <v>2183</v>
      </c>
      <c r="D693" s="535" t="s">
        <v>2184</v>
      </c>
      <c r="E693" s="551" t="s">
        <v>725</v>
      </c>
      <c r="F693" s="536" t="s">
        <v>60</v>
      </c>
      <c r="G693" s="534" t="s">
        <v>2185</v>
      </c>
      <c r="H693" s="537">
        <v>9567352229</v>
      </c>
      <c r="I693" s="550" t="s">
        <v>139</v>
      </c>
      <c r="J693" s="257" t="s">
        <v>1438</v>
      </c>
      <c r="K693" s="550" t="s">
        <v>2186</v>
      </c>
      <c r="L693" s="563" t="s">
        <v>49</v>
      </c>
      <c r="M693" s="536" t="s">
        <v>40</v>
      </c>
      <c r="N693" s="534"/>
      <c r="O693" s="538"/>
      <c r="P693" s="595"/>
      <c r="Q693" s="551"/>
      <c r="R693" s="539"/>
      <c r="S693" s="536"/>
    </row>
    <row r="694" spans="1:20" ht="14.25" hidden="1" customHeight="1">
      <c r="A694" s="225">
        <f>ROW()-1</f>
        <v>693</v>
      </c>
      <c r="B694" s="742">
        <v>46186</v>
      </c>
      <c r="C694" s="540" t="s">
        <v>71</v>
      </c>
      <c r="D694" s="535" t="s">
        <v>2146</v>
      </c>
      <c r="E694" s="536" t="s">
        <v>22</v>
      </c>
      <c r="F694" s="536" t="s">
        <v>59</v>
      </c>
      <c r="G694" s="534" t="s">
        <v>2187</v>
      </c>
      <c r="H694" s="537"/>
      <c r="I694" s="550" t="s">
        <v>1825</v>
      </c>
      <c r="J694" s="693" t="s">
        <v>66</v>
      </c>
      <c r="K694" s="550" t="s">
        <v>2188</v>
      </c>
      <c r="L694" s="542" t="s">
        <v>74</v>
      </c>
      <c r="M694" s="536" t="s">
        <v>77</v>
      </c>
      <c r="N694" s="534" t="s">
        <v>2189</v>
      </c>
      <c r="O694" s="538">
        <v>46186</v>
      </c>
      <c r="P694" s="595">
        <v>53000</v>
      </c>
      <c r="Q694" s="536" t="s">
        <v>70</v>
      </c>
      <c r="R694" s="539"/>
      <c r="S694" s="536"/>
    </row>
    <row r="695" spans="1:20" ht="14.25" hidden="1" customHeight="1">
      <c r="A695" s="225">
        <f>ROW()-1</f>
        <v>694</v>
      </c>
      <c r="B695" s="743">
        <v>46186</v>
      </c>
      <c r="C695" s="540" t="s">
        <v>71</v>
      </c>
      <c r="D695" s="535" t="s">
        <v>2146</v>
      </c>
      <c r="E695" s="536" t="s">
        <v>22</v>
      </c>
      <c r="F695" s="536" t="s">
        <v>1239</v>
      </c>
      <c r="G695" s="534" t="s">
        <v>2190</v>
      </c>
      <c r="H695" s="564" t="s">
        <v>2148</v>
      </c>
      <c r="I695" s="550" t="s">
        <v>2149</v>
      </c>
      <c r="J695" s="253" t="s">
        <v>66</v>
      </c>
      <c r="K695" s="550" t="s">
        <v>2150</v>
      </c>
      <c r="L695" s="563" t="s">
        <v>74</v>
      </c>
      <c r="M695" s="573" t="s">
        <v>77</v>
      </c>
      <c r="N695" s="534" t="s">
        <v>2191</v>
      </c>
      <c r="O695" s="538">
        <v>46186</v>
      </c>
      <c r="P695" s="595">
        <v>75000</v>
      </c>
      <c r="Q695" s="536" t="s">
        <v>70</v>
      </c>
      <c r="R695" s="539"/>
      <c r="S695" s="536"/>
    </row>
    <row r="696" spans="1:20" ht="14.25" hidden="1" customHeight="1">
      <c r="A696" s="611">
        <f>ROW()-1</f>
        <v>695</v>
      </c>
      <c r="B696" s="608">
        <v>46186</v>
      </c>
      <c r="C696" s="534" t="s">
        <v>1828</v>
      </c>
      <c r="D696" s="535" t="s">
        <v>177</v>
      </c>
      <c r="E696" s="536" t="s">
        <v>82</v>
      </c>
      <c r="F696" s="536" t="s">
        <v>23</v>
      </c>
      <c r="G696" s="609" t="s">
        <v>2192</v>
      </c>
      <c r="H696" s="537">
        <v>8870547382</v>
      </c>
      <c r="I696" s="550" t="s">
        <v>2193</v>
      </c>
      <c r="J696" s="253" t="s">
        <v>63</v>
      </c>
      <c r="K696" s="634" t="s">
        <v>1830</v>
      </c>
      <c r="L696" s="542" t="s">
        <v>49</v>
      </c>
      <c r="M696" s="542" t="s">
        <v>50</v>
      </c>
      <c r="N696" s="534"/>
      <c r="O696" s="538"/>
      <c r="P696" s="595"/>
      <c r="Q696" s="536"/>
      <c r="R696" s="539"/>
      <c r="S696" s="536"/>
    </row>
    <row r="697" spans="1:20" ht="14.25" hidden="1" customHeight="1">
      <c r="A697" s="225">
        <f>ROW()-1</f>
        <v>696</v>
      </c>
      <c r="B697" s="533">
        <v>46186</v>
      </c>
      <c r="C697" s="534" t="s">
        <v>2194</v>
      </c>
      <c r="D697" s="535" t="s">
        <v>618</v>
      </c>
      <c r="E697" s="536" t="s">
        <v>82</v>
      </c>
      <c r="F697" s="536" t="s">
        <v>23</v>
      </c>
      <c r="G697" s="652" t="s">
        <v>1188</v>
      </c>
      <c r="H697" s="537">
        <v>9444085473</v>
      </c>
      <c r="I697" s="550" t="s">
        <v>1832</v>
      </c>
      <c r="J697" s="257" t="s">
        <v>1113</v>
      </c>
      <c r="K697" s="550" t="s">
        <v>2195</v>
      </c>
      <c r="L697" s="563" t="s">
        <v>49</v>
      </c>
      <c r="M697" s="575" t="s">
        <v>50</v>
      </c>
      <c r="N697" s="534"/>
      <c r="O697" s="538"/>
      <c r="P697" s="595"/>
      <c r="Q697" s="536"/>
      <c r="R697" s="539"/>
      <c r="S697" s="536"/>
    </row>
    <row r="698" spans="1:20" ht="14.25" hidden="1" customHeight="1">
      <c r="A698" s="225">
        <f>ROW()-1</f>
        <v>697</v>
      </c>
      <c r="B698" s="533">
        <v>46186</v>
      </c>
      <c r="C698" s="534" t="s">
        <v>1833</v>
      </c>
      <c r="D698" s="535" t="s">
        <v>2196</v>
      </c>
      <c r="E698" s="536" t="s">
        <v>390</v>
      </c>
      <c r="F698" s="536" t="s">
        <v>60</v>
      </c>
      <c r="G698" s="651" t="s">
        <v>2197</v>
      </c>
      <c r="H698" s="537">
        <v>8789885416</v>
      </c>
      <c r="I698" s="550" t="s">
        <v>2198</v>
      </c>
      <c r="J698" s="257" t="s">
        <v>567</v>
      </c>
      <c r="K698" s="550" t="s">
        <v>2199</v>
      </c>
      <c r="L698" s="563" t="s">
        <v>49</v>
      </c>
      <c r="M698" s="573" t="s">
        <v>40</v>
      </c>
      <c r="N698" s="534"/>
      <c r="O698" s="538"/>
      <c r="P698" s="595"/>
      <c r="Q698" s="536"/>
      <c r="R698" s="539"/>
      <c r="S698" s="536"/>
    </row>
    <row r="699" spans="1:20" ht="14.25" hidden="1" customHeight="1">
      <c r="A699" s="225">
        <f>ROW()-1</f>
        <v>698</v>
      </c>
      <c r="B699" s="533">
        <v>46186</v>
      </c>
      <c r="C699" s="534" t="s">
        <v>1837</v>
      </c>
      <c r="D699" s="535" t="s">
        <v>2200</v>
      </c>
      <c r="E699" s="536" t="s">
        <v>22</v>
      </c>
      <c r="F699" s="536" t="s">
        <v>60</v>
      </c>
      <c r="G699" s="534" t="s">
        <v>1526</v>
      </c>
      <c r="H699" s="537">
        <v>9975235503</v>
      </c>
      <c r="I699" s="550" t="s">
        <v>2201</v>
      </c>
      <c r="J699" s="257" t="s">
        <v>63</v>
      </c>
      <c r="K699" s="550" t="s">
        <v>1840</v>
      </c>
      <c r="L699" s="563" t="s">
        <v>49</v>
      </c>
      <c r="M699" s="236" t="s">
        <v>40</v>
      </c>
      <c r="N699" s="534"/>
      <c r="O699" s="538"/>
      <c r="P699" s="595"/>
      <c r="Q699" s="536"/>
      <c r="R699" s="539"/>
      <c r="S699" s="536"/>
    </row>
    <row r="700" spans="1:20" ht="14.25" hidden="1" customHeight="1">
      <c r="A700" s="225">
        <f>ROW()-1</f>
        <v>699</v>
      </c>
      <c r="B700" s="533">
        <v>46186</v>
      </c>
      <c r="C700" s="634" t="s">
        <v>2202</v>
      </c>
      <c r="D700" s="634" t="s">
        <v>1842</v>
      </c>
      <c r="E700" s="536" t="s">
        <v>162</v>
      </c>
      <c r="F700" s="536" t="s">
        <v>73</v>
      </c>
      <c r="G700" s="534" t="s">
        <v>2203</v>
      </c>
      <c r="H700" s="537">
        <v>7489462927</v>
      </c>
      <c r="I700" s="550"/>
      <c r="J700" s="257" t="s">
        <v>122</v>
      </c>
      <c r="K700" s="550" t="s">
        <v>2204</v>
      </c>
      <c r="L700" s="563" t="s">
        <v>58</v>
      </c>
      <c r="M700" s="236" t="s">
        <v>50</v>
      </c>
      <c r="N700" s="534"/>
      <c r="O700" s="538"/>
      <c r="P700" s="595"/>
      <c r="Q700" s="536"/>
      <c r="R700" s="539"/>
      <c r="S700" s="536"/>
    </row>
    <row r="701" spans="1:20" ht="14.25" hidden="1" customHeight="1">
      <c r="A701" s="225">
        <f>ROW()-1</f>
        <v>700</v>
      </c>
      <c r="B701" s="533">
        <v>46186</v>
      </c>
      <c r="C701" s="534" t="s">
        <v>2205</v>
      </c>
      <c r="D701" s="535" t="s">
        <v>445</v>
      </c>
      <c r="E701" s="536" t="s">
        <v>22</v>
      </c>
      <c r="F701" s="573" t="s">
        <v>60</v>
      </c>
      <c r="G701" s="549" t="s">
        <v>406</v>
      </c>
      <c r="H701" s="586">
        <v>9588452534</v>
      </c>
      <c r="I701" s="550" t="s">
        <v>139</v>
      </c>
      <c r="J701" s="257" t="s">
        <v>1698</v>
      </c>
      <c r="K701" s="550" t="s">
        <v>2206</v>
      </c>
      <c r="L701" s="563" t="s">
        <v>49</v>
      </c>
      <c r="M701" s="573" t="s">
        <v>40</v>
      </c>
      <c r="N701" s="534"/>
      <c r="O701" s="538"/>
      <c r="P701" s="595"/>
      <c r="Q701" s="536"/>
      <c r="R701" s="539"/>
      <c r="S701" s="536"/>
    </row>
    <row r="702" spans="1:20" ht="14.25" hidden="1" customHeight="1">
      <c r="A702" s="610">
        <f>ROW()-1</f>
        <v>701</v>
      </c>
      <c r="B702" s="533">
        <v>46186</v>
      </c>
      <c r="C702" s="534" t="s">
        <v>1845</v>
      </c>
      <c r="D702" s="535" t="s">
        <v>1929</v>
      </c>
      <c r="E702" s="536" t="s">
        <v>205</v>
      </c>
      <c r="F702" s="573" t="s">
        <v>73</v>
      </c>
      <c r="G702" s="549" t="s">
        <v>2207</v>
      </c>
      <c r="H702" s="586">
        <v>9912665258</v>
      </c>
      <c r="I702" s="668" t="s">
        <v>2208</v>
      </c>
      <c r="J702" s="257" t="s">
        <v>66</v>
      </c>
      <c r="K702" s="549" t="s">
        <v>2209</v>
      </c>
      <c r="L702" s="578" t="s">
        <v>74</v>
      </c>
      <c r="M702" s="573" t="s">
        <v>40</v>
      </c>
      <c r="N702" s="534" t="s">
        <v>2210</v>
      </c>
      <c r="O702" s="538">
        <v>46186</v>
      </c>
      <c r="P702" s="595">
        <v>2121000</v>
      </c>
      <c r="Q702" s="536" t="s">
        <v>70</v>
      </c>
      <c r="R702" s="539"/>
      <c r="S702" s="536"/>
    </row>
    <row r="703" spans="1:20" ht="14.25" hidden="1" customHeight="1">
      <c r="A703" s="610">
        <f>ROW()-1</f>
        <v>702</v>
      </c>
      <c r="B703" s="533">
        <v>46186</v>
      </c>
      <c r="C703" s="534" t="s">
        <v>992</v>
      </c>
      <c r="D703" s="535" t="s">
        <v>927</v>
      </c>
      <c r="E703" s="536" t="s">
        <v>621</v>
      </c>
      <c r="F703" s="575" t="s">
        <v>73</v>
      </c>
      <c r="G703" s="560" t="s">
        <v>406</v>
      </c>
      <c r="H703" s="598"/>
      <c r="I703" s="565" t="s">
        <v>1780</v>
      </c>
      <c r="J703" s="258" t="s">
        <v>1698</v>
      </c>
      <c r="K703" s="560" t="s">
        <v>1781</v>
      </c>
      <c r="L703" s="578" t="s">
        <v>27</v>
      </c>
      <c r="M703" s="232" t="s">
        <v>28</v>
      </c>
      <c r="N703" s="540" t="s">
        <v>1849</v>
      </c>
      <c r="O703" s="545"/>
      <c r="P703" s="595"/>
      <c r="Q703" s="542"/>
      <c r="R703" s="251"/>
      <c r="S703" s="542"/>
    </row>
    <row r="704" spans="1:20" ht="14.25" hidden="1" customHeight="1">
      <c r="A704" s="225">
        <f>ROW()-1</f>
        <v>703</v>
      </c>
      <c r="B704" s="533">
        <v>46187</v>
      </c>
      <c r="C704" s="534" t="s">
        <v>2211</v>
      </c>
      <c r="D704" s="535" t="s">
        <v>2212</v>
      </c>
      <c r="E704" s="536" t="s">
        <v>22</v>
      </c>
      <c r="F704" s="573" t="s">
        <v>44</v>
      </c>
      <c r="G704" s="549" t="s">
        <v>2213</v>
      </c>
      <c r="H704" s="586">
        <v>7758867597</v>
      </c>
      <c r="I704" s="550" t="s">
        <v>2214</v>
      </c>
      <c r="J704" s="253" t="s">
        <v>66</v>
      </c>
      <c r="K704" s="550" t="s">
        <v>2215</v>
      </c>
      <c r="L704" s="563" t="s">
        <v>117</v>
      </c>
      <c r="M704" s="236" t="s">
        <v>40</v>
      </c>
      <c r="N704" s="534" t="s">
        <v>2216</v>
      </c>
      <c r="O704" s="538">
        <v>46187</v>
      </c>
      <c r="P704" s="595">
        <v>2787136.32</v>
      </c>
      <c r="Q704" s="536" t="s">
        <v>70</v>
      </c>
      <c r="R704" s="539"/>
      <c r="S704" s="536"/>
    </row>
    <row r="705" spans="1:19" ht="14.25" hidden="1" customHeight="1">
      <c r="A705" s="225">
        <f>ROW()-1</f>
        <v>704</v>
      </c>
      <c r="B705" s="533">
        <v>46187</v>
      </c>
      <c r="C705" s="534" t="s">
        <v>1854</v>
      </c>
      <c r="D705" s="535" t="s">
        <v>1156</v>
      </c>
      <c r="E705" s="536" t="s">
        <v>199</v>
      </c>
      <c r="F705" s="573" t="s">
        <v>32</v>
      </c>
      <c r="G705" s="549" t="s">
        <v>2217</v>
      </c>
      <c r="H705" s="586">
        <v>9320222566</v>
      </c>
      <c r="I705" s="550" t="s">
        <v>2218</v>
      </c>
      <c r="J705" s="253" t="s">
        <v>567</v>
      </c>
      <c r="K705" s="550" t="s">
        <v>1854</v>
      </c>
      <c r="L705" s="563" t="s">
        <v>49</v>
      </c>
      <c r="M705" s="575" t="s">
        <v>50</v>
      </c>
      <c r="N705" s="534"/>
      <c r="O705" s="538"/>
      <c r="P705" s="595"/>
      <c r="Q705" s="536"/>
      <c r="R705" s="539"/>
      <c r="S705" s="536"/>
    </row>
    <row r="706" spans="1:19" ht="14.25" hidden="1" customHeight="1">
      <c r="A706" s="225">
        <f>ROW()-1</f>
        <v>705</v>
      </c>
      <c r="B706" s="742">
        <v>46187</v>
      </c>
      <c r="C706" s="534" t="s">
        <v>139</v>
      </c>
      <c r="D706" s="534" t="s">
        <v>139</v>
      </c>
      <c r="E706" s="534" t="s">
        <v>139</v>
      </c>
      <c r="F706" s="536" t="s">
        <v>32</v>
      </c>
      <c r="G706" s="546" t="s">
        <v>1845</v>
      </c>
      <c r="H706" s="537">
        <v>9822012012</v>
      </c>
      <c r="I706" s="550" t="s">
        <v>2219</v>
      </c>
      <c r="J706" s="253" t="s">
        <v>1113</v>
      </c>
      <c r="K706" s="550"/>
      <c r="L706" s="563" t="s">
        <v>1857</v>
      </c>
      <c r="M706" s="573" t="s">
        <v>77</v>
      </c>
      <c r="N706" s="534"/>
      <c r="O706" s="538"/>
      <c r="P706" s="595"/>
      <c r="Q706" s="536"/>
      <c r="R706" s="539"/>
      <c r="S706" s="536"/>
    </row>
    <row r="707" spans="1:19" ht="14.25" hidden="1" customHeight="1">
      <c r="A707" s="225">
        <f>ROW()-1</f>
        <v>706</v>
      </c>
      <c r="B707" s="533">
        <v>46187</v>
      </c>
      <c r="C707" s="534" t="s">
        <v>2220</v>
      </c>
      <c r="D707" s="535" t="s">
        <v>131</v>
      </c>
      <c r="E707" s="536" t="s">
        <v>22</v>
      </c>
      <c r="F707" s="536" t="s">
        <v>73</v>
      </c>
      <c r="G707" s="535" t="s">
        <v>2221</v>
      </c>
      <c r="H707" s="537">
        <v>9860823112</v>
      </c>
      <c r="I707" s="550" t="s">
        <v>2222</v>
      </c>
      <c r="J707" s="253" t="s">
        <v>122</v>
      </c>
      <c r="K707" s="550" t="s">
        <v>2223</v>
      </c>
      <c r="L707" s="563" t="s">
        <v>49</v>
      </c>
      <c r="M707" s="575" t="s">
        <v>50</v>
      </c>
      <c r="N707" s="534"/>
      <c r="O707" s="538"/>
      <c r="P707" s="595"/>
      <c r="Q707" s="536"/>
      <c r="R707" s="539"/>
      <c r="S707" s="536"/>
    </row>
    <row r="708" spans="1:19" ht="14.25" hidden="1" customHeight="1">
      <c r="A708" s="225">
        <f>ROW()-1</f>
        <v>707</v>
      </c>
      <c r="B708" s="533">
        <v>46187</v>
      </c>
      <c r="C708" s="534" t="s">
        <v>2224</v>
      </c>
      <c r="D708" s="535" t="s">
        <v>2225</v>
      </c>
      <c r="E708" s="536" t="s">
        <v>193</v>
      </c>
      <c r="F708" s="536" t="s">
        <v>23</v>
      </c>
      <c r="G708" s="534" t="s">
        <v>2226</v>
      </c>
      <c r="H708" s="537">
        <v>9737371174</v>
      </c>
      <c r="I708" s="550" t="s">
        <v>2227</v>
      </c>
      <c r="J708" s="253" t="s">
        <v>122</v>
      </c>
      <c r="K708" s="550" t="s">
        <v>2228</v>
      </c>
      <c r="L708" s="563" t="s">
        <v>49</v>
      </c>
      <c r="M708" s="575" t="s">
        <v>50</v>
      </c>
      <c r="N708" s="534"/>
      <c r="O708" s="538"/>
      <c r="P708" s="595"/>
      <c r="Q708" s="536"/>
      <c r="R708" s="539"/>
      <c r="S708" s="536"/>
    </row>
    <row r="709" spans="1:19" ht="14.25" hidden="1" customHeight="1">
      <c r="A709" s="225">
        <f>ROW()-1</f>
        <v>708</v>
      </c>
      <c r="B709" s="533">
        <v>46187</v>
      </c>
      <c r="C709" s="534" t="s">
        <v>2229</v>
      </c>
      <c r="D709" s="535" t="s">
        <v>21</v>
      </c>
      <c r="E709" s="536" t="s">
        <v>22</v>
      </c>
      <c r="F709" s="536" t="s">
        <v>73</v>
      </c>
      <c r="G709" s="534" t="s">
        <v>2230</v>
      </c>
      <c r="H709" s="537">
        <v>9665492328</v>
      </c>
      <c r="I709" s="550" t="s">
        <v>2231</v>
      </c>
      <c r="J709" s="253" t="s">
        <v>66</v>
      </c>
      <c r="K709" s="550" t="s">
        <v>2232</v>
      </c>
      <c r="L709" s="563" t="s">
        <v>117</v>
      </c>
      <c r="M709" s="573" t="s">
        <v>28</v>
      </c>
      <c r="N709" s="534" t="s">
        <v>2233</v>
      </c>
      <c r="O709" s="538">
        <v>46187</v>
      </c>
      <c r="P709" s="595">
        <v>5698448</v>
      </c>
      <c r="Q709" s="536" t="s">
        <v>70</v>
      </c>
      <c r="R709" s="539"/>
      <c r="S709" s="536"/>
    </row>
    <row r="710" spans="1:19" ht="14.25" hidden="1" customHeight="1">
      <c r="A710" s="225">
        <f>ROW()-1</f>
        <v>709</v>
      </c>
      <c r="B710" s="533">
        <v>46187</v>
      </c>
      <c r="C710" s="534" t="s">
        <v>2234</v>
      </c>
      <c r="D710" s="535" t="s">
        <v>2235</v>
      </c>
      <c r="E710" s="536" t="s">
        <v>22</v>
      </c>
      <c r="F710" s="536" t="s">
        <v>32</v>
      </c>
      <c r="G710" s="534" t="s">
        <v>2236</v>
      </c>
      <c r="H710" s="537"/>
      <c r="I710" s="550" t="s">
        <v>1867</v>
      </c>
      <c r="J710" s="253" t="s">
        <v>66</v>
      </c>
      <c r="K710" s="550"/>
      <c r="L710" s="563" t="s">
        <v>117</v>
      </c>
      <c r="M710" s="573" t="s">
        <v>50</v>
      </c>
      <c r="N710" s="534" t="s">
        <v>2237</v>
      </c>
      <c r="O710" s="538">
        <v>46186</v>
      </c>
      <c r="P710" s="595">
        <v>300339.8</v>
      </c>
      <c r="Q710" s="536" t="s">
        <v>70</v>
      </c>
      <c r="R710" s="539"/>
      <c r="S710" s="536"/>
    </row>
    <row r="711" spans="1:19" ht="14.25" hidden="1" customHeight="1">
      <c r="A711" s="225">
        <f>ROW()-1</f>
        <v>710</v>
      </c>
      <c r="B711" s="533">
        <v>46187</v>
      </c>
      <c r="C711" s="634" t="s">
        <v>2238</v>
      </c>
      <c r="D711" s="634" t="s">
        <v>981</v>
      </c>
      <c r="E711" s="536" t="s">
        <v>214</v>
      </c>
      <c r="F711" s="536" t="s">
        <v>1561</v>
      </c>
      <c r="G711" s="561" t="s">
        <v>1870</v>
      </c>
      <c r="H711" s="537">
        <v>9008000799</v>
      </c>
      <c r="I711" s="550" t="s">
        <v>2239</v>
      </c>
      <c r="J711" s="253" t="s">
        <v>1113</v>
      </c>
      <c r="K711" s="550" t="s">
        <v>2240</v>
      </c>
      <c r="L711" s="563" t="s">
        <v>58</v>
      </c>
      <c r="M711" s="573" t="s">
        <v>50</v>
      </c>
      <c r="N711" s="534"/>
      <c r="O711" s="538"/>
      <c r="P711" s="595"/>
      <c r="Q711" s="536"/>
      <c r="R711" s="539"/>
      <c r="S711" s="536"/>
    </row>
    <row r="712" spans="1:19" ht="14.25" hidden="1" customHeight="1">
      <c r="A712" s="225">
        <f>ROW()-1</f>
        <v>711</v>
      </c>
      <c r="B712" s="533">
        <v>46187</v>
      </c>
      <c r="C712" s="634" t="s">
        <v>2241</v>
      </c>
      <c r="D712" s="634" t="s">
        <v>2242</v>
      </c>
      <c r="E712" s="536" t="s">
        <v>759</v>
      </c>
      <c r="F712" s="536" t="s">
        <v>73</v>
      </c>
      <c r="G712" s="534" t="s">
        <v>1674</v>
      </c>
      <c r="H712" s="537">
        <v>9834367587</v>
      </c>
      <c r="I712" s="550"/>
      <c r="J712" s="253" t="s">
        <v>567</v>
      </c>
      <c r="K712" s="550" t="s">
        <v>2243</v>
      </c>
      <c r="L712" s="563" t="s">
        <v>58</v>
      </c>
      <c r="M712" s="236" t="s">
        <v>50</v>
      </c>
      <c r="N712" s="534"/>
      <c r="O712" s="538"/>
      <c r="P712" s="595"/>
      <c r="Q712" s="536"/>
      <c r="R712" s="539"/>
      <c r="S712" s="536"/>
    </row>
    <row r="713" spans="1:19" ht="14.25" hidden="1" customHeight="1">
      <c r="A713" s="225">
        <f>ROW()-1</f>
        <v>712</v>
      </c>
      <c r="B713" s="533">
        <v>46188</v>
      </c>
      <c r="C713" s="729" t="s">
        <v>2244</v>
      </c>
      <c r="D713" s="634" t="s">
        <v>1395</v>
      </c>
      <c r="E713" s="536" t="s">
        <v>22</v>
      </c>
      <c r="F713" s="536" t="s">
        <v>73</v>
      </c>
      <c r="G713" s="534" t="s">
        <v>2245</v>
      </c>
      <c r="H713" s="537">
        <v>9821218377</v>
      </c>
      <c r="I713" s="550" t="s">
        <v>2246</v>
      </c>
      <c r="J713" s="253" t="s">
        <v>567</v>
      </c>
      <c r="K713" s="550" t="s">
        <v>2247</v>
      </c>
      <c r="L713" s="563" t="s">
        <v>58</v>
      </c>
      <c r="M713" s="573" t="s">
        <v>50</v>
      </c>
      <c r="N713" s="534"/>
      <c r="O713" s="538"/>
      <c r="P713" s="595"/>
      <c r="Q713" s="536"/>
      <c r="R713" s="539"/>
      <c r="S713" s="536"/>
    </row>
    <row r="714" spans="1:19" ht="14.25" hidden="1" customHeight="1">
      <c r="A714" s="225">
        <f>ROW()-1</f>
        <v>713</v>
      </c>
      <c r="B714" s="533">
        <v>46188</v>
      </c>
      <c r="C714" s="634" t="s">
        <v>1877</v>
      </c>
      <c r="D714" s="634" t="s">
        <v>2242</v>
      </c>
      <c r="E714" s="536" t="s">
        <v>759</v>
      </c>
      <c r="F714" s="536" t="s">
        <v>73</v>
      </c>
      <c r="G714" s="534" t="s">
        <v>1428</v>
      </c>
      <c r="H714" s="537">
        <v>9112221029</v>
      </c>
      <c r="I714" s="550" t="s">
        <v>2248</v>
      </c>
      <c r="J714" s="253" t="s">
        <v>567</v>
      </c>
      <c r="K714" s="550" t="s">
        <v>2249</v>
      </c>
      <c r="L714" s="563" t="s">
        <v>58</v>
      </c>
      <c r="M714" s="573" t="s">
        <v>50</v>
      </c>
      <c r="N714" s="534"/>
      <c r="O714" s="538"/>
      <c r="P714" s="595"/>
      <c r="Q714" s="536"/>
      <c r="R714" s="539"/>
      <c r="S714" s="536"/>
    </row>
    <row r="715" spans="1:19" ht="14.25" hidden="1" customHeight="1">
      <c r="A715" s="225">
        <f>ROW()-1</f>
        <v>714</v>
      </c>
      <c r="B715" s="533">
        <v>46188</v>
      </c>
      <c r="C715" s="234" t="s">
        <v>344</v>
      </c>
      <c r="D715" s="535" t="s">
        <v>131</v>
      </c>
      <c r="E715" s="536" t="s">
        <v>22</v>
      </c>
      <c r="F715" s="536" t="s">
        <v>23</v>
      </c>
      <c r="G715" s="534" t="s">
        <v>1526</v>
      </c>
      <c r="H715" s="537"/>
      <c r="I715" s="550"/>
      <c r="J715" s="253" t="s">
        <v>66</v>
      </c>
      <c r="K715" s="549"/>
      <c r="L715" s="563" t="s">
        <v>27</v>
      </c>
      <c r="M715" s="236" t="s">
        <v>28</v>
      </c>
      <c r="N715" s="534"/>
      <c r="O715" s="538"/>
      <c r="P715" s="595"/>
      <c r="Q715" s="536"/>
      <c r="R715" s="539"/>
      <c r="S715" s="536"/>
    </row>
    <row r="716" spans="1:19" ht="14.25" hidden="1" customHeight="1">
      <c r="A716" s="225">
        <f>ROW()-1</f>
        <v>715</v>
      </c>
      <c r="B716" s="533">
        <v>46188</v>
      </c>
      <c r="C716" s="634" t="s">
        <v>2250</v>
      </c>
      <c r="D716" s="634" t="s">
        <v>1115</v>
      </c>
      <c r="E716" s="536" t="s">
        <v>22</v>
      </c>
      <c r="F716" s="536" t="s">
        <v>73</v>
      </c>
      <c r="G716" s="534" t="s">
        <v>2245</v>
      </c>
      <c r="H716" s="537">
        <v>9270075525</v>
      </c>
      <c r="I716" s="550" t="s">
        <v>1881</v>
      </c>
      <c r="J716" s="253" t="s">
        <v>122</v>
      </c>
      <c r="K716" s="634" t="s">
        <v>2251</v>
      </c>
      <c r="L716" s="563" t="s">
        <v>58</v>
      </c>
      <c r="M716" s="573" t="s">
        <v>50</v>
      </c>
      <c r="N716" s="534"/>
      <c r="O716" s="538"/>
      <c r="P716" s="595"/>
      <c r="Q716" s="536"/>
      <c r="R716" s="539"/>
      <c r="S716" s="536"/>
    </row>
    <row r="717" spans="1:19" ht="14.25" hidden="1" customHeight="1">
      <c r="A717" s="225">
        <f>ROW()-1</f>
        <v>716</v>
      </c>
      <c r="B717" s="533">
        <v>46188</v>
      </c>
      <c r="C717" s="534" t="s">
        <v>2252</v>
      </c>
      <c r="D717" s="535" t="s">
        <v>131</v>
      </c>
      <c r="E717" s="536" t="s">
        <v>22</v>
      </c>
      <c r="F717" s="536" t="s">
        <v>23</v>
      </c>
      <c r="G717" s="534"/>
      <c r="H717" s="537"/>
      <c r="I717" s="550"/>
      <c r="J717" s="253" t="s">
        <v>66</v>
      </c>
      <c r="K717" s="534"/>
      <c r="L717" s="563" t="s">
        <v>27</v>
      </c>
      <c r="M717" s="573" t="s">
        <v>28</v>
      </c>
      <c r="N717" s="534"/>
      <c r="O717" s="538"/>
      <c r="P717" s="595"/>
      <c r="Q717" s="536"/>
      <c r="R717" s="539"/>
      <c r="S717" s="536"/>
    </row>
    <row r="718" spans="1:19" ht="14.25" hidden="1" customHeight="1">
      <c r="A718" s="225">
        <f>ROW()-1</f>
        <v>717</v>
      </c>
      <c r="B718" s="533">
        <v>46188</v>
      </c>
      <c r="C718" s="634" t="s">
        <v>2253</v>
      </c>
      <c r="D718" s="634" t="s">
        <v>2254</v>
      </c>
      <c r="E718" s="536" t="s">
        <v>143</v>
      </c>
      <c r="F718" s="536" t="s">
        <v>73</v>
      </c>
      <c r="G718" s="534" t="s">
        <v>2255</v>
      </c>
      <c r="H718" s="537">
        <v>9634673914</v>
      </c>
      <c r="I718" s="550"/>
      <c r="J718" s="253" t="s">
        <v>122</v>
      </c>
      <c r="K718" s="634" t="s">
        <v>2256</v>
      </c>
      <c r="L718" s="563" t="s">
        <v>58</v>
      </c>
      <c r="M718" s="573" t="s">
        <v>50</v>
      </c>
      <c r="N718" s="534"/>
      <c r="O718" s="538"/>
      <c r="P718" s="595"/>
      <c r="Q718" s="536"/>
      <c r="R718" s="539"/>
      <c r="S718" s="536"/>
    </row>
    <row r="719" spans="1:19" ht="14.25" hidden="1" customHeight="1">
      <c r="A719" s="225">
        <f>ROW()-1</f>
        <v>718</v>
      </c>
      <c r="B719" s="533">
        <v>46188</v>
      </c>
      <c r="C719" s="534" t="s">
        <v>2257</v>
      </c>
      <c r="D719" s="535" t="s">
        <v>2258</v>
      </c>
      <c r="E719" s="536" t="s">
        <v>205</v>
      </c>
      <c r="F719" s="536" t="s">
        <v>32</v>
      </c>
      <c r="G719" s="534" t="s">
        <v>2259</v>
      </c>
      <c r="H719" s="537">
        <v>9844056344</v>
      </c>
      <c r="I719" s="550" t="s">
        <v>2260</v>
      </c>
      <c r="J719" s="253" t="s">
        <v>567</v>
      </c>
      <c r="K719" s="634" t="s">
        <v>1889</v>
      </c>
      <c r="L719" s="563" t="s">
        <v>49</v>
      </c>
      <c r="M719" s="542" t="s">
        <v>50</v>
      </c>
      <c r="N719" s="534"/>
      <c r="O719" s="538"/>
      <c r="P719" s="595"/>
      <c r="Q719" s="536"/>
      <c r="R719" s="539"/>
      <c r="S719" s="536"/>
    </row>
    <row r="720" spans="1:19" ht="14.25" hidden="1" customHeight="1">
      <c r="A720" s="225">
        <f>ROW()-1</f>
        <v>719</v>
      </c>
      <c r="B720" s="533">
        <v>46188</v>
      </c>
      <c r="C720" s="634" t="s">
        <v>2261</v>
      </c>
      <c r="D720" s="634" t="s">
        <v>2262</v>
      </c>
      <c r="E720" s="536" t="s">
        <v>22</v>
      </c>
      <c r="F720" s="536" t="s">
        <v>73</v>
      </c>
      <c r="G720" s="534" t="s">
        <v>2245</v>
      </c>
      <c r="H720" s="537">
        <v>9325222532</v>
      </c>
      <c r="I720" s="550"/>
      <c r="J720" s="253" t="s">
        <v>1698</v>
      </c>
      <c r="K720" s="634" t="s">
        <v>1892</v>
      </c>
      <c r="L720" s="563" t="s">
        <v>58</v>
      </c>
      <c r="M720" s="536" t="s">
        <v>50</v>
      </c>
      <c r="N720" s="534"/>
      <c r="O720" s="538"/>
      <c r="P720" s="595"/>
      <c r="Q720" s="536"/>
      <c r="R720" s="539"/>
      <c r="S720" s="536"/>
    </row>
    <row r="721" spans="1:20" ht="14.25" hidden="1" customHeight="1">
      <c r="A721" s="225">
        <f>ROW()-1</f>
        <v>720</v>
      </c>
      <c r="B721" s="533">
        <v>46188</v>
      </c>
      <c r="C721" s="634" t="s">
        <v>2263</v>
      </c>
      <c r="D721" s="634" t="s">
        <v>1813</v>
      </c>
      <c r="E721" s="536" t="s">
        <v>22</v>
      </c>
      <c r="F721" s="536" t="s">
        <v>23</v>
      </c>
      <c r="G721" s="534" t="s">
        <v>2264</v>
      </c>
      <c r="H721" s="537">
        <v>9763891258</v>
      </c>
      <c r="I721" s="656" t="s">
        <v>1895</v>
      </c>
      <c r="J721" s="253" t="s">
        <v>1698</v>
      </c>
      <c r="K721" s="634" t="s">
        <v>2265</v>
      </c>
      <c r="L721" s="563" t="s">
        <v>58</v>
      </c>
      <c r="M721" s="536" t="s">
        <v>50</v>
      </c>
      <c r="N721" s="534"/>
      <c r="O721" s="538"/>
      <c r="P721" s="595"/>
      <c r="Q721" s="536"/>
      <c r="R721" s="539"/>
      <c r="S721" s="536"/>
    </row>
    <row r="722" spans="1:20" ht="14.25" hidden="1" customHeight="1">
      <c r="A722" s="225">
        <f>ROW()-1</f>
        <v>721</v>
      </c>
      <c r="B722" s="533">
        <v>46188</v>
      </c>
      <c r="C722" s="634" t="s">
        <v>2266</v>
      </c>
      <c r="D722" s="634" t="s">
        <v>2267</v>
      </c>
      <c r="E722" s="536" t="s">
        <v>22</v>
      </c>
      <c r="F722" s="536" t="s">
        <v>23</v>
      </c>
      <c r="G722" s="534" t="s">
        <v>2268</v>
      </c>
      <c r="H722" s="537">
        <v>9740207652</v>
      </c>
      <c r="I722" s="550" t="s">
        <v>2269</v>
      </c>
      <c r="J722" s="253" t="s">
        <v>567</v>
      </c>
      <c r="K722" s="634" t="s">
        <v>2270</v>
      </c>
      <c r="L722" s="563" t="s">
        <v>58</v>
      </c>
      <c r="M722" s="536" t="s">
        <v>50</v>
      </c>
      <c r="N722" s="534"/>
      <c r="O722" s="538"/>
      <c r="P722" s="595"/>
      <c r="Q722" s="536"/>
      <c r="R722" s="539"/>
      <c r="S722" s="536"/>
    </row>
    <row r="723" spans="1:20" ht="14.25" hidden="1" customHeight="1">
      <c r="A723" s="225">
        <f>ROW()-1</f>
        <v>722</v>
      </c>
      <c r="B723" s="533">
        <v>46188</v>
      </c>
      <c r="C723" s="634" t="s">
        <v>2271</v>
      </c>
      <c r="D723" s="634" t="s">
        <v>1901</v>
      </c>
      <c r="E723" s="536" t="s">
        <v>22</v>
      </c>
      <c r="F723" s="536" t="s">
        <v>73</v>
      </c>
      <c r="G723" s="534" t="s">
        <v>2272</v>
      </c>
      <c r="H723" s="537">
        <v>9890994622</v>
      </c>
      <c r="I723" s="550"/>
      <c r="J723" s="253" t="s">
        <v>63</v>
      </c>
      <c r="K723" s="634"/>
      <c r="L723" s="563" t="s">
        <v>58</v>
      </c>
      <c r="M723" s="536" t="s">
        <v>50</v>
      </c>
      <c r="N723" s="534"/>
      <c r="O723" s="538"/>
      <c r="P723" s="595"/>
      <c r="Q723" s="536"/>
      <c r="R723" s="539"/>
      <c r="S723" s="536"/>
    </row>
    <row r="724" spans="1:20" ht="14.25" hidden="1" customHeight="1">
      <c r="A724" s="225">
        <f>ROW()-1</f>
        <v>723</v>
      </c>
      <c r="B724" s="533">
        <v>46188</v>
      </c>
      <c r="C724" s="534" t="s">
        <v>2273</v>
      </c>
      <c r="D724" s="535" t="s">
        <v>2274</v>
      </c>
      <c r="E724" s="536" t="s">
        <v>193</v>
      </c>
      <c r="F724" s="536" t="s">
        <v>83</v>
      </c>
      <c r="G724" s="650" t="s">
        <v>2275</v>
      </c>
      <c r="H724" s="537">
        <v>8910516712</v>
      </c>
      <c r="I724" s="550" t="s">
        <v>2276</v>
      </c>
      <c r="J724" s="253" t="s">
        <v>567</v>
      </c>
      <c r="K724" s="634" t="s">
        <v>2273</v>
      </c>
      <c r="L724" s="563" t="s">
        <v>49</v>
      </c>
      <c r="M724" s="542" t="s">
        <v>50</v>
      </c>
      <c r="N724" s="534"/>
      <c r="O724" s="538"/>
      <c r="P724" s="595"/>
      <c r="Q724" s="536"/>
      <c r="R724" s="539"/>
      <c r="S724" s="536"/>
    </row>
    <row r="725" spans="1:20" ht="14.25" hidden="1" customHeight="1">
      <c r="A725" s="225">
        <f>ROW()-1</f>
        <v>724</v>
      </c>
      <c r="B725" s="533">
        <v>46188</v>
      </c>
      <c r="C725" s="634" t="s">
        <v>2277</v>
      </c>
      <c r="D725" s="634" t="s">
        <v>1813</v>
      </c>
      <c r="E725" s="536" t="s">
        <v>22</v>
      </c>
      <c r="F725" s="536" t="s">
        <v>59</v>
      </c>
      <c r="G725" s="534" t="s">
        <v>2278</v>
      </c>
      <c r="H725" s="537">
        <v>9975384816</v>
      </c>
      <c r="I725" s="550"/>
      <c r="J725" s="253" t="s">
        <v>122</v>
      </c>
      <c r="K725" s="634" t="s">
        <v>2279</v>
      </c>
      <c r="L725" s="708" t="s">
        <v>58</v>
      </c>
      <c r="M725" s="536" t="s">
        <v>50</v>
      </c>
      <c r="N725" s="534"/>
      <c r="O725" s="538"/>
      <c r="P725" s="595"/>
      <c r="Q725" s="536"/>
      <c r="R725" s="539"/>
      <c r="S725" s="536"/>
    </row>
    <row r="726" spans="1:20" ht="14.25" hidden="1" customHeight="1">
      <c r="A726" s="610">
        <f>ROW()-1</f>
        <v>725</v>
      </c>
      <c r="B726" s="548">
        <v>46188</v>
      </c>
      <c r="C726" s="560" t="s">
        <v>908</v>
      </c>
      <c r="D726" s="555" t="s">
        <v>927</v>
      </c>
      <c r="E726" s="551" t="s">
        <v>621</v>
      </c>
      <c r="F726" s="552" t="s">
        <v>73</v>
      </c>
      <c r="G726" s="549" t="s">
        <v>2280</v>
      </c>
      <c r="H726" s="585"/>
      <c r="I726" s="558" t="s">
        <v>945</v>
      </c>
      <c r="J726" s="606" t="s">
        <v>1698</v>
      </c>
      <c r="K726" s="549" t="s">
        <v>911</v>
      </c>
      <c r="L726" s="551" t="s">
        <v>27</v>
      </c>
      <c r="M726" s="551" t="s">
        <v>28</v>
      </c>
      <c r="N726" s="549"/>
      <c r="O726" s="553"/>
      <c r="P726" s="720"/>
      <c r="Q726" s="551"/>
      <c r="R726" s="722"/>
      <c r="S726" s="551"/>
      <c r="T726" s="554"/>
    </row>
    <row r="727" spans="1:20" ht="14.25" hidden="1" customHeight="1">
      <c r="A727" s="225">
        <f>ROW()-1</f>
        <v>726</v>
      </c>
      <c r="B727" s="548">
        <v>46189</v>
      </c>
      <c r="C727" s="550" t="s">
        <v>1907</v>
      </c>
      <c r="D727" s="550" t="s">
        <v>2281</v>
      </c>
      <c r="E727" s="551" t="s">
        <v>22</v>
      </c>
      <c r="F727" s="551" t="s">
        <v>36</v>
      </c>
      <c r="G727" s="549" t="s">
        <v>2282</v>
      </c>
      <c r="H727" s="585">
        <v>9845228826</v>
      </c>
      <c r="I727" s="550" t="s">
        <v>2283</v>
      </c>
      <c r="J727" s="584" t="s">
        <v>567</v>
      </c>
      <c r="K727" s="550" t="s">
        <v>2284</v>
      </c>
      <c r="L727" s="552" t="s">
        <v>58</v>
      </c>
      <c r="M727" s="551" t="s">
        <v>50</v>
      </c>
      <c r="N727" s="549"/>
      <c r="O727" s="553"/>
      <c r="P727" s="595"/>
      <c r="Q727" s="551"/>
      <c r="R727" s="722"/>
      <c r="S727" s="551"/>
      <c r="T727" s="554"/>
    </row>
    <row r="728" spans="1:20" ht="14.25" hidden="1" customHeight="1">
      <c r="A728" s="225">
        <f>ROW()-1</f>
        <v>727</v>
      </c>
      <c r="B728" s="548">
        <v>46189</v>
      </c>
      <c r="C728" s="549" t="s">
        <v>2285</v>
      </c>
      <c r="D728" s="555" t="s">
        <v>1912</v>
      </c>
      <c r="E728" s="551" t="s">
        <v>595</v>
      </c>
      <c r="F728" s="551" t="s">
        <v>23</v>
      </c>
      <c r="G728" s="549" t="s">
        <v>2179</v>
      </c>
      <c r="H728" s="585">
        <v>9641131905</v>
      </c>
      <c r="I728" s="550" t="s">
        <v>2286</v>
      </c>
      <c r="J728" s="584" t="s">
        <v>1113</v>
      </c>
      <c r="K728" s="550" t="s">
        <v>2287</v>
      </c>
      <c r="L728" s="552" t="s">
        <v>49</v>
      </c>
      <c r="M728" s="552" t="s">
        <v>50</v>
      </c>
      <c r="N728" s="549"/>
      <c r="O728" s="553"/>
      <c r="P728" s="595"/>
      <c r="Q728" s="551"/>
      <c r="R728" s="722"/>
      <c r="S728" s="551"/>
      <c r="T728" s="554"/>
    </row>
    <row r="729" spans="1:20" ht="14.25" hidden="1" customHeight="1">
      <c r="A729" s="225">
        <f>ROW()-1</f>
        <v>728</v>
      </c>
      <c r="B729" s="548">
        <v>46189</v>
      </c>
      <c r="C729" s="549" t="s">
        <v>2152</v>
      </c>
      <c r="D729" s="555" t="s">
        <v>131</v>
      </c>
      <c r="E729" s="551" t="s">
        <v>22</v>
      </c>
      <c r="F729" s="551" t="s">
        <v>23</v>
      </c>
      <c r="G729" s="744" t="s">
        <v>188</v>
      </c>
      <c r="H729" s="585"/>
      <c r="I729" s="550"/>
      <c r="J729" s="584" t="s">
        <v>66</v>
      </c>
      <c r="K729" s="549"/>
      <c r="L729" s="552" t="s">
        <v>27</v>
      </c>
      <c r="M729" s="551" t="s">
        <v>28</v>
      </c>
      <c r="N729" s="549" t="s">
        <v>2288</v>
      </c>
      <c r="O729" s="553">
        <v>46189</v>
      </c>
      <c r="P729" s="595">
        <v>675000</v>
      </c>
      <c r="Q729" s="551"/>
      <c r="R729" s="722"/>
      <c r="S729" s="551"/>
      <c r="T729" s="554"/>
    </row>
    <row r="730" spans="1:20" ht="14.25" hidden="1" customHeight="1">
      <c r="A730" s="225">
        <f>ROW()-1</f>
        <v>729</v>
      </c>
      <c r="B730" s="548">
        <v>46189</v>
      </c>
      <c r="C730" s="549" t="s">
        <v>2289</v>
      </c>
      <c r="D730" s="555" t="s">
        <v>131</v>
      </c>
      <c r="E730" s="551" t="s">
        <v>22</v>
      </c>
      <c r="F730" s="551" t="s">
        <v>60</v>
      </c>
      <c r="G730" s="549" t="s">
        <v>180</v>
      </c>
      <c r="H730" s="585">
        <v>7420863043</v>
      </c>
      <c r="I730" s="550"/>
      <c r="J730" s="584" t="s">
        <v>63</v>
      </c>
      <c r="K730" s="549"/>
      <c r="L730" s="552" t="s">
        <v>49</v>
      </c>
      <c r="M730" s="551" t="s">
        <v>40</v>
      </c>
      <c r="N730" s="549"/>
      <c r="O730" s="553"/>
      <c r="P730" s="595"/>
      <c r="Q730" s="551"/>
      <c r="R730" s="722"/>
      <c r="S730" s="551"/>
      <c r="T730" s="554"/>
    </row>
    <row r="731" spans="1:20" ht="14.25" hidden="1" customHeight="1">
      <c r="A731" s="225">
        <f>ROW()-1</f>
        <v>730</v>
      </c>
      <c r="B731" s="548">
        <v>46189</v>
      </c>
      <c r="C731" s="549" t="s">
        <v>2290</v>
      </c>
      <c r="D731" s="555" t="s">
        <v>2171</v>
      </c>
      <c r="E731" s="551" t="s">
        <v>82</v>
      </c>
      <c r="F731" s="551" t="s">
        <v>44</v>
      </c>
      <c r="G731" s="649" t="s">
        <v>45</v>
      </c>
      <c r="H731" s="585">
        <v>9962284445</v>
      </c>
      <c r="I731" s="550" t="s">
        <v>1917</v>
      </c>
      <c r="J731" s="584" t="s">
        <v>1113</v>
      </c>
      <c r="K731" s="550" t="s">
        <v>2291</v>
      </c>
      <c r="L731" s="552" t="s">
        <v>49</v>
      </c>
      <c r="M731" s="552" t="s">
        <v>50</v>
      </c>
      <c r="N731" s="549"/>
      <c r="O731" s="553"/>
      <c r="P731" s="595"/>
      <c r="Q731" s="551"/>
      <c r="R731" s="722"/>
      <c r="S731" s="551"/>
      <c r="T731" s="554"/>
    </row>
    <row r="732" spans="1:20" ht="14.25" hidden="1" customHeight="1">
      <c r="A732" s="225">
        <f>ROW()-1</f>
        <v>731</v>
      </c>
      <c r="B732" s="548">
        <v>46189</v>
      </c>
      <c r="C732" s="549" t="s">
        <v>1919</v>
      </c>
      <c r="D732" s="555" t="s">
        <v>2292</v>
      </c>
      <c r="E732" s="551" t="s">
        <v>22</v>
      </c>
      <c r="F732" s="551" t="s">
        <v>60</v>
      </c>
      <c r="G732" s="549"/>
      <c r="H732" s="585">
        <v>7522020566</v>
      </c>
      <c r="I732" s="550" t="s">
        <v>2293</v>
      </c>
      <c r="J732" s="584" t="s">
        <v>567</v>
      </c>
      <c r="K732" s="550" t="s">
        <v>2294</v>
      </c>
      <c r="L732" s="552" t="s">
        <v>49</v>
      </c>
      <c r="M732" s="551" t="s">
        <v>40</v>
      </c>
      <c r="N732" s="549"/>
      <c r="O732" s="553"/>
      <c r="P732" s="595"/>
      <c r="Q732" s="551"/>
      <c r="R732" s="722"/>
      <c r="S732" s="551"/>
      <c r="T732" s="554"/>
    </row>
    <row r="733" spans="1:20" ht="14.25" hidden="1" customHeight="1">
      <c r="A733" s="225">
        <f>ROW()-1</f>
        <v>732</v>
      </c>
      <c r="B733" s="548">
        <v>46189</v>
      </c>
      <c r="C733" s="550" t="s">
        <v>1923</v>
      </c>
      <c r="D733" s="550" t="s">
        <v>2295</v>
      </c>
      <c r="E733" s="551" t="s">
        <v>143</v>
      </c>
      <c r="F733" s="551" t="s">
        <v>73</v>
      </c>
      <c r="G733" s="549" t="s">
        <v>2296</v>
      </c>
      <c r="H733" s="585">
        <v>9422033735</v>
      </c>
      <c r="I733" s="550"/>
      <c r="J733" s="584" t="s">
        <v>63</v>
      </c>
      <c r="K733" s="550" t="s">
        <v>2297</v>
      </c>
      <c r="L733" s="552" t="s">
        <v>58</v>
      </c>
      <c r="M733" s="551" t="s">
        <v>50</v>
      </c>
      <c r="N733" s="549"/>
      <c r="O733" s="553"/>
      <c r="P733" s="595"/>
      <c r="Q733" s="551"/>
      <c r="R733" s="722"/>
      <c r="S733" s="551"/>
      <c r="T733" s="554"/>
    </row>
    <row r="734" spans="1:20" ht="14.25" hidden="1" customHeight="1">
      <c r="A734" s="225">
        <f>ROW()-1</f>
        <v>733</v>
      </c>
      <c r="B734" s="548">
        <v>46189</v>
      </c>
      <c r="C734" s="550" t="s">
        <v>2298</v>
      </c>
      <c r="D734" s="550" t="s">
        <v>1813</v>
      </c>
      <c r="E734" s="551" t="s">
        <v>22</v>
      </c>
      <c r="F734" s="551" t="s">
        <v>60</v>
      </c>
      <c r="G734" s="549" t="s">
        <v>2299</v>
      </c>
      <c r="H734" s="585">
        <v>9860878628</v>
      </c>
      <c r="I734" s="550"/>
      <c r="J734" s="584" t="s">
        <v>567</v>
      </c>
      <c r="K734" s="550" t="s">
        <v>2300</v>
      </c>
      <c r="L734" s="552" t="s">
        <v>58</v>
      </c>
      <c r="M734" s="551" t="s">
        <v>40</v>
      </c>
      <c r="N734" s="549"/>
      <c r="O734" s="553"/>
      <c r="P734" s="595"/>
      <c r="Q734" s="551"/>
      <c r="R734" s="722"/>
      <c r="S734" s="551"/>
      <c r="T734" s="554"/>
    </row>
    <row r="735" spans="1:20" ht="14.25" hidden="1" customHeight="1">
      <c r="A735" s="225">
        <f>ROW()-1</f>
        <v>734</v>
      </c>
      <c r="B735" s="548">
        <v>46189</v>
      </c>
      <c r="C735" s="550" t="s">
        <v>2298</v>
      </c>
      <c r="D735" s="550" t="s">
        <v>1813</v>
      </c>
      <c r="E735" s="551" t="s">
        <v>22</v>
      </c>
      <c r="F735" s="551" t="s">
        <v>60</v>
      </c>
      <c r="G735" s="549" t="s">
        <v>2301</v>
      </c>
      <c r="H735" s="585">
        <v>9860878628</v>
      </c>
      <c r="I735" s="550"/>
      <c r="J735" s="584" t="s">
        <v>1624</v>
      </c>
      <c r="K735" s="550" t="s">
        <v>2300</v>
      </c>
      <c r="L735" s="552" t="s">
        <v>58</v>
      </c>
      <c r="M735" s="551" t="s">
        <v>40</v>
      </c>
      <c r="N735" s="549"/>
      <c r="O735" s="553"/>
      <c r="P735" s="595"/>
      <c r="Q735" s="551"/>
      <c r="R735" s="722"/>
      <c r="S735" s="551"/>
      <c r="T735" s="554"/>
    </row>
    <row r="736" spans="1:20" ht="14.25" hidden="1" customHeight="1">
      <c r="A736" s="225">
        <f>ROW()-1</f>
        <v>735</v>
      </c>
      <c r="B736" s="548">
        <v>46189</v>
      </c>
      <c r="C736" s="550" t="s">
        <v>1927</v>
      </c>
      <c r="D736" s="550" t="s">
        <v>2302</v>
      </c>
      <c r="E736" s="551" t="s">
        <v>22</v>
      </c>
      <c r="F736" s="551" t="s">
        <v>23</v>
      </c>
      <c r="G736" s="549" t="s">
        <v>2303</v>
      </c>
      <c r="H736" s="585">
        <v>8275229977</v>
      </c>
      <c r="I736" s="550" t="s">
        <v>2304</v>
      </c>
      <c r="J736" s="584" t="s">
        <v>63</v>
      </c>
      <c r="K736" s="550" t="s">
        <v>2305</v>
      </c>
      <c r="L736" s="552" t="s">
        <v>58</v>
      </c>
      <c r="M736" s="551" t="s">
        <v>50</v>
      </c>
      <c r="N736" s="549"/>
      <c r="O736" s="553"/>
      <c r="P736" s="595"/>
      <c r="Q736" s="551"/>
      <c r="R736" s="722"/>
      <c r="S736" s="551"/>
      <c r="T736" s="554"/>
    </row>
    <row r="737" spans="1:20" ht="14.25" hidden="1" customHeight="1">
      <c r="A737" s="225">
        <f>ROW()-1</f>
        <v>736</v>
      </c>
      <c r="B737" s="548">
        <v>46189</v>
      </c>
      <c r="C737" s="550" t="s">
        <v>1927</v>
      </c>
      <c r="D737" s="550" t="s">
        <v>2302</v>
      </c>
      <c r="E737" s="551" t="s">
        <v>22</v>
      </c>
      <c r="F737" s="551" t="s">
        <v>23</v>
      </c>
      <c r="G737" s="549" t="s">
        <v>2306</v>
      </c>
      <c r="H737" s="585">
        <v>8275229977</v>
      </c>
      <c r="I737" s="550" t="s">
        <v>2304</v>
      </c>
      <c r="J737" s="584" t="s">
        <v>63</v>
      </c>
      <c r="K737" s="550" t="s">
        <v>2305</v>
      </c>
      <c r="L737" s="552" t="s">
        <v>58</v>
      </c>
      <c r="M737" s="551" t="s">
        <v>50</v>
      </c>
      <c r="N737" s="549"/>
      <c r="O737" s="553"/>
      <c r="P737" s="595"/>
      <c r="Q737" s="551"/>
      <c r="R737" s="722"/>
      <c r="S737" s="551"/>
      <c r="T737" s="554"/>
    </row>
    <row r="738" spans="1:20" ht="14.25" hidden="1" customHeight="1">
      <c r="A738" s="225">
        <f>ROW()-1</f>
        <v>737</v>
      </c>
      <c r="B738" s="548">
        <v>46189</v>
      </c>
      <c r="C738" s="550" t="s">
        <v>1930</v>
      </c>
      <c r="D738" s="550" t="s">
        <v>2307</v>
      </c>
      <c r="E738" s="551" t="s">
        <v>22</v>
      </c>
      <c r="F738" s="551" t="s">
        <v>73</v>
      </c>
      <c r="G738" s="549" t="s">
        <v>2308</v>
      </c>
      <c r="H738" s="585">
        <v>9594212209</v>
      </c>
      <c r="I738" s="656"/>
      <c r="J738" s="584" t="s">
        <v>63</v>
      </c>
      <c r="K738" s="550" t="s">
        <v>2309</v>
      </c>
      <c r="L738" s="552" t="s">
        <v>58</v>
      </c>
      <c r="M738" s="551" t="s">
        <v>50</v>
      </c>
      <c r="N738" s="549"/>
      <c r="O738" s="553"/>
      <c r="P738" s="595"/>
      <c r="Q738" s="551"/>
      <c r="R738" s="722"/>
      <c r="S738" s="551"/>
      <c r="T738" s="554"/>
    </row>
    <row r="739" spans="1:20" ht="14.25" hidden="1" customHeight="1">
      <c r="A739" s="225">
        <f>ROW()-1</f>
        <v>738</v>
      </c>
      <c r="B739" s="548">
        <v>46189</v>
      </c>
      <c r="C739" s="550" t="s">
        <v>2310</v>
      </c>
      <c r="D739" s="550" t="s">
        <v>2311</v>
      </c>
      <c r="E739" s="551" t="s">
        <v>22</v>
      </c>
      <c r="F739" s="551" t="s">
        <v>73</v>
      </c>
      <c r="G739" s="549" t="s">
        <v>449</v>
      </c>
      <c r="H739" s="585">
        <v>9420997927</v>
      </c>
      <c r="I739" s="656" t="s">
        <v>2312</v>
      </c>
      <c r="J739" s="584" t="s">
        <v>122</v>
      </c>
      <c r="K739" s="550" t="s">
        <v>2313</v>
      </c>
      <c r="L739" s="552" t="s">
        <v>58</v>
      </c>
      <c r="M739" s="551" t="s">
        <v>50</v>
      </c>
      <c r="N739" s="549"/>
      <c r="O739" s="553"/>
      <c r="P739" s="595"/>
      <c r="Q739" s="551"/>
      <c r="R739" s="722"/>
      <c r="S739" s="551"/>
      <c r="T739" s="554"/>
    </row>
    <row r="740" spans="1:20" ht="14.25" hidden="1" customHeight="1">
      <c r="A740" s="225">
        <f>ROW()-1</f>
        <v>739</v>
      </c>
      <c r="B740" s="548">
        <v>46189</v>
      </c>
      <c r="C740" s="549" t="s">
        <v>2314</v>
      </c>
      <c r="D740" s="555" t="s">
        <v>2315</v>
      </c>
      <c r="E740" s="551" t="s">
        <v>514</v>
      </c>
      <c r="F740" s="551" t="s">
        <v>44</v>
      </c>
      <c r="G740" s="649" t="s">
        <v>45</v>
      </c>
      <c r="H740" s="585">
        <v>6203996632</v>
      </c>
      <c r="I740" s="550" t="s">
        <v>2316</v>
      </c>
      <c r="J740" s="584" t="s">
        <v>567</v>
      </c>
      <c r="K740" s="550" t="s">
        <v>2317</v>
      </c>
      <c r="L740" s="552" t="s">
        <v>49</v>
      </c>
      <c r="M740" s="552" t="s">
        <v>50</v>
      </c>
      <c r="N740" s="549"/>
      <c r="O740" s="553"/>
      <c r="P740" s="595"/>
      <c r="Q740" s="551"/>
      <c r="R740" s="722"/>
      <c r="S740" s="551"/>
      <c r="T740" s="554"/>
    </row>
    <row r="741" spans="1:20" ht="14.25" hidden="1" customHeight="1">
      <c r="A741" s="225">
        <f>ROW()-1</f>
        <v>740</v>
      </c>
      <c r="B741" s="548">
        <v>46189</v>
      </c>
      <c r="C741" s="549" t="s">
        <v>2314</v>
      </c>
      <c r="D741" s="555" t="s">
        <v>2315</v>
      </c>
      <c r="E741" s="551" t="s">
        <v>514</v>
      </c>
      <c r="F741" s="551" t="s">
        <v>44</v>
      </c>
      <c r="G741" s="549" t="s">
        <v>386</v>
      </c>
      <c r="H741" s="585">
        <v>6203996632</v>
      </c>
      <c r="I741" s="550" t="s">
        <v>2316</v>
      </c>
      <c r="J741" s="584" t="s">
        <v>122</v>
      </c>
      <c r="K741" s="549" t="s">
        <v>2317</v>
      </c>
      <c r="L741" s="552" t="s">
        <v>49</v>
      </c>
      <c r="M741" s="552" t="s">
        <v>50</v>
      </c>
      <c r="N741" s="549"/>
      <c r="O741" s="553"/>
      <c r="P741" s="595"/>
      <c r="Q741" s="551"/>
      <c r="R741" s="722"/>
      <c r="S741" s="551"/>
      <c r="T741" s="554"/>
    </row>
    <row r="742" spans="1:20" ht="14.25" hidden="1" customHeight="1">
      <c r="A742" s="225">
        <f>ROW()-1</f>
        <v>741</v>
      </c>
      <c r="B742" s="548">
        <v>46189</v>
      </c>
      <c r="C742" s="550" t="s">
        <v>2318</v>
      </c>
      <c r="D742" s="550" t="s">
        <v>2319</v>
      </c>
      <c r="E742" s="551" t="s">
        <v>22</v>
      </c>
      <c r="F742" s="551" t="s">
        <v>73</v>
      </c>
      <c r="G742" s="549" t="s">
        <v>2320</v>
      </c>
      <c r="H742" s="585">
        <v>9326222626</v>
      </c>
      <c r="I742" s="656" t="s">
        <v>2321</v>
      </c>
      <c r="J742" s="584" t="s">
        <v>63</v>
      </c>
      <c r="K742" s="550" t="s">
        <v>2322</v>
      </c>
      <c r="L742" s="552" t="s">
        <v>58</v>
      </c>
      <c r="M742" s="551" t="s">
        <v>50</v>
      </c>
      <c r="N742" s="549"/>
      <c r="O742" s="553"/>
      <c r="P742" s="595"/>
      <c r="Q742" s="551"/>
      <c r="R742" s="722"/>
      <c r="S742" s="551"/>
      <c r="T742" s="554"/>
    </row>
    <row r="743" spans="1:20" ht="14.25" hidden="1" customHeight="1">
      <c r="A743" s="225">
        <f>ROW()-1</f>
        <v>742</v>
      </c>
      <c r="B743" s="548">
        <v>46189</v>
      </c>
      <c r="C743" s="549" t="s">
        <v>2323</v>
      </c>
      <c r="D743" s="555" t="s">
        <v>2292</v>
      </c>
      <c r="E743" s="551" t="s">
        <v>22</v>
      </c>
      <c r="F743" s="551" t="s">
        <v>23</v>
      </c>
      <c r="G743" s="549" t="s">
        <v>188</v>
      </c>
      <c r="H743" s="585">
        <v>8788233599</v>
      </c>
      <c r="I743" s="550" t="s">
        <v>1944</v>
      </c>
      <c r="J743" s="584" t="s">
        <v>1698</v>
      </c>
      <c r="K743" s="550" t="s">
        <v>854</v>
      </c>
      <c r="L743" s="552" t="s">
        <v>49</v>
      </c>
      <c r="M743" s="552" t="s">
        <v>50</v>
      </c>
      <c r="N743" s="549"/>
      <c r="O743" s="553"/>
      <c r="P743" s="595"/>
      <c r="Q743" s="551"/>
      <c r="R743" s="722"/>
      <c r="S743" s="551"/>
      <c r="T743" s="554"/>
    </row>
    <row r="744" spans="1:20" ht="14.25" hidden="1" customHeight="1">
      <c r="A744" s="225">
        <f>ROW()-1</f>
        <v>743</v>
      </c>
      <c r="B744" s="548">
        <v>46189</v>
      </c>
      <c r="C744" s="549" t="s">
        <v>2323</v>
      </c>
      <c r="D744" s="555" t="s">
        <v>131</v>
      </c>
      <c r="E744" s="551" t="s">
        <v>22</v>
      </c>
      <c r="F744" s="551" t="s">
        <v>23</v>
      </c>
      <c r="G744" s="549" t="s">
        <v>188</v>
      </c>
      <c r="H744" s="585">
        <v>8788233599</v>
      </c>
      <c r="I744" s="550" t="s">
        <v>1944</v>
      </c>
      <c r="J744" s="584" t="s">
        <v>122</v>
      </c>
      <c r="K744" s="549" t="s">
        <v>854</v>
      </c>
      <c r="L744" s="552" t="s">
        <v>49</v>
      </c>
      <c r="M744" s="551" t="s">
        <v>50</v>
      </c>
      <c r="N744" s="549"/>
      <c r="O744" s="553"/>
      <c r="P744" s="595"/>
      <c r="Q744" s="551"/>
      <c r="R744" s="722"/>
      <c r="S744" s="551"/>
      <c r="T744" s="554"/>
    </row>
    <row r="745" spans="1:20" ht="14.25" hidden="1" customHeight="1">
      <c r="A745" s="225">
        <f>ROW()-1</f>
        <v>744</v>
      </c>
      <c r="B745" s="548">
        <v>46189</v>
      </c>
      <c r="C745" s="549" t="s">
        <v>2324</v>
      </c>
      <c r="D745" s="555" t="s">
        <v>2292</v>
      </c>
      <c r="E745" s="551" t="s">
        <v>22</v>
      </c>
      <c r="F745" s="551" t="s">
        <v>60</v>
      </c>
      <c r="G745" s="648" t="s">
        <v>2325</v>
      </c>
      <c r="H745" s="585">
        <v>9970314585</v>
      </c>
      <c r="I745" s="550" t="s">
        <v>2326</v>
      </c>
      <c r="J745" s="584" t="s">
        <v>567</v>
      </c>
      <c r="K745" s="550" t="s">
        <v>2324</v>
      </c>
      <c r="L745" s="552" t="s">
        <v>49</v>
      </c>
      <c r="M745" s="551" t="s">
        <v>40</v>
      </c>
      <c r="N745" s="549"/>
      <c r="O745" s="553"/>
      <c r="P745" s="595"/>
      <c r="Q745" s="551"/>
      <c r="R745" s="722"/>
      <c r="S745" s="551"/>
      <c r="T745" s="554"/>
    </row>
    <row r="746" spans="1:20" ht="14.25" hidden="1" customHeight="1">
      <c r="A746" s="225">
        <f>ROW()-1</f>
        <v>745</v>
      </c>
      <c r="B746" s="548">
        <v>46189</v>
      </c>
      <c r="C746" s="550" t="s">
        <v>1947</v>
      </c>
      <c r="D746" s="550" t="s">
        <v>2327</v>
      </c>
      <c r="E746" s="551" t="s">
        <v>22</v>
      </c>
      <c r="F746" s="551" t="s">
        <v>73</v>
      </c>
      <c r="G746" s="549" t="s">
        <v>1428</v>
      </c>
      <c r="H746" s="585">
        <v>9465922000</v>
      </c>
      <c r="I746" s="656" t="s">
        <v>2328</v>
      </c>
      <c r="J746" s="584" t="s">
        <v>122</v>
      </c>
      <c r="K746" s="550" t="s">
        <v>2329</v>
      </c>
      <c r="L746" s="552" t="s">
        <v>49</v>
      </c>
      <c r="M746" s="551" t="s">
        <v>50</v>
      </c>
      <c r="N746" s="549"/>
      <c r="O746" s="553"/>
      <c r="P746" s="595"/>
      <c r="Q746" s="551"/>
      <c r="R746" s="722"/>
      <c r="S746" s="551"/>
      <c r="T746" s="554"/>
    </row>
    <row r="747" spans="1:20" ht="14.25" hidden="1" customHeight="1">
      <c r="A747" s="611">
        <f>ROW()-1</f>
        <v>746</v>
      </c>
      <c r="B747" s="608">
        <v>46189</v>
      </c>
      <c r="C747" s="534" t="s">
        <v>2330</v>
      </c>
      <c r="D747" s="535" t="s">
        <v>192</v>
      </c>
      <c r="E747" s="551" t="s">
        <v>193</v>
      </c>
      <c r="F747" s="536" t="s">
        <v>60</v>
      </c>
      <c r="G747" s="534" t="s">
        <v>482</v>
      </c>
      <c r="H747" s="537">
        <v>9428466177</v>
      </c>
      <c r="I747" s="550" t="s">
        <v>1952</v>
      </c>
      <c r="J747" s="253" t="s">
        <v>171</v>
      </c>
      <c r="K747" s="730"/>
      <c r="L747" s="552" t="s">
        <v>49</v>
      </c>
      <c r="M747" s="536" t="s">
        <v>40</v>
      </c>
      <c r="N747" s="534"/>
      <c r="O747" s="538"/>
      <c r="P747" s="595"/>
      <c r="Q747" s="536"/>
      <c r="R747" s="539"/>
      <c r="S747" s="536"/>
      <c r="T747" s="554"/>
    </row>
    <row r="748" spans="1:20" ht="14.25" hidden="1" customHeight="1">
      <c r="A748" s="627">
        <f>ROW()-1</f>
        <v>747</v>
      </c>
      <c r="B748" s="608">
        <v>46189</v>
      </c>
      <c r="C748" s="534" t="s">
        <v>1511</v>
      </c>
      <c r="D748" s="535" t="s">
        <v>1813</v>
      </c>
      <c r="E748" s="551" t="s">
        <v>22</v>
      </c>
      <c r="F748" s="536" t="s">
        <v>60</v>
      </c>
      <c r="G748" s="534" t="s">
        <v>2331</v>
      </c>
      <c r="H748" s="537">
        <v>9923964089</v>
      </c>
      <c r="I748" s="670" t="s">
        <v>2332</v>
      </c>
      <c r="J748" s="253" t="s">
        <v>66</v>
      </c>
      <c r="K748" s="634" t="s">
        <v>2333</v>
      </c>
      <c r="L748" s="552" t="s">
        <v>49</v>
      </c>
      <c r="M748" s="536" t="s">
        <v>40</v>
      </c>
      <c r="N748" s="534" t="s">
        <v>2334</v>
      </c>
      <c r="O748" s="538"/>
      <c r="P748" s="595"/>
      <c r="Q748" s="536"/>
      <c r="R748" s="539"/>
      <c r="S748" s="536"/>
      <c r="T748" s="554"/>
    </row>
    <row r="749" spans="1:20" ht="14.25" hidden="1" customHeight="1">
      <c r="A749" s="610">
        <f>ROW()-1</f>
        <v>748</v>
      </c>
      <c r="B749" s="548">
        <v>46189</v>
      </c>
      <c r="C749" s="549" t="s">
        <v>2335</v>
      </c>
      <c r="D749" s="555" t="s">
        <v>1813</v>
      </c>
      <c r="E749" s="551" t="s">
        <v>22</v>
      </c>
      <c r="F749" s="551" t="s">
        <v>32</v>
      </c>
      <c r="G749" s="549" t="s">
        <v>2336</v>
      </c>
      <c r="H749" s="585"/>
      <c r="I749" s="668" t="s">
        <v>2337</v>
      </c>
      <c r="J749" s="584" t="s">
        <v>66</v>
      </c>
      <c r="K749" s="549" t="s">
        <v>1957</v>
      </c>
      <c r="L749" s="552" t="s">
        <v>49</v>
      </c>
      <c r="M749" s="551" t="s">
        <v>40</v>
      </c>
      <c r="N749" s="549" t="s">
        <v>2338</v>
      </c>
      <c r="O749" s="553"/>
      <c r="P749" s="595"/>
      <c r="Q749" s="551"/>
      <c r="R749" s="722"/>
      <c r="S749" s="551"/>
      <c r="T749" s="554"/>
    </row>
    <row r="750" spans="1:20" ht="14.25" hidden="1" customHeight="1">
      <c r="A750" s="225">
        <f>ROW()-1</f>
        <v>749</v>
      </c>
      <c r="B750" s="548">
        <v>46190</v>
      </c>
      <c r="C750" s="549" t="s">
        <v>2339</v>
      </c>
      <c r="D750" s="555" t="s">
        <v>573</v>
      </c>
      <c r="E750" s="551" t="s">
        <v>82</v>
      </c>
      <c r="F750" s="551" t="s">
        <v>59</v>
      </c>
      <c r="G750" s="549" t="s">
        <v>1506</v>
      </c>
      <c r="H750" s="585">
        <v>9150752134</v>
      </c>
      <c r="I750" s="550"/>
      <c r="J750" s="584" t="s">
        <v>122</v>
      </c>
      <c r="K750" s="549" t="s">
        <v>2339</v>
      </c>
      <c r="L750" s="552" t="s">
        <v>49</v>
      </c>
      <c r="M750" s="552" t="s">
        <v>50</v>
      </c>
      <c r="N750" s="549"/>
      <c r="O750" s="553"/>
      <c r="P750" s="595"/>
      <c r="Q750" s="551"/>
      <c r="R750" s="722"/>
      <c r="S750" s="551"/>
      <c r="T750" s="554"/>
    </row>
    <row r="751" spans="1:20" ht="14.25" hidden="1" customHeight="1">
      <c r="A751" s="225">
        <f>ROW()-1</f>
        <v>750</v>
      </c>
      <c r="B751" s="548">
        <v>46190</v>
      </c>
      <c r="C751" s="550" t="s">
        <v>2340</v>
      </c>
      <c r="D751" s="550" t="s">
        <v>2341</v>
      </c>
      <c r="E751" s="551" t="s">
        <v>22</v>
      </c>
      <c r="F751" s="551" t="s">
        <v>73</v>
      </c>
      <c r="G751" s="549" t="s">
        <v>2320</v>
      </c>
      <c r="H751" s="585">
        <v>7588834244</v>
      </c>
      <c r="I751" s="550" t="s">
        <v>2342</v>
      </c>
      <c r="J751" s="584" t="s">
        <v>1113</v>
      </c>
      <c r="K751" s="550" t="s">
        <v>2343</v>
      </c>
      <c r="L751" s="552" t="s">
        <v>49</v>
      </c>
      <c r="M751" s="551" t="s">
        <v>50</v>
      </c>
      <c r="N751" s="549"/>
      <c r="O751" s="553"/>
      <c r="P751" s="595"/>
      <c r="Q751" s="551"/>
      <c r="R751" s="722"/>
      <c r="S751" s="551"/>
      <c r="T751" s="554"/>
    </row>
    <row r="752" spans="1:20" ht="14.25" hidden="1" customHeight="1">
      <c r="A752" s="225">
        <f>ROW()-1</f>
        <v>751</v>
      </c>
      <c r="B752" s="548">
        <v>46190</v>
      </c>
      <c r="C752" s="550" t="s">
        <v>2344</v>
      </c>
      <c r="D752" s="550" t="s">
        <v>2345</v>
      </c>
      <c r="E752" s="551" t="s">
        <v>22</v>
      </c>
      <c r="F752" s="551" t="s">
        <v>73</v>
      </c>
      <c r="G752" s="549" t="s">
        <v>2346</v>
      </c>
      <c r="H752" s="585">
        <v>7204270252</v>
      </c>
      <c r="I752" s="550" t="s">
        <v>2347</v>
      </c>
      <c r="J752" s="584" t="s">
        <v>1698</v>
      </c>
      <c r="K752" s="550" t="s">
        <v>2348</v>
      </c>
      <c r="L752" s="552" t="s">
        <v>49</v>
      </c>
      <c r="M752" s="551" t="s">
        <v>50</v>
      </c>
      <c r="N752" s="549"/>
      <c r="O752" s="553"/>
      <c r="P752" s="595"/>
      <c r="Q752" s="551"/>
      <c r="R752" s="722"/>
      <c r="S752" s="551"/>
      <c r="T752" s="554"/>
    </row>
    <row r="753" spans="1:20" ht="14.25" hidden="1" customHeight="1">
      <c r="A753" s="225">
        <f>ROW()-1</f>
        <v>752</v>
      </c>
      <c r="B753" s="548">
        <v>46190</v>
      </c>
      <c r="C753" s="550" t="s">
        <v>2349</v>
      </c>
      <c r="D753" s="550" t="s">
        <v>2350</v>
      </c>
      <c r="E753" s="551" t="s">
        <v>214</v>
      </c>
      <c r="F753" s="551" t="s">
        <v>73</v>
      </c>
      <c r="G753" s="549" t="s">
        <v>2351</v>
      </c>
      <c r="H753" s="585">
        <v>8971112729</v>
      </c>
      <c r="I753" s="550"/>
      <c r="J753" s="584" t="s">
        <v>122</v>
      </c>
      <c r="K753" s="550" t="s">
        <v>2352</v>
      </c>
      <c r="L753" s="552" t="s">
        <v>49</v>
      </c>
      <c r="M753" s="551" t="s">
        <v>50</v>
      </c>
      <c r="N753" s="549"/>
      <c r="O753" s="553"/>
      <c r="P753" s="595"/>
      <c r="Q753" s="551"/>
      <c r="R753" s="722"/>
      <c r="S753" s="551"/>
      <c r="T753" s="554"/>
    </row>
    <row r="754" spans="1:20" ht="14.25" hidden="1" customHeight="1">
      <c r="A754" s="225">
        <f>ROW()-1</f>
        <v>753</v>
      </c>
      <c r="B754" s="548">
        <v>46190</v>
      </c>
      <c r="C754" s="549" t="s">
        <v>2353</v>
      </c>
      <c r="D754" s="555"/>
      <c r="E754" s="551" t="s">
        <v>22</v>
      </c>
      <c r="F754" s="551" t="s">
        <v>59</v>
      </c>
      <c r="G754" s="647" t="s">
        <v>2354</v>
      </c>
      <c r="H754" s="585"/>
      <c r="I754" s="550"/>
      <c r="J754" s="584" t="s">
        <v>1698</v>
      </c>
      <c r="K754" s="549"/>
      <c r="L754" s="552" t="s">
        <v>49</v>
      </c>
      <c r="M754" s="551"/>
      <c r="N754" s="549"/>
      <c r="O754" s="553"/>
      <c r="P754" s="595"/>
      <c r="Q754" s="551"/>
      <c r="R754" s="722"/>
      <c r="S754" s="551"/>
      <c r="T754" s="554"/>
    </row>
    <row r="755" spans="1:20" ht="14.25" hidden="1" customHeight="1">
      <c r="A755" s="225">
        <f>ROW()-1</f>
        <v>754</v>
      </c>
      <c r="B755" s="548">
        <v>46190</v>
      </c>
      <c r="C755" s="549" t="s">
        <v>1971</v>
      </c>
      <c r="D755" s="555" t="s">
        <v>192</v>
      </c>
      <c r="E755" s="551" t="s">
        <v>193</v>
      </c>
      <c r="F755" s="551" t="s">
        <v>44</v>
      </c>
      <c r="G755" s="549" t="s">
        <v>386</v>
      </c>
      <c r="H755" s="585">
        <v>9978140437</v>
      </c>
      <c r="I755" s="550"/>
      <c r="J755" s="584" t="s">
        <v>63</v>
      </c>
      <c r="K755" s="549" t="s">
        <v>1971</v>
      </c>
      <c r="L755" s="552" t="s">
        <v>49</v>
      </c>
      <c r="M755" s="551" t="s">
        <v>50</v>
      </c>
      <c r="N755" s="549"/>
      <c r="O755" s="553"/>
      <c r="P755" s="595"/>
      <c r="Q755" s="551"/>
      <c r="R755" s="722"/>
      <c r="S755" s="551"/>
      <c r="T755" s="554"/>
    </row>
    <row r="756" spans="1:20" ht="14.25" hidden="1" customHeight="1">
      <c r="A756" s="225">
        <f>ROW()-1</f>
        <v>755</v>
      </c>
      <c r="B756" s="548">
        <v>46190</v>
      </c>
      <c r="C756" s="550" t="s">
        <v>2355</v>
      </c>
      <c r="D756" s="550" t="s">
        <v>2356</v>
      </c>
      <c r="E756" s="551" t="s">
        <v>143</v>
      </c>
      <c r="F756" s="551" t="s">
        <v>44</v>
      </c>
      <c r="G756" s="549" t="s">
        <v>2357</v>
      </c>
      <c r="H756" s="585">
        <v>9548828031</v>
      </c>
      <c r="I756" s="550"/>
      <c r="J756" s="584" t="s">
        <v>1698</v>
      </c>
      <c r="K756" s="550" t="s">
        <v>1538</v>
      </c>
      <c r="L756" s="552" t="s">
        <v>49</v>
      </c>
      <c r="M756" s="551" t="s">
        <v>50</v>
      </c>
      <c r="N756" s="549"/>
      <c r="O756" s="553"/>
      <c r="P756" s="595"/>
      <c r="Q756" s="551"/>
      <c r="R756" s="722"/>
      <c r="S756" s="551"/>
      <c r="T756" s="554"/>
    </row>
    <row r="757" spans="1:20" ht="14.25" hidden="1" customHeight="1">
      <c r="A757" s="225">
        <f>ROW()-1</f>
        <v>756</v>
      </c>
      <c r="B757" s="548">
        <v>46190</v>
      </c>
      <c r="C757" s="550" t="s">
        <v>2358</v>
      </c>
      <c r="D757" s="550" t="s">
        <v>1107</v>
      </c>
      <c r="E757" s="551" t="s">
        <v>416</v>
      </c>
      <c r="F757" s="551" t="s">
        <v>73</v>
      </c>
      <c r="G757" s="549" t="s">
        <v>2359</v>
      </c>
      <c r="H757" s="585">
        <v>7576034826</v>
      </c>
      <c r="I757" s="550"/>
      <c r="J757" s="584" t="s">
        <v>122</v>
      </c>
      <c r="K757" s="550"/>
      <c r="L757" s="552" t="s">
        <v>49</v>
      </c>
      <c r="M757" s="551" t="s">
        <v>50</v>
      </c>
      <c r="N757" s="561"/>
      <c r="O757" s="553"/>
      <c r="P757" s="595"/>
      <c r="Q757" s="551"/>
      <c r="R757" s="722"/>
      <c r="S757" s="551"/>
      <c r="T757" s="554"/>
    </row>
    <row r="758" spans="1:20" ht="14.25" hidden="1" customHeight="1">
      <c r="A758" s="225">
        <f>ROW()-1</f>
        <v>757</v>
      </c>
      <c r="B758" s="548">
        <v>46190</v>
      </c>
      <c r="C758" s="549" t="s">
        <v>1707</v>
      </c>
      <c r="D758" s="555" t="s">
        <v>131</v>
      </c>
      <c r="E758" s="551" t="s">
        <v>22</v>
      </c>
      <c r="F758" s="551" t="s">
        <v>73</v>
      </c>
      <c r="G758" s="549" t="s">
        <v>2360</v>
      </c>
      <c r="H758" s="585"/>
      <c r="I758" s="565" t="s">
        <v>1871</v>
      </c>
      <c r="J758" s="584" t="s">
        <v>66</v>
      </c>
      <c r="K758" s="549" t="s">
        <v>2361</v>
      </c>
      <c r="L758" s="552" t="s">
        <v>49</v>
      </c>
      <c r="M758" s="551" t="s">
        <v>28</v>
      </c>
      <c r="N758" s="549" t="s">
        <v>2362</v>
      </c>
      <c r="O758" s="553">
        <v>46192</v>
      </c>
      <c r="P758" s="595">
        <v>17302200</v>
      </c>
      <c r="Q758" s="232" t="s">
        <v>70</v>
      </c>
      <c r="R758" s="722"/>
      <c r="S758" s="551"/>
      <c r="T758" s="554"/>
    </row>
    <row r="759" spans="1:20" ht="14.25" hidden="1" customHeight="1">
      <c r="A759" s="225">
        <f>ROW()-1</f>
        <v>758</v>
      </c>
      <c r="B759" s="548">
        <v>46190</v>
      </c>
      <c r="C759" s="550" t="s">
        <v>2363</v>
      </c>
      <c r="D759" s="550" t="s">
        <v>2364</v>
      </c>
      <c r="E759" s="551" t="s">
        <v>22</v>
      </c>
      <c r="F759" s="551" t="s">
        <v>73</v>
      </c>
      <c r="G759" s="549" t="s">
        <v>2320</v>
      </c>
      <c r="H759" s="585">
        <v>9164922922</v>
      </c>
      <c r="I759" s="254" t="s">
        <v>2365</v>
      </c>
      <c r="J759" s="584" t="s">
        <v>1698</v>
      </c>
      <c r="K759" s="550" t="s">
        <v>1977</v>
      </c>
      <c r="L759" s="552" t="s">
        <v>49</v>
      </c>
      <c r="M759" s="551" t="s">
        <v>50</v>
      </c>
      <c r="N759" s="549"/>
      <c r="O759" s="553"/>
      <c r="P759" s="595"/>
      <c r="Q759" s="236"/>
      <c r="R759" s="722"/>
      <c r="S759" s="551"/>
      <c r="T759" s="554"/>
    </row>
    <row r="760" spans="1:20" ht="14.25" hidden="1" customHeight="1">
      <c r="A760" s="225">
        <f>ROW()-1</f>
        <v>759</v>
      </c>
      <c r="B760" s="548">
        <v>46190</v>
      </c>
      <c r="C760" s="549" t="s">
        <v>2366</v>
      </c>
      <c r="D760" s="555" t="s">
        <v>131</v>
      </c>
      <c r="E760" s="551" t="s">
        <v>22</v>
      </c>
      <c r="F760" s="551" t="s">
        <v>32</v>
      </c>
      <c r="G760" s="549" t="s">
        <v>1389</v>
      </c>
      <c r="H760" s="585">
        <v>9158329530</v>
      </c>
      <c r="I760" s="550" t="s">
        <v>2367</v>
      </c>
      <c r="J760" s="584" t="s">
        <v>567</v>
      </c>
      <c r="K760" s="549" t="s">
        <v>2368</v>
      </c>
      <c r="L760" s="552" t="s">
        <v>49</v>
      </c>
      <c r="M760" s="552" t="s">
        <v>50</v>
      </c>
      <c r="N760" s="549"/>
      <c r="O760" s="553"/>
      <c r="P760" s="595"/>
      <c r="Q760" s="551"/>
      <c r="R760" s="722"/>
      <c r="S760" s="551"/>
      <c r="T760" s="554"/>
    </row>
    <row r="761" spans="1:20" ht="14.25" hidden="1" customHeight="1">
      <c r="A761" s="611">
        <f>ROW()-1</f>
        <v>760</v>
      </c>
      <c r="B761" s="608">
        <v>46190</v>
      </c>
      <c r="C761" s="534" t="s">
        <v>1981</v>
      </c>
      <c r="D761" s="535" t="s">
        <v>131</v>
      </c>
      <c r="E761" s="536" t="s">
        <v>22</v>
      </c>
      <c r="F761" s="536" t="s">
        <v>60</v>
      </c>
      <c r="G761" s="534" t="s">
        <v>2369</v>
      </c>
      <c r="H761" s="537">
        <v>8657222000</v>
      </c>
      <c r="I761" s="550" t="s">
        <v>2370</v>
      </c>
      <c r="J761" s="253" t="s">
        <v>66</v>
      </c>
      <c r="K761" s="534" t="s">
        <v>2371</v>
      </c>
      <c r="L761" s="552" t="s">
        <v>49</v>
      </c>
      <c r="M761" s="536" t="s">
        <v>40</v>
      </c>
      <c r="N761" s="534" t="s">
        <v>2372</v>
      </c>
      <c r="O761" s="538">
        <v>46192</v>
      </c>
      <c r="P761" s="595">
        <v>871509.45</v>
      </c>
      <c r="Q761" s="536"/>
      <c r="R761" s="539"/>
      <c r="S761" s="536"/>
      <c r="T761" s="554"/>
    </row>
    <row r="762" spans="1:20" ht="14.25" hidden="1" customHeight="1">
      <c r="A762" s="610">
        <f>ROW()-1</f>
        <v>761</v>
      </c>
      <c r="B762" s="548">
        <v>46190</v>
      </c>
      <c r="C762" s="549" t="s">
        <v>2373</v>
      </c>
      <c r="D762" s="555" t="s">
        <v>2374</v>
      </c>
      <c r="E762" s="551" t="s">
        <v>82</v>
      </c>
      <c r="F762" s="551" t="s">
        <v>73</v>
      </c>
      <c r="G762" s="549"/>
      <c r="H762" s="585"/>
      <c r="I762" s="550"/>
      <c r="J762" s="584" t="s">
        <v>66</v>
      </c>
      <c r="K762" s="549"/>
      <c r="L762" s="552" t="s">
        <v>49</v>
      </c>
      <c r="M762" s="551" t="s">
        <v>40</v>
      </c>
      <c r="N762" s="549" t="s">
        <v>1987</v>
      </c>
      <c r="O762" s="553">
        <v>46190</v>
      </c>
      <c r="P762" s="595">
        <v>54080</v>
      </c>
      <c r="Q762" s="551"/>
      <c r="R762" s="722"/>
      <c r="S762" s="551"/>
      <c r="T762" s="554"/>
    </row>
    <row r="763" spans="1:20" ht="14.25" hidden="1" customHeight="1">
      <c r="A763" s="225">
        <f>ROW()-1</f>
        <v>762</v>
      </c>
      <c r="B763" s="548">
        <v>46191</v>
      </c>
      <c r="C763" s="549" t="s">
        <v>2375</v>
      </c>
      <c r="D763" s="555" t="s">
        <v>131</v>
      </c>
      <c r="E763" s="551" t="s">
        <v>22</v>
      </c>
      <c r="F763" s="551" t="s">
        <v>60</v>
      </c>
      <c r="G763" s="549"/>
      <c r="H763" s="585"/>
      <c r="I763" s="550" t="s">
        <v>2376</v>
      </c>
      <c r="J763" s="584" t="s">
        <v>66</v>
      </c>
      <c r="K763" s="549"/>
      <c r="L763" s="552" t="s">
        <v>27</v>
      </c>
      <c r="M763" s="551" t="s">
        <v>77</v>
      </c>
      <c r="N763" s="549" t="s">
        <v>2377</v>
      </c>
      <c r="O763" s="553">
        <v>46192</v>
      </c>
      <c r="P763" s="595">
        <v>92000</v>
      </c>
      <c r="Q763" s="551"/>
      <c r="R763" s="722"/>
      <c r="S763" s="551"/>
      <c r="T763" s="554"/>
    </row>
    <row r="764" spans="1:20" ht="14.25" hidden="1" customHeight="1">
      <c r="A764" s="225">
        <f>ROW()-1</f>
        <v>763</v>
      </c>
      <c r="B764" s="548">
        <v>46191</v>
      </c>
      <c r="C764" s="550" t="s">
        <v>2378</v>
      </c>
      <c r="D764" s="550" t="s">
        <v>1989</v>
      </c>
      <c r="E764" s="551" t="s">
        <v>82</v>
      </c>
      <c r="F764" s="551" t="s">
        <v>73</v>
      </c>
      <c r="G764" s="549" t="s">
        <v>1295</v>
      </c>
      <c r="H764" s="585">
        <v>9344852385</v>
      </c>
      <c r="I764" s="550"/>
      <c r="J764" s="584" t="s">
        <v>567</v>
      </c>
      <c r="K764" s="550" t="s">
        <v>2379</v>
      </c>
      <c r="L764" s="552" t="s">
        <v>49</v>
      </c>
      <c r="M764" s="551" t="s">
        <v>50</v>
      </c>
      <c r="N764" s="549"/>
      <c r="O764" s="553"/>
      <c r="P764" s="595"/>
      <c r="Q764" s="551"/>
      <c r="R764" s="722"/>
      <c r="S764" s="551"/>
      <c r="T764" s="554"/>
    </row>
    <row r="765" spans="1:20" ht="14.25" hidden="1" customHeight="1">
      <c r="A765" s="225">
        <f>ROW()-1</f>
        <v>764</v>
      </c>
      <c r="B765" s="548">
        <v>46191</v>
      </c>
      <c r="C765" s="550" t="s">
        <v>2380</v>
      </c>
      <c r="D765" s="550" t="s">
        <v>2381</v>
      </c>
      <c r="E765" s="551" t="s">
        <v>22</v>
      </c>
      <c r="F765" s="551" t="s">
        <v>60</v>
      </c>
      <c r="G765" s="549" t="s">
        <v>2299</v>
      </c>
      <c r="H765" s="585">
        <v>7218883846</v>
      </c>
      <c r="I765" s="550" t="s">
        <v>2382</v>
      </c>
      <c r="J765" s="584" t="s">
        <v>122</v>
      </c>
      <c r="K765" s="550" t="s">
        <v>1994</v>
      </c>
      <c r="L765" s="552" t="s">
        <v>49</v>
      </c>
      <c r="M765" s="551" t="s">
        <v>40</v>
      </c>
      <c r="N765" s="549"/>
      <c r="O765" s="553"/>
      <c r="P765" s="595"/>
      <c r="Q765" s="551"/>
      <c r="R765" s="722"/>
      <c r="S765" s="551"/>
      <c r="T765" s="554"/>
    </row>
    <row r="766" spans="1:20" ht="14.25" hidden="1" customHeight="1">
      <c r="A766" s="610">
        <f>ROW()-1</f>
        <v>765</v>
      </c>
      <c r="B766" s="548">
        <v>46191</v>
      </c>
      <c r="C766" s="549" t="s">
        <v>2383</v>
      </c>
      <c r="D766" s="555"/>
      <c r="E766" s="551" t="s">
        <v>22</v>
      </c>
      <c r="F766" s="551" t="s">
        <v>60</v>
      </c>
      <c r="G766" s="549" t="s">
        <v>2384</v>
      </c>
      <c r="H766" s="585" t="s">
        <v>2385</v>
      </c>
      <c r="I766" s="656" t="s">
        <v>2386</v>
      </c>
      <c r="J766" s="584" t="s">
        <v>567</v>
      </c>
      <c r="K766" s="549" t="s">
        <v>2383</v>
      </c>
      <c r="L766" s="552" t="s">
        <v>49</v>
      </c>
      <c r="M766" s="551" t="s">
        <v>40</v>
      </c>
      <c r="N766" s="549"/>
      <c r="O766" s="553"/>
      <c r="P766" s="595"/>
      <c r="Q766" s="551"/>
      <c r="R766" s="722"/>
      <c r="S766" s="551"/>
      <c r="T766" s="554"/>
    </row>
    <row r="767" spans="1:20" ht="14.25" hidden="1" customHeight="1">
      <c r="A767" s="610">
        <f>ROW()-1</f>
        <v>766</v>
      </c>
      <c r="B767" s="548">
        <v>46191</v>
      </c>
      <c r="C767" s="549" t="s">
        <v>2387</v>
      </c>
      <c r="D767" s="555"/>
      <c r="E767" s="551" t="s">
        <v>22</v>
      </c>
      <c r="F767" s="551" t="s">
        <v>73</v>
      </c>
      <c r="G767" s="635" t="s">
        <v>2388</v>
      </c>
      <c r="H767" s="585" t="s">
        <v>2389</v>
      </c>
      <c r="I767" s="656" t="s">
        <v>2390</v>
      </c>
      <c r="J767" s="584" t="s">
        <v>122</v>
      </c>
      <c r="K767" s="549" t="s">
        <v>2391</v>
      </c>
      <c r="L767" s="552" t="s">
        <v>49</v>
      </c>
      <c r="M767" s="551" t="s">
        <v>50</v>
      </c>
      <c r="N767" s="549"/>
      <c r="O767" s="553"/>
      <c r="P767" s="595"/>
      <c r="Q767" s="551"/>
      <c r="R767" s="722"/>
      <c r="S767" s="551"/>
      <c r="T767" s="554"/>
    </row>
    <row r="768" spans="1:20" ht="14.25" hidden="1" customHeight="1">
      <c r="A768" s="225">
        <f>ROW()-1</f>
        <v>767</v>
      </c>
      <c r="B768" s="533">
        <v>46192</v>
      </c>
      <c r="C768" s="534" t="s">
        <v>874</v>
      </c>
      <c r="D768" s="535" t="s">
        <v>131</v>
      </c>
      <c r="E768" s="536" t="s">
        <v>22</v>
      </c>
      <c r="F768" s="536" t="s">
        <v>60</v>
      </c>
      <c r="G768" s="238"/>
      <c r="H768" s="537">
        <v>7887875020</v>
      </c>
      <c r="I768" s="550" t="s">
        <v>2392</v>
      </c>
      <c r="J768" s="253" t="s">
        <v>66</v>
      </c>
      <c r="K768" s="734" t="s">
        <v>876</v>
      </c>
      <c r="L768" s="552" t="s">
        <v>49</v>
      </c>
      <c r="M768" s="551" t="s">
        <v>28</v>
      </c>
      <c r="N768" s="549" t="s">
        <v>2393</v>
      </c>
      <c r="O768" s="553">
        <v>46193</v>
      </c>
      <c r="P768" s="595">
        <v>1382000</v>
      </c>
      <c r="Q768" s="551"/>
      <c r="R768" s="722"/>
      <c r="S768" s="551"/>
    </row>
    <row r="769" spans="1:19" ht="14.25" hidden="1" customHeight="1">
      <c r="A769" s="225">
        <f>ROW()-1</f>
        <v>768</v>
      </c>
      <c r="B769" s="533">
        <v>46192</v>
      </c>
      <c r="C769" s="534" t="s">
        <v>2394</v>
      </c>
      <c r="D769" s="535"/>
      <c r="E769" s="536" t="s">
        <v>22</v>
      </c>
      <c r="F769" s="536" t="s">
        <v>23</v>
      </c>
      <c r="G769" s="534"/>
      <c r="H769" s="537"/>
      <c r="I769" s="550"/>
      <c r="J769" s="253" t="s">
        <v>1698</v>
      </c>
      <c r="K769" s="561"/>
      <c r="L769" s="552" t="s">
        <v>49</v>
      </c>
      <c r="M769" s="551"/>
      <c r="N769" s="561"/>
      <c r="O769" s="553"/>
      <c r="P769" s="595"/>
      <c r="Q769" s="551"/>
      <c r="R769" s="722"/>
      <c r="S769" s="551"/>
    </row>
    <row r="770" spans="1:19" ht="14.25" hidden="1" customHeight="1">
      <c r="A770" s="225">
        <f>ROW()-1</f>
        <v>769</v>
      </c>
      <c r="B770" s="548">
        <v>46192</v>
      </c>
      <c r="C770" s="634" t="s">
        <v>1997</v>
      </c>
      <c r="D770" s="634" t="s">
        <v>2395</v>
      </c>
      <c r="E770" s="536" t="s">
        <v>22</v>
      </c>
      <c r="F770" s="536" t="s">
        <v>73</v>
      </c>
      <c r="G770" s="534" t="s">
        <v>2396</v>
      </c>
      <c r="H770" s="537">
        <v>9421314038</v>
      </c>
      <c r="I770" s="550" t="s">
        <v>2397</v>
      </c>
      <c r="J770" s="253" t="s">
        <v>1698</v>
      </c>
      <c r="K770" s="634" t="s">
        <v>2398</v>
      </c>
      <c r="L770" s="552" t="s">
        <v>49</v>
      </c>
      <c r="M770" s="536" t="s">
        <v>50</v>
      </c>
      <c r="N770" s="549"/>
      <c r="O770" s="553"/>
      <c r="P770" s="595"/>
      <c r="Q770" s="236"/>
      <c r="R770" s="722"/>
      <c r="S770" s="551"/>
    </row>
    <row r="771" spans="1:19" ht="14.25" hidden="1" customHeight="1">
      <c r="A771" s="225">
        <f>ROW()-1</f>
        <v>770</v>
      </c>
      <c r="B771" s="533">
        <v>46192</v>
      </c>
      <c r="C771" s="534" t="s">
        <v>2399</v>
      </c>
      <c r="D771" s="535" t="s">
        <v>1813</v>
      </c>
      <c r="E771" s="536"/>
      <c r="F771" s="573" t="s">
        <v>59</v>
      </c>
      <c r="G771" s="555" t="s">
        <v>2400</v>
      </c>
      <c r="H771" s="586"/>
      <c r="I771" s="550" t="s">
        <v>2401</v>
      </c>
      <c r="J771" s="253" t="s">
        <v>1624</v>
      </c>
      <c r="K771" s="534"/>
      <c r="L771" s="552" t="s">
        <v>49</v>
      </c>
      <c r="M771" s="551" t="s">
        <v>28</v>
      </c>
      <c r="N771" s="549"/>
      <c r="O771" s="553"/>
      <c r="P771" s="595"/>
      <c r="Q771" s="236"/>
      <c r="R771" s="722"/>
      <c r="S771" s="551"/>
    </row>
    <row r="772" spans="1:19" ht="14.25" hidden="1" customHeight="1">
      <c r="A772" s="225">
        <f>ROW()-1</f>
        <v>771</v>
      </c>
      <c r="B772" s="548">
        <v>46192</v>
      </c>
      <c r="C772" s="634" t="s">
        <v>1630</v>
      </c>
      <c r="D772" s="634" t="s">
        <v>2402</v>
      </c>
      <c r="E772" s="536" t="s">
        <v>22</v>
      </c>
      <c r="F772" s="573" t="s">
        <v>73</v>
      </c>
      <c r="G772" s="549" t="s">
        <v>2346</v>
      </c>
      <c r="H772" s="586">
        <v>8888677876</v>
      </c>
      <c r="I772" s="550" t="s">
        <v>1371</v>
      </c>
      <c r="J772" s="253" t="s">
        <v>1113</v>
      </c>
      <c r="K772" s="634" t="s">
        <v>2403</v>
      </c>
      <c r="L772" s="552" t="s">
        <v>49</v>
      </c>
      <c r="M772" s="551" t="s">
        <v>50</v>
      </c>
      <c r="N772" s="549"/>
      <c r="O772" s="553"/>
      <c r="P772" s="595"/>
      <c r="Q772" s="552"/>
      <c r="R772" s="722"/>
      <c r="S772" s="551"/>
    </row>
    <row r="773" spans="1:19" ht="14.25" hidden="1" customHeight="1">
      <c r="A773" s="225">
        <f>ROW()-1</f>
        <v>772</v>
      </c>
      <c r="B773" s="533">
        <v>46192</v>
      </c>
      <c r="C773" s="634" t="s">
        <v>2404</v>
      </c>
      <c r="D773" s="634" t="s">
        <v>1813</v>
      </c>
      <c r="E773" s="536" t="s">
        <v>22</v>
      </c>
      <c r="F773" s="573" t="s">
        <v>60</v>
      </c>
      <c r="G773" s="549" t="s">
        <v>1667</v>
      </c>
      <c r="H773" s="586">
        <v>9960610379</v>
      </c>
      <c r="I773" s="550"/>
      <c r="J773" s="253" t="s">
        <v>171</v>
      </c>
      <c r="K773" s="634" t="s">
        <v>2405</v>
      </c>
      <c r="L773" s="552" t="s">
        <v>49</v>
      </c>
      <c r="M773" s="551" t="s">
        <v>40</v>
      </c>
      <c r="N773" s="534"/>
      <c r="O773" s="538"/>
      <c r="P773" s="595"/>
      <c r="Q773" s="536"/>
      <c r="R773" s="539"/>
      <c r="S773" s="536"/>
    </row>
    <row r="774" spans="1:19" ht="14.25" hidden="1" customHeight="1">
      <c r="A774" s="225">
        <f>ROW()-1</f>
        <v>773</v>
      </c>
      <c r="B774" s="533">
        <v>46192</v>
      </c>
      <c r="C774" s="634" t="s">
        <v>2005</v>
      </c>
      <c r="D774" s="634" t="s">
        <v>2406</v>
      </c>
      <c r="E774" s="536" t="s">
        <v>22</v>
      </c>
      <c r="F774" s="536" t="s">
        <v>73</v>
      </c>
      <c r="G774" s="546" t="s">
        <v>2407</v>
      </c>
      <c r="H774" s="537">
        <v>9845815294</v>
      </c>
      <c r="I774" s="550" t="s">
        <v>2408</v>
      </c>
      <c r="J774" s="253" t="s">
        <v>1113</v>
      </c>
      <c r="K774" s="634" t="s">
        <v>2409</v>
      </c>
      <c r="L774" s="552" t="s">
        <v>49</v>
      </c>
      <c r="M774" s="551" t="s">
        <v>50</v>
      </c>
      <c r="N774" s="549"/>
      <c r="O774" s="553"/>
      <c r="P774" s="595"/>
      <c r="Q774" s="551"/>
      <c r="R774" s="722"/>
      <c r="S774" s="551"/>
    </row>
    <row r="775" spans="1:19" ht="14.25" hidden="1" customHeight="1">
      <c r="A775" s="225">
        <f>ROW()-1</f>
        <v>774</v>
      </c>
      <c r="B775" s="533">
        <v>46192</v>
      </c>
      <c r="C775" s="534" t="s">
        <v>2410</v>
      </c>
      <c r="D775" s="535" t="s">
        <v>1813</v>
      </c>
      <c r="E775" s="536" t="s">
        <v>22</v>
      </c>
      <c r="F775" s="536" t="s">
        <v>23</v>
      </c>
      <c r="G775" s="561" t="s">
        <v>2411</v>
      </c>
      <c r="H775" s="537">
        <v>9168119410</v>
      </c>
      <c r="I775" s="550" t="s">
        <v>2412</v>
      </c>
      <c r="J775" s="253" t="s">
        <v>1624</v>
      </c>
      <c r="K775" s="534" t="s">
        <v>2413</v>
      </c>
      <c r="L775" s="552" t="s">
        <v>49</v>
      </c>
      <c r="M775" s="536" t="s">
        <v>28</v>
      </c>
      <c r="N775" s="549" t="s">
        <v>2414</v>
      </c>
      <c r="O775" s="553">
        <v>46194</v>
      </c>
      <c r="P775" s="595">
        <v>4900000</v>
      </c>
      <c r="Q775" s="551" t="s">
        <v>70</v>
      </c>
      <c r="R775" s="722"/>
      <c r="S775" s="551"/>
    </row>
    <row r="776" spans="1:19" ht="14.25" hidden="1" customHeight="1">
      <c r="A776" s="225">
        <f>ROW()-1</f>
        <v>775</v>
      </c>
      <c r="B776" s="533">
        <v>46192</v>
      </c>
      <c r="C776" s="534" t="s">
        <v>2415</v>
      </c>
      <c r="D776" s="535"/>
      <c r="E776" s="536" t="s">
        <v>22</v>
      </c>
      <c r="F776" s="536" t="s">
        <v>23</v>
      </c>
      <c r="G776" s="534"/>
      <c r="H776" s="537">
        <v>8742986695</v>
      </c>
      <c r="I776" s="550"/>
      <c r="J776" s="253" t="s">
        <v>66</v>
      </c>
      <c r="K776" s="534"/>
      <c r="L776" s="552" t="s">
        <v>49</v>
      </c>
      <c r="M776" s="536" t="s">
        <v>50</v>
      </c>
      <c r="N776" s="549" t="s">
        <v>2011</v>
      </c>
      <c r="O776" s="553">
        <v>46195</v>
      </c>
      <c r="P776" s="595"/>
      <c r="Q776" s="551"/>
      <c r="R776" s="722"/>
      <c r="S776" s="551"/>
    </row>
    <row r="777" spans="1:19" ht="14.25" hidden="1" customHeight="1">
      <c r="A777" s="225">
        <f>ROW()-1</f>
        <v>776</v>
      </c>
      <c r="B777" s="533">
        <v>46192</v>
      </c>
      <c r="C777" s="634" t="s">
        <v>2416</v>
      </c>
      <c r="D777" s="634" t="s">
        <v>2417</v>
      </c>
      <c r="E777" s="536" t="s">
        <v>214</v>
      </c>
      <c r="F777" s="536" t="s">
        <v>23</v>
      </c>
      <c r="G777" s="534" t="s">
        <v>2303</v>
      </c>
      <c r="H777" s="537">
        <v>9341358055</v>
      </c>
      <c r="I777" s="550" t="s">
        <v>2418</v>
      </c>
      <c r="J777" s="253" t="s">
        <v>567</v>
      </c>
      <c r="K777" s="634" t="s">
        <v>2015</v>
      </c>
      <c r="L777" s="552" t="s">
        <v>49</v>
      </c>
      <c r="M777" s="536" t="s">
        <v>50</v>
      </c>
      <c r="N777" s="549"/>
      <c r="O777" s="553"/>
      <c r="P777" s="595"/>
      <c r="Q777" s="551"/>
      <c r="R777" s="722"/>
      <c r="S777" s="551"/>
    </row>
    <row r="778" spans="1:19" ht="14.25" hidden="1" customHeight="1">
      <c r="A778" s="611">
        <f>ROW()-1</f>
        <v>777</v>
      </c>
      <c r="B778" s="608">
        <v>46192</v>
      </c>
      <c r="C778" s="534" t="s">
        <v>1981</v>
      </c>
      <c r="D778" s="535" t="s">
        <v>1716</v>
      </c>
      <c r="E778" s="536" t="s">
        <v>22</v>
      </c>
      <c r="F778" s="536" t="s">
        <v>73</v>
      </c>
      <c r="G778" s="534" t="s">
        <v>2419</v>
      </c>
      <c r="H778" s="537"/>
      <c r="I778" s="550" t="s">
        <v>2370</v>
      </c>
      <c r="J778" s="253" t="s">
        <v>1624</v>
      </c>
      <c r="K778" s="534" t="s">
        <v>2371</v>
      </c>
      <c r="L778" s="552" t="s">
        <v>49</v>
      </c>
      <c r="M778" s="536" t="s">
        <v>28</v>
      </c>
      <c r="N778" s="549"/>
      <c r="O778" s="553"/>
      <c r="P778" s="595"/>
      <c r="Q778" s="551"/>
      <c r="R778" s="722"/>
      <c r="S778" s="551"/>
    </row>
    <row r="779" spans="1:19" ht="14.25" hidden="1" customHeight="1">
      <c r="A779" s="611">
        <f>ROW()-1</f>
        <v>778</v>
      </c>
      <c r="B779" s="608">
        <v>46192</v>
      </c>
      <c r="C779" s="634" t="s">
        <v>2420</v>
      </c>
      <c r="D779" s="634" t="s">
        <v>1813</v>
      </c>
      <c r="E779" s="536" t="s">
        <v>22</v>
      </c>
      <c r="F779" s="536" t="s">
        <v>23</v>
      </c>
      <c r="G779" s="534" t="s">
        <v>2303</v>
      </c>
      <c r="H779" s="537">
        <v>9665055045</v>
      </c>
      <c r="I779" s="550" t="s">
        <v>2421</v>
      </c>
      <c r="J779" s="253" t="s">
        <v>63</v>
      </c>
      <c r="K779" s="634" t="s">
        <v>2422</v>
      </c>
      <c r="L779" s="552" t="s">
        <v>49</v>
      </c>
      <c r="M779" s="536" t="s">
        <v>50</v>
      </c>
      <c r="N779" s="549"/>
      <c r="O779" s="553"/>
      <c r="P779" s="595"/>
      <c r="Q779" s="551"/>
      <c r="R779" s="722"/>
      <c r="S779" s="551"/>
    </row>
    <row r="780" spans="1:19" ht="14.25" hidden="1" customHeight="1">
      <c r="A780" s="225">
        <f>ROW()-1</f>
        <v>779</v>
      </c>
      <c r="B780" s="533">
        <v>46192</v>
      </c>
      <c r="C780" s="634" t="s">
        <v>2423</v>
      </c>
      <c r="D780" s="634" t="s">
        <v>2424</v>
      </c>
      <c r="E780" s="536" t="s">
        <v>22</v>
      </c>
      <c r="F780" s="536" t="s">
        <v>73</v>
      </c>
      <c r="G780" s="534" t="s">
        <v>2346</v>
      </c>
      <c r="H780" s="537">
        <v>9765160130</v>
      </c>
      <c r="I780" s="550" t="s">
        <v>2020</v>
      </c>
      <c r="J780" s="253" t="s">
        <v>567</v>
      </c>
      <c r="K780" s="634" t="s">
        <v>2425</v>
      </c>
      <c r="L780" s="552" t="s">
        <v>49</v>
      </c>
      <c r="M780" s="536" t="s">
        <v>50</v>
      </c>
      <c r="N780" s="549"/>
      <c r="O780" s="553"/>
      <c r="P780" s="595"/>
      <c r="Q780" s="551"/>
      <c r="R780" s="722"/>
      <c r="S780" s="551"/>
    </row>
    <row r="781" spans="1:19" ht="14.25" hidden="1" customHeight="1">
      <c r="A781" s="225">
        <f>ROW()-1</f>
        <v>780</v>
      </c>
      <c r="B781" s="533">
        <v>46192</v>
      </c>
      <c r="C781" s="534" t="s">
        <v>1970</v>
      </c>
      <c r="D781" s="535" t="s">
        <v>131</v>
      </c>
      <c r="E781" s="536" t="s">
        <v>22</v>
      </c>
      <c r="F781" s="536" t="s">
        <v>60</v>
      </c>
      <c r="G781" s="534"/>
      <c r="H781" s="537">
        <v>8087786772</v>
      </c>
      <c r="I781" s="550" t="s">
        <v>2426</v>
      </c>
      <c r="J781" s="253" t="s">
        <v>66</v>
      </c>
      <c r="K781" s="534" t="s">
        <v>2022</v>
      </c>
      <c r="L781" s="552" t="s">
        <v>49</v>
      </c>
      <c r="M781" s="536" t="s">
        <v>50</v>
      </c>
      <c r="N781" s="561" t="s">
        <v>2427</v>
      </c>
      <c r="O781" s="553">
        <v>46193</v>
      </c>
      <c r="P781" s="595">
        <v>182000</v>
      </c>
      <c r="Q781" s="551"/>
      <c r="R781" s="722"/>
      <c r="S781" s="551"/>
    </row>
    <row r="782" spans="1:19" ht="14.25" hidden="1" customHeight="1">
      <c r="A782" s="610">
        <f>ROW()-1</f>
        <v>781</v>
      </c>
      <c r="B782" s="533">
        <v>46192</v>
      </c>
      <c r="C782" s="534" t="s">
        <v>2428</v>
      </c>
      <c r="D782" s="535" t="s">
        <v>2429</v>
      </c>
      <c r="E782" s="536" t="s">
        <v>22</v>
      </c>
      <c r="F782" s="536" t="s">
        <v>32</v>
      </c>
      <c r="G782" s="534" t="s">
        <v>2430</v>
      </c>
      <c r="H782" s="537"/>
      <c r="I782" s="668" t="s">
        <v>2431</v>
      </c>
      <c r="J782" s="253" t="s">
        <v>66</v>
      </c>
      <c r="K782" s="534" t="s">
        <v>2026</v>
      </c>
      <c r="L782" s="552" t="s">
        <v>49</v>
      </c>
      <c r="M782" s="536" t="s">
        <v>40</v>
      </c>
      <c r="N782" s="549" t="s">
        <v>2432</v>
      </c>
      <c r="O782" s="553">
        <v>46192</v>
      </c>
      <c r="P782" s="595">
        <v>554000</v>
      </c>
      <c r="Q782" s="236"/>
      <c r="R782" s="722"/>
      <c r="S782" s="551"/>
    </row>
    <row r="783" spans="1:19" ht="14.25" hidden="1" customHeight="1">
      <c r="A783" s="610">
        <f>ROW()-1</f>
        <v>782</v>
      </c>
      <c r="B783" s="533">
        <v>46192</v>
      </c>
      <c r="C783" s="534" t="s">
        <v>2433</v>
      </c>
      <c r="D783" s="535" t="s">
        <v>131</v>
      </c>
      <c r="E783" s="536" t="s">
        <v>22</v>
      </c>
      <c r="F783" s="536" t="s">
        <v>23</v>
      </c>
      <c r="G783" s="534"/>
      <c r="H783" s="537"/>
      <c r="I783" s="670"/>
      <c r="J783" s="253" t="s">
        <v>66</v>
      </c>
      <c r="K783" s="534" t="s">
        <v>2434</v>
      </c>
      <c r="L783" s="552" t="s">
        <v>49</v>
      </c>
      <c r="M783" s="536" t="s">
        <v>40</v>
      </c>
      <c r="N783" s="549" t="s">
        <v>2028</v>
      </c>
      <c r="O783" s="553">
        <v>46192</v>
      </c>
      <c r="P783" s="595">
        <v>700000</v>
      </c>
      <c r="Q783" s="236"/>
      <c r="R783" s="722"/>
      <c r="S783" s="551"/>
    </row>
    <row r="784" spans="1:19" ht="14.25" hidden="1" customHeight="1">
      <c r="A784" s="610">
        <f>ROW()-1</f>
        <v>783</v>
      </c>
      <c r="B784" s="533">
        <v>46192</v>
      </c>
      <c r="C784" s="534" t="s">
        <v>2195</v>
      </c>
      <c r="D784" s="535" t="s">
        <v>198</v>
      </c>
      <c r="E784" s="536" t="s">
        <v>199</v>
      </c>
      <c r="F784" s="536" t="s">
        <v>83</v>
      </c>
      <c r="G784" s="534" t="s">
        <v>559</v>
      </c>
      <c r="H784" s="537" t="s">
        <v>2435</v>
      </c>
      <c r="I784" s="656"/>
      <c r="J784" s="253" t="s">
        <v>122</v>
      </c>
      <c r="K784" s="534" t="s">
        <v>2195</v>
      </c>
      <c r="L784" s="552" t="s">
        <v>49</v>
      </c>
      <c r="M784" s="536" t="s">
        <v>50</v>
      </c>
      <c r="N784" s="549"/>
      <c r="O784" s="553"/>
      <c r="P784" s="595"/>
      <c r="Q784" s="551"/>
      <c r="R784" s="722"/>
      <c r="S784" s="551"/>
    </row>
    <row r="785" spans="1:20" ht="14.25" hidden="1" customHeight="1">
      <c r="A785" s="610">
        <f>ROW()-1</f>
        <v>784</v>
      </c>
      <c r="B785" s="548">
        <v>46192</v>
      </c>
      <c r="C785" s="534" t="s">
        <v>2436</v>
      </c>
      <c r="D785" s="535" t="s">
        <v>2437</v>
      </c>
      <c r="E785" s="536" t="s">
        <v>162</v>
      </c>
      <c r="F785" s="536" t="s">
        <v>60</v>
      </c>
      <c r="G785" s="534" t="s">
        <v>2438</v>
      </c>
      <c r="H785" s="537" t="s">
        <v>2439</v>
      </c>
      <c r="I785" s="656" t="s">
        <v>2440</v>
      </c>
      <c r="J785" s="253" t="s">
        <v>122</v>
      </c>
      <c r="K785" s="534" t="s">
        <v>2441</v>
      </c>
      <c r="L785" s="552" t="s">
        <v>49</v>
      </c>
      <c r="M785" s="551" t="s">
        <v>40</v>
      </c>
      <c r="N785" s="534"/>
      <c r="O785" s="538"/>
      <c r="P785" s="595"/>
      <c r="Q785" s="536"/>
      <c r="R785" s="539"/>
      <c r="S785" s="536"/>
    </row>
    <row r="786" spans="1:20" ht="14.25" hidden="1" customHeight="1">
      <c r="A786" s="610">
        <f>ROW()-1</f>
        <v>785</v>
      </c>
      <c r="B786" s="548">
        <v>46192</v>
      </c>
      <c r="C786" s="534" t="s">
        <v>2442</v>
      </c>
      <c r="D786" s="535" t="s">
        <v>2443</v>
      </c>
      <c r="E786" s="536" t="s">
        <v>22</v>
      </c>
      <c r="F786" s="536" t="s">
        <v>60</v>
      </c>
      <c r="G786" s="534" t="s">
        <v>2444</v>
      </c>
      <c r="H786" s="537" t="s">
        <v>2445</v>
      </c>
      <c r="I786" s="656" t="s">
        <v>2446</v>
      </c>
      <c r="J786" s="253" t="s">
        <v>567</v>
      </c>
      <c r="K786" s="534" t="s">
        <v>2447</v>
      </c>
      <c r="L786" s="552" t="s">
        <v>49</v>
      </c>
      <c r="M786" s="551" t="s">
        <v>40</v>
      </c>
      <c r="N786" s="549"/>
      <c r="O786" s="553"/>
      <c r="P786" s="595"/>
      <c r="Q786" s="551"/>
      <c r="R786" s="722"/>
      <c r="S786" s="551"/>
    </row>
    <row r="787" spans="1:20" ht="14.25" hidden="1" customHeight="1">
      <c r="A787" s="225">
        <f>ROW()-1</f>
        <v>786</v>
      </c>
      <c r="B787" s="533">
        <v>46193</v>
      </c>
      <c r="C787" s="534" t="s">
        <v>2448</v>
      </c>
      <c r="D787" s="535" t="s">
        <v>293</v>
      </c>
      <c r="E787" s="536" t="s">
        <v>22</v>
      </c>
      <c r="F787" s="536" t="s">
        <v>83</v>
      </c>
      <c r="G787" s="534" t="s">
        <v>363</v>
      </c>
      <c r="H787" s="537">
        <v>9987822118</v>
      </c>
      <c r="I787" s="550" t="s">
        <v>2449</v>
      </c>
      <c r="J787" s="620" t="s">
        <v>1113</v>
      </c>
      <c r="K787" s="549" t="s">
        <v>2450</v>
      </c>
      <c r="L787" s="552" t="s">
        <v>49</v>
      </c>
      <c r="M787" s="551" t="s">
        <v>50</v>
      </c>
      <c r="N787" s="549"/>
      <c r="O787" s="553"/>
      <c r="P787" s="595"/>
      <c r="Q787" s="552"/>
      <c r="R787" s="722"/>
      <c r="S787" s="551"/>
    </row>
    <row r="788" spans="1:20" ht="14.25" hidden="1" customHeight="1">
      <c r="A788" s="611">
        <f>ROW()-1</f>
        <v>787</v>
      </c>
      <c r="B788" s="608">
        <v>46193</v>
      </c>
      <c r="C788" s="534" t="s">
        <v>2032</v>
      </c>
      <c r="D788" s="535" t="s">
        <v>1705</v>
      </c>
      <c r="E788" s="536" t="s">
        <v>1421</v>
      </c>
      <c r="F788" s="536" t="s">
        <v>60</v>
      </c>
      <c r="G788" s="534"/>
      <c r="H788" s="537">
        <v>9910480632</v>
      </c>
      <c r="I788" s="550" t="s">
        <v>2451</v>
      </c>
      <c r="J788" s="253" t="s">
        <v>122</v>
      </c>
      <c r="K788" s="561" t="s">
        <v>2452</v>
      </c>
      <c r="L788" s="552" t="s">
        <v>49</v>
      </c>
      <c r="M788" s="551" t="s">
        <v>40</v>
      </c>
      <c r="N788" s="549"/>
      <c r="O788" s="553"/>
      <c r="P788" s="595"/>
      <c r="Q788" s="551"/>
      <c r="R788" s="722"/>
      <c r="S788" s="551"/>
    </row>
    <row r="789" spans="1:20" ht="14.25" hidden="1" customHeight="1">
      <c r="A789" s="225">
        <f>ROW()-1</f>
        <v>788</v>
      </c>
      <c r="B789" s="548">
        <v>46193</v>
      </c>
      <c r="C789" s="534" t="s">
        <v>2453</v>
      </c>
      <c r="D789" s="535" t="s">
        <v>293</v>
      </c>
      <c r="E789" s="536" t="s">
        <v>22</v>
      </c>
      <c r="F789" s="536" t="s">
        <v>60</v>
      </c>
      <c r="G789" s="561" t="s">
        <v>1169</v>
      </c>
      <c r="H789" s="537">
        <v>8793149835</v>
      </c>
      <c r="I789" s="550" t="s">
        <v>2035</v>
      </c>
      <c r="J789" s="253" t="s">
        <v>567</v>
      </c>
      <c r="K789" s="534" t="s">
        <v>2454</v>
      </c>
      <c r="L789" s="552" t="s">
        <v>49</v>
      </c>
      <c r="M789" s="551" t="s">
        <v>40</v>
      </c>
      <c r="N789" s="549"/>
      <c r="O789" s="553"/>
      <c r="P789" s="595"/>
      <c r="Q789" s="551"/>
      <c r="R789" s="722"/>
      <c r="S789" s="551"/>
    </row>
    <row r="790" spans="1:20" ht="14.25" hidden="1" customHeight="1">
      <c r="A790" s="225">
        <f>ROW()-1</f>
        <v>789</v>
      </c>
      <c r="B790" s="533">
        <v>46193</v>
      </c>
      <c r="C790" s="534" t="s">
        <v>2037</v>
      </c>
      <c r="D790" s="535" t="s">
        <v>293</v>
      </c>
      <c r="E790" s="536" t="s">
        <v>22</v>
      </c>
      <c r="F790" s="536" t="s">
        <v>59</v>
      </c>
      <c r="G790" s="534" t="s">
        <v>2455</v>
      </c>
      <c r="H790" s="537">
        <v>8591130767</v>
      </c>
      <c r="I790" s="550" t="s">
        <v>2456</v>
      </c>
      <c r="J790" s="253" t="s">
        <v>63</v>
      </c>
      <c r="K790" s="534" t="s">
        <v>2457</v>
      </c>
      <c r="L790" s="552" t="s">
        <v>49</v>
      </c>
      <c r="M790" s="536" t="s">
        <v>50</v>
      </c>
      <c r="N790" s="549"/>
      <c r="O790" s="553"/>
      <c r="P790" s="595"/>
      <c r="Q790" s="551"/>
      <c r="R790" s="722"/>
      <c r="S790" s="551"/>
    </row>
    <row r="791" spans="1:20" ht="14.25" hidden="1" customHeight="1">
      <c r="A791" s="225">
        <f>ROW()-1</f>
        <v>790</v>
      </c>
      <c r="B791" s="533">
        <v>46193</v>
      </c>
      <c r="C791" s="534" t="s">
        <v>2458</v>
      </c>
      <c r="D791" s="535" t="s">
        <v>1564</v>
      </c>
      <c r="E791" s="536" t="s">
        <v>126</v>
      </c>
      <c r="F791" s="536" t="s">
        <v>60</v>
      </c>
      <c r="G791" s="534" t="s">
        <v>180</v>
      </c>
      <c r="H791" s="537">
        <v>7027040123</v>
      </c>
      <c r="I791" s="550" t="s">
        <v>2459</v>
      </c>
      <c r="J791" s="253" t="s">
        <v>122</v>
      </c>
      <c r="K791" s="534" t="s">
        <v>2460</v>
      </c>
      <c r="L791" s="552" t="s">
        <v>49</v>
      </c>
      <c r="M791" s="536" t="s">
        <v>40</v>
      </c>
      <c r="N791" s="549"/>
      <c r="O791" s="553"/>
      <c r="P791" s="595"/>
      <c r="Q791" s="551"/>
      <c r="R791" s="722"/>
      <c r="S791" s="551"/>
    </row>
    <row r="792" spans="1:20" ht="14.25" hidden="1" customHeight="1">
      <c r="A792" s="611">
        <f>ROW()-1</f>
        <v>791</v>
      </c>
      <c r="B792" s="471">
        <v>46193</v>
      </c>
      <c r="C792" s="633" t="s">
        <v>1707</v>
      </c>
      <c r="D792" s="535" t="s">
        <v>1152</v>
      </c>
      <c r="E792" s="551" t="s">
        <v>214</v>
      </c>
      <c r="F792" s="236" t="s">
        <v>23</v>
      </c>
      <c r="G792" s="732" t="s">
        <v>2461</v>
      </c>
      <c r="H792" s="237"/>
      <c r="I792" s="254" t="s">
        <v>2462</v>
      </c>
      <c r="J792" s="257" t="s">
        <v>66</v>
      </c>
      <c r="K792" s="238" t="s">
        <v>2463</v>
      </c>
      <c r="L792" s="552" t="s">
        <v>49</v>
      </c>
      <c r="M792" s="236" t="s">
        <v>28</v>
      </c>
      <c r="N792" s="549" t="s">
        <v>2464</v>
      </c>
      <c r="O792" s="553">
        <v>46193</v>
      </c>
      <c r="P792" s="595">
        <f>6877849+7303849</f>
        <v>14181698</v>
      </c>
      <c r="Q792" s="551" t="s">
        <v>70</v>
      </c>
      <c r="R792" s="722"/>
      <c r="S792" s="551"/>
      <c r="T792" s="732"/>
    </row>
    <row r="793" spans="1:20" ht="14.25" hidden="1" customHeight="1">
      <c r="A793" s="611">
        <f>ROW()-1</f>
        <v>792</v>
      </c>
      <c r="B793" s="471">
        <v>46193</v>
      </c>
      <c r="C793" s="238" t="s">
        <v>2465</v>
      </c>
      <c r="D793" s="535" t="s">
        <v>460</v>
      </c>
      <c r="E793" s="551" t="s">
        <v>82</v>
      </c>
      <c r="F793" s="236" t="s">
        <v>60</v>
      </c>
      <c r="G793" s="534" t="s">
        <v>1169</v>
      </c>
      <c r="H793" s="537">
        <v>9585322208</v>
      </c>
      <c r="I793" s="644" t="s">
        <v>2466</v>
      </c>
      <c r="J793" s="257" t="s">
        <v>567</v>
      </c>
      <c r="K793" s="238" t="s">
        <v>2465</v>
      </c>
      <c r="L793" s="552" t="s">
        <v>49</v>
      </c>
      <c r="M793" s="236" t="s">
        <v>40</v>
      </c>
      <c r="N793" s="561"/>
      <c r="O793" s="553"/>
      <c r="P793" s="595"/>
      <c r="Q793" s="551"/>
      <c r="R793" s="722"/>
      <c r="S793" s="551"/>
    </row>
    <row r="794" spans="1:20" ht="14.25" hidden="1" customHeight="1">
      <c r="A794" s="611">
        <f>ROW()-1</f>
        <v>793</v>
      </c>
      <c r="B794" s="608">
        <v>46193</v>
      </c>
      <c r="C794" s="534" t="s">
        <v>2046</v>
      </c>
      <c r="D794" s="535" t="s">
        <v>2467</v>
      </c>
      <c r="E794" s="536" t="s">
        <v>199</v>
      </c>
      <c r="F794" s="536" t="s">
        <v>60</v>
      </c>
      <c r="G794" s="534" t="s">
        <v>2468</v>
      </c>
      <c r="H794" s="537">
        <v>8307865750</v>
      </c>
      <c r="I794" s="644"/>
      <c r="J794" s="253" t="s">
        <v>63</v>
      </c>
      <c r="K794" s="534"/>
      <c r="L794" s="552" t="s">
        <v>49</v>
      </c>
      <c r="M794" s="536" t="s">
        <v>40</v>
      </c>
      <c r="N794" s="549"/>
      <c r="O794" s="553"/>
      <c r="P794" s="595"/>
      <c r="Q794" s="236"/>
      <c r="R794" s="722"/>
      <c r="S794" s="551"/>
    </row>
    <row r="795" spans="1:20" ht="14.25" hidden="1" customHeight="1">
      <c r="A795" s="611">
        <f>ROW()-1</f>
        <v>794</v>
      </c>
      <c r="B795" s="608">
        <v>46193</v>
      </c>
      <c r="C795" s="634" t="s">
        <v>2469</v>
      </c>
      <c r="D795" s="634" t="s">
        <v>1152</v>
      </c>
      <c r="E795" s="536" t="s">
        <v>214</v>
      </c>
      <c r="F795" s="536" t="s">
        <v>23</v>
      </c>
      <c r="G795" s="534" t="s">
        <v>1027</v>
      </c>
      <c r="H795" s="537">
        <v>9966575966</v>
      </c>
      <c r="I795" s="644"/>
      <c r="J795" s="253" t="s">
        <v>1113</v>
      </c>
      <c r="K795" s="634" t="s">
        <v>2470</v>
      </c>
      <c r="L795" s="552" t="s">
        <v>49</v>
      </c>
      <c r="M795" s="236" t="s">
        <v>50</v>
      </c>
      <c r="N795" s="549"/>
      <c r="O795" s="553"/>
      <c r="P795" s="595"/>
      <c r="Q795" s="236"/>
      <c r="R795" s="722"/>
      <c r="S795" s="551"/>
    </row>
    <row r="796" spans="1:20" ht="14.25" hidden="1" customHeight="1">
      <c r="A796" s="611">
        <f>ROW()-1</f>
        <v>795</v>
      </c>
      <c r="B796" s="608">
        <v>46193</v>
      </c>
      <c r="C796" s="534" t="s">
        <v>2050</v>
      </c>
      <c r="D796" s="535" t="s">
        <v>623</v>
      </c>
      <c r="E796" s="536" t="s">
        <v>193</v>
      </c>
      <c r="F796" s="536" t="s">
        <v>59</v>
      </c>
      <c r="G796" s="710" t="s">
        <v>2471</v>
      </c>
      <c r="H796" s="537">
        <v>8586983020</v>
      </c>
      <c r="I796" s="644" t="s">
        <v>2472</v>
      </c>
      <c r="J796" s="253" t="s">
        <v>1624</v>
      </c>
      <c r="K796" s="534" t="s">
        <v>2473</v>
      </c>
      <c r="L796" s="552" t="s">
        <v>49</v>
      </c>
      <c r="M796" s="236"/>
      <c r="N796" s="549"/>
      <c r="O796" s="553"/>
      <c r="P796" s="595"/>
      <c r="Q796" s="551"/>
      <c r="R796" s="722"/>
      <c r="S796" s="551"/>
    </row>
    <row r="797" spans="1:20" ht="14.25" hidden="1" customHeight="1">
      <c r="A797" s="611">
        <f>ROW()-1</f>
        <v>796</v>
      </c>
      <c r="B797" s="608">
        <v>46193</v>
      </c>
      <c r="C797" s="534" t="s">
        <v>2474</v>
      </c>
      <c r="D797" s="535" t="s">
        <v>582</v>
      </c>
      <c r="E797" s="536" t="s">
        <v>22</v>
      </c>
      <c r="F797" s="536" t="s">
        <v>73</v>
      </c>
      <c r="G797" s="534" t="s">
        <v>2475</v>
      </c>
      <c r="H797" s="537">
        <v>9325222532</v>
      </c>
      <c r="I797" s="550"/>
      <c r="J797" s="253" t="s">
        <v>66</v>
      </c>
      <c r="K797" s="534" t="s">
        <v>2054</v>
      </c>
      <c r="L797" s="552" t="s">
        <v>49</v>
      </c>
      <c r="M797" s="536" t="s">
        <v>50</v>
      </c>
      <c r="N797" s="534" t="s">
        <v>2476</v>
      </c>
      <c r="O797" s="538">
        <v>46194</v>
      </c>
      <c r="P797" s="595"/>
      <c r="Q797" s="536"/>
      <c r="R797" s="539"/>
      <c r="S797" s="536"/>
    </row>
    <row r="798" spans="1:20" ht="14.25" hidden="1" customHeight="1">
      <c r="A798" s="627">
        <f>ROW()-1</f>
        <v>797</v>
      </c>
      <c r="B798" s="608">
        <v>46193</v>
      </c>
      <c r="C798" s="534" t="s">
        <v>2477</v>
      </c>
      <c r="D798" s="535" t="s">
        <v>2478</v>
      </c>
      <c r="E798" s="536" t="s">
        <v>22</v>
      </c>
      <c r="F798" s="536" t="s">
        <v>32</v>
      </c>
      <c r="G798" s="534" t="s">
        <v>2479</v>
      </c>
      <c r="H798" s="537"/>
      <c r="I798" s="670" t="s">
        <v>2480</v>
      </c>
      <c r="J798" s="253" t="s">
        <v>66</v>
      </c>
      <c r="K798" s="634" t="s">
        <v>2481</v>
      </c>
      <c r="L798" s="552" t="s">
        <v>49</v>
      </c>
      <c r="M798" s="536" t="s">
        <v>28</v>
      </c>
      <c r="N798" s="549" t="s">
        <v>2059</v>
      </c>
      <c r="O798" s="553">
        <v>46195</v>
      </c>
      <c r="P798" s="595"/>
      <c r="Q798" s="551"/>
      <c r="R798" s="722"/>
      <c r="S798" s="551"/>
    </row>
    <row r="799" spans="1:20" ht="14.25" hidden="1" customHeight="1">
      <c r="A799" s="627">
        <f>ROW()-1</f>
        <v>798</v>
      </c>
      <c r="B799" s="608">
        <v>46193</v>
      </c>
      <c r="C799" s="534" t="s">
        <v>2482</v>
      </c>
      <c r="D799" s="535" t="s">
        <v>1455</v>
      </c>
      <c r="E799" s="536" t="s">
        <v>22</v>
      </c>
      <c r="F799" s="536" t="s">
        <v>1239</v>
      </c>
      <c r="G799" s="534"/>
      <c r="H799" s="537"/>
      <c r="I799" s="558"/>
      <c r="J799" s="253" t="s">
        <v>1624</v>
      </c>
      <c r="K799" s="534"/>
      <c r="L799" s="552" t="s">
        <v>49</v>
      </c>
      <c r="M799" s="536"/>
      <c r="N799" s="549"/>
      <c r="O799" s="553"/>
      <c r="P799" s="595"/>
      <c r="Q799" s="552"/>
      <c r="R799" s="722"/>
      <c r="S799" s="551"/>
    </row>
    <row r="800" spans="1:20" ht="14.25" hidden="1" customHeight="1">
      <c r="A800" s="627">
        <f>ROW()-1</f>
        <v>799</v>
      </c>
      <c r="B800" s="608">
        <v>46193</v>
      </c>
      <c r="C800" s="534" t="s">
        <v>2483</v>
      </c>
      <c r="D800" s="535"/>
      <c r="E800" s="536" t="s">
        <v>143</v>
      </c>
      <c r="F800" s="536" t="s">
        <v>60</v>
      </c>
      <c r="G800" s="534"/>
      <c r="H800" s="537"/>
      <c r="I800" s="558"/>
      <c r="J800" s="253" t="s">
        <v>66</v>
      </c>
      <c r="K800" s="534" t="s">
        <v>2484</v>
      </c>
      <c r="L800" s="552" t="s">
        <v>58</v>
      </c>
      <c r="M800" s="536" t="s">
        <v>50</v>
      </c>
      <c r="N800" s="549" t="s">
        <v>2485</v>
      </c>
      <c r="O800" s="553">
        <v>46195</v>
      </c>
      <c r="P800" s="595"/>
      <c r="Q800" s="551"/>
      <c r="R800" s="722"/>
      <c r="S800" s="551"/>
    </row>
    <row r="801" spans="1:19" ht="14.25" hidden="1" customHeight="1">
      <c r="A801" s="627">
        <f>ROW()-1</f>
        <v>800</v>
      </c>
      <c r="B801" s="608">
        <v>46193</v>
      </c>
      <c r="C801" s="534" t="s">
        <v>2448</v>
      </c>
      <c r="D801" s="535" t="s">
        <v>293</v>
      </c>
      <c r="E801" s="536" t="s">
        <v>22</v>
      </c>
      <c r="F801" s="536" t="s">
        <v>83</v>
      </c>
      <c r="G801" s="534" t="s">
        <v>363</v>
      </c>
      <c r="H801" s="537" t="s">
        <v>2486</v>
      </c>
      <c r="I801" s="656" t="s">
        <v>2449</v>
      </c>
      <c r="J801" s="253" t="s">
        <v>1113</v>
      </c>
      <c r="K801" s="534" t="s">
        <v>2450</v>
      </c>
      <c r="L801" s="552" t="s">
        <v>49</v>
      </c>
      <c r="M801" s="536" t="s">
        <v>50</v>
      </c>
      <c r="N801" s="549"/>
      <c r="O801" s="553"/>
      <c r="P801" s="595"/>
      <c r="Q801" s="551"/>
      <c r="R801" s="722"/>
      <c r="S801" s="551"/>
    </row>
    <row r="802" spans="1:19" ht="14.25" hidden="1" customHeight="1">
      <c r="A802" s="627">
        <f>ROW()-1</f>
        <v>801</v>
      </c>
      <c r="B802" s="608">
        <v>46193</v>
      </c>
      <c r="C802" s="534" t="s">
        <v>2487</v>
      </c>
      <c r="D802" s="535" t="s">
        <v>293</v>
      </c>
      <c r="E802" s="536" t="s">
        <v>22</v>
      </c>
      <c r="F802" s="536" t="s">
        <v>59</v>
      </c>
      <c r="G802" s="534" t="s">
        <v>2488</v>
      </c>
      <c r="H802" s="537" t="s">
        <v>2489</v>
      </c>
      <c r="I802" s="656" t="s">
        <v>2490</v>
      </c>
      <c r="J802" s="253" t="s">
        <v>122</v>
      </c>
      <c r="K802" s="534" t="s">
        <v>2491</v>
      </c>
      <c r="L802" s="552" t="s">
        <v>49</v>
      </c>
      <c r="M802" s="536" t="s">
        <v>50</v>
      </c>
      <c r="N802" s="549"/>
      <c r="O802" s="553"/>
      <c r="P802" s="595"/>
      <c r="Q802" s="551"/>
      <c r="R802" s="722"/>
      <c r="S802" s="551"/>
    </row>
    <row r="803" spans="1:19" ht="14.25" hidden="1" customHeight="1">
      <c r="A803" s="627">
        <f>ROW()-1</f>
        <v>802</v>
      </c>
      <c r="B803" s="608">
        <v>46193</v>
      </c>
      <c r="C803" s="534" t="s">
        <v>2037</v>
      </c>
      <c r="D803" s="535"/>
      <c r="E803" s="536"/>
      <c r="F803" s="536" t="s">
        <v>59</v>
      </c>
      <c r="G803" s="534" t="s">
        <v>2488</v>
      </c>
      <c r="H803" s="537" t="s">
        <v>2492</v>
      </c>
      <c r="I803" s="656" t="s">
        <v>2456</v>
      </c>
      <c r="J803" s="253" t="s">
        <v>63</v>
      </c>
      <c r="K803" s="535" t="s">
        <v>2457</v>
      </c>
      <c r="L803" s="552" t="s">
        <v>49</v>
      </c>
      <c r="M803" s="536" t="s">
        <v>50</v>
      </c>
      <c r="N803" s="549"/>
      <c r="O803" s="553"/>
      <c r="P803" s="595"/>
      <c r="Q803" s="551"/>
      <c r="R803" s="722"/>
      <c r="S803" s="551"/>
    </row>
    <row r="804" spans="1:19" ht="14.25" hidden="1" customHeight="1">
      <c r="A804" s="627">
        <f>ROW()-1</f>
        <v>803</v>
      </c>
      <c r="B804" s="608">
        <v>46193</v>
      </c>
      <c r="C804" s="534" t="s">
        <v>2493</v>
      </c>
      <c r="D804" s="535" t="s">
        <v>2494</v>
      </c>
      <c r="E804" s="536" t="s">
        <v>22</v>
      </c>
      <c r="F804" s="536" t="s">
        <v>23</v>
      </c>
      <c r="G804" s="534" t="s">
        <v>2495</v>
      </c>
      <c r="H804" s="537">
        <v>7387425737</v>
      </c>
      <c r="I804" s="656" t="s">
        <v>2496</v>
      </c>
      <c r="J804" s="253" t="s">
        <v>1698</v>
      </c>
      <c r="K804" s="634" t="s">
        <v>2497</v>
      </c>
      <c r="L804" s="552" t="s">
        <v>58</v>
      </c>
      <c r="M804" s="536" t="s">
        <v>50</v>
      </c>
      <c r="N804" s="549"/>
      <c r="O804" s="553"/>
      <c r="P804" s="595"/>
      <c r="Q804" s="551"/>
      <c r="R804" s="722"/>
      <c r="S804" s="551"/>
    </row>
    <row r="805" spans="1:19" ht="14.25" hidden="1" customHeight="1">
      <c r="A805" s="627">
        <f>ROW()-1</f>
        <v>804</v>
      </c>
      <c r="B805" s="608">
        <v>46194</v>
      </c>
      <c r="C805" s="535" t="s">
        <v>2498</v>
      </c>
      <c r="D805" s="535" t="s">
        <v>749</v>
      </c>
      <c r="E805" s="536" t="s">
        <v>214</v>
      </c>
      <c r="F805" s="536" t="s">
        <v>59</v>
      </c>
      <c r="G805" s="534" t="s">
        <v>45</v>
      </c>
      <c r="H805" s="537" t="s">
        <v>2499</v>
      </c>
      <c r="I805" s="656" t="s">
        <v>2500</v>
      </c>
      <c r="J805" s="253" t="s">
        <v>567</v>
      </c>
      <c r="K805" s="535" t="s">
        <v>2498</v>
      </c>
      <c r="L805" s="552" t="s">
        <v>49</v>
      </c>
      <c r="M805" s="536" t="s">
        <v>50</v>
      </c>
      <c r="N805" s="549"/>
      <c r="O805" s="553"/>
      <c r="P805" s="595"/>
      <c r="Q805" s="236"/>
      <c r="R805" s="722"/>
      <c r="S805" s="551"/>
    </row>
    <row r="806" spans="1:19" ht="14.25" hidden="1" customHeight="1">
      <c r="A806" s="627">
        <f>ROW()-1</f>
        <v>805</v>
      </c>
      <c r="B806" s="608">
        <v>46194</v>
      </c>
      <c r="C806" s="534" t="s">
        <v>2501</v>
      </c>
      <c r="D806" s="535" t="s">
        <v>2502</v>
      </c>
      <c r="E806" s="536" t="s">
        <v>22</v>
      </c>
      <c r="F806" s="536" t="s">
        <v>60</v>
      </c>
      <c r="G806" s="534" t="s">
        <v>482</v>
      </c>
      <c r="H806" s="537" t="s">
        <v>2503</v>
      </c>
      <c r="I806" s="656" t="s">
        <v>2504</v>
      </c>
      <c r="J806" s="253" t="s">
        <v>1698</v>
      </c>
      <c r="K806" s="535" t="s">
        <v>2505</v>
      </c>
      <c r="L806" s="552" t="s">
        <v>49</v>
      </c>
      <c r="M806" s="536" t="s">
        <v>40</v>
      </c>
      <c r="N806" s="534"/>
      <c r="O806" s="538"/>
      <c r="P806" s="595"/>
      <c r="Q806" s="536"/>
      <c r="R806" s="539"/>
      <c r="S806" s="536"/>
    </row>
    <row r="807" spans="1:19" ht="14.25" hidden="1" customHeight="1">
      <c r="A807" s="627">
        <f>ROW()-1</f>
        <v>806</v>
      </c>
      <c r="B807" s="608">
        <v>46194</v>
      </c>
      <c r="C807" s="534" t="s">
        <v>2506</v>
      </c>
      <c r="D807" s="535" t="s">
        <v>1395</v>
      </c>
      <c r="E807" s="536" t="s">
        <v>22</v>
      </c>
      <c r="F807" s="536" t="s">
        <v>60</v>
      </c>
      <c r="G807" s="534" t="s">
        <v>2507</v>
      </c>
      <c r="H807" s="537">
        <v>9820652159</v>
      </c>
      <c r="I807" s="656" t="s">
        <v>2508</v>
      </c>
      <c r="J807" s="253" t="s">
        <v>122</v>
      </c>
      <c r="K807" s="634" t="s">
        <v>2509</v>
      </c>
      <c r="L807" s="552" t="s">
        <v>58</v>
      </c>
      <c r="M807" s="536" t="s">
        <v>40</v>
      </c>
      <c r="N807" s="549"/>
      <c r="O807" s="553"/>
      <c r="P807" s="595"/>
      <c r="Q807" s="551"/>
      <c r="R807" s="722"/>
      <c r="S807" s="551"/>
    </row>
    <row r="808" spans="1:19" ht="14.25" hidden="1" customHeight="1">
      <c r="A808" s="627">
        <f>ROW()-1</f>
        <v>807</v>
      </c>
      <c r="B808" s="608">
        <v>46194</v>
      </c>
      <c r="C808" s="534" t="s">
        <v>2510</v>
      </c>
      <c r="D808" s="534" t="s">
        <v>2511</v>
      </c>
      <c r="E808" s="536" t="s">
        <v>22</v>
      </c>
      <c r="F808" s="536" t="s">
        <v>60</v>
      </c>
      <c r="G808" s="534" t="s">
        <v>2507</v>
      </c>
      <c r="H808" s="537">
        <v>8888979040</v>
      </c>
      <c r="I808" s="656" t="s">
        <v>2512</v>
      </c>
      <c r="J808" s="253" t="s">
        <v>63</v>
      </c>
      <c r="K808" s="634" t="s">
        <v>2513</v>
      </c>
      <c r="L808" s="552" t="s">
        <v>58</v>
      </c>
      <c r="M808" s="536" t="s">
        <v>40</v>
      </c>
      <c r="N808" s="549"/>
      <c r="O808" s="553"/>
      <c r="P808" s="595"/>
      <c r="Q808" s="552"/>
      <c r="R808" s="722"/>
      <c r="S808" s="551"/>
    </row>
    <row r="809" spans="1:19" ht="14.25" hidden="1" customHeight="1">
      <c r="A809" s="627">
        <f>ROW()-1</f>
        <v>808</v>
      </c>
      <c r="B809" s="608">
        <v>46194</v>
      </c>
      <c r="C809" s="534" t="s">
        <v>2514</v>
      </c>
      <c r="D809" s="534" t="s">
        <v>2515</v>
      </c>
      <c r="E809" s="536" t="s">
        <v>22</v>
      </c>
      <c r="F809" s="536" t="s">
        <v>60</v>
      </c>
      <c r="G809" s="534" t="s">
        <v>2516</v>
      </c>
      <c r="H809" s="537">
        <v>9890472277</v>
      </c>
      <c r="I809" s="656"/>
      <c r="J809" s="253" t="s">
        <v>1698</v>
      </c>
      <c r="K809" s="634" t="s">
        <v>2517</v>
      </c>
      <c r="L809" s="552" t="s">
        <v>58</v>
      </c>
      <c r="M809" s="536" t="s">
        <v>40</v>
      </c>
      <c r="N809" s="549"/>
      <c r="O809" s="553"/>
      <c r="P809" s="595"/>
      <c r="Q809" s="551"/>
      <c r="R809" s="722"/>
      <c r="S809" s="551"/>
    </row>
    <row r="810" spans="1:19" ht="14.25" hidden="1" customHeight="1">
      <c r="A810" s="627">
        <f>ROW()-1</f>
        <v>809</v>
      </c>
      <c r="B810" s="608">
        <v>46194</v>
      </c>
      <c r="C810" s="534" t="s">
        <v>2518</v>
      </c>
      <c r="D810" s="535" t="s">
        <v>2519</v>
      </c>
      <c r="E810" s="536" t="s">
        <v>22</v>
      </c>
      <c r="F810" s="536" t="s">
        <v>73</v>
      </c>
      <c r="G810" s="534" t="s">
        <v>2520</v>
      </c>
      <c r="H810" s="537">
        <v>7702027779</v>
      </c>
      <c r="I810" s="656" t="s">
        <v>2521</v>
      </c>
      <c r="J810" s="253" t="s">
        <v>63</v>
      </c>
      <c r="K810" s="634" t="s">
        <v>2522</v>
      </c>
      <c r="L810" s="552" t="s">
        <v>58</v>
      </c>
      <c r="M810" s="536" t="s">
        <v>50</v>
      </c>
      <c r="N810" s="549"/>
      <c r="O810" s="553"/>
      <c r="P810" s="595"/>
      <c r="Q810" s="551"/>
      <c r="R810" s="722"/>
      <c r="S810" s="551"/>
    </row>
    <row r="811" spans="1:19" ht="14.25" hidden="1" customHeight="1">
      <c r="A811" s="627">
        <f>ROW()-1</f>
        <v>810</v>
      </c>
      <c r="B811" s="608">
        <v>46194</v>
      </c>
      <c r="C811" s="534" t="s">
        <v>2523</v>
      </c>
      <c r="D811" s="535" t="s">
        <v>2524</v>
      </c>
      <c r="E811" s="536" t="s">
        <v>595</v>
      </c>
      <c r="F811" s="536" t="s">
        <v>73</v>
      </c>
      <c r="G811" s="534" t="s">
        <v>2525</v>
      </c>
      <c r="H811" s="537">
        <v>9665505763</v>
      </c>
      <c r="I811" s="656" t="s">
        <v>2526</v>
      </c>
      <c r="J811" s="253" t="s">
        <v>122</v>
      </c>
      <c r="K811" s="634" t="s">
        <v>2527</v>
      </c>
      <c r="L811" s="552" t="s">
        <v>58</v>
      </c>
      <c r="M811" s="536" t="s">
        <v>50</v>
      </c>
      <c r="N811" s="549"/>
      <c r="O811" s="553"/>
      <c r="P811" s="595"/>
      <c r="Q811" s="551"/>
      <c r="R811" s="722"/>
      <c r="S811" s="551"/>
    </row>
    <row r="812" spans="1:19" ht="14.25" hidden="1" customHeight="1">
      <c r="A812" s="627">
        <f>ROW()-1</f>
        <v>811</v>
      </c>
      <c r="B812" s="608">
        <v>46194</v>
      </c>
      <c r="C812" s="534" t="s">
        <v>2528</v>
      </c>
      <c r="D812" s="535" t="s">
        <v>2307</v>
      </c>
      <c r="E812" s="536" t="s">
        <v>22</v>
      </c>
      <c r="F812" s="536" t="s">
        <v>23</v>
      </c>
      <c r="G812" s="534" t="s">
        <v>2529</v>
      </c>
      <c r="H812" s="537">
        <v>8888944666</v>
      </c>
      <c r="I812" s="656" t="s">
        <v>2530</v>
      </c>
      <c r="J812" s="253" t="s">
        <v>567</v>
      </c>
      <c r="K812" s="634" t="s">
        <v>2531</v>
      </c>
      <c r="L812" s="552" t="s">
        <v>58</v>
      </c>
      <c r="M812" s="536" t="s">
        <v>50</v>
      </c>
      <c r="N812" s="549"/>
      <c r="O812" s="553"/>
      <c r="P812" s="595"/>
      <c r="Q812" s="551"/>
      <c r="R812" s="722"/>
      <c r="S812" s="551"/>
    </row>
    <row r="813" spans="1:19" ht="14.25" hidden="1" customHeight="1">
      <c r="A813" s="627">
        <f>ROW()-1</f>
        <v>812</v>
      </c>
      <c r="B813" s="608">
        <v>46194</v>
      </c>
      <c r="C813" s="534" t="s">
        <v>2532</v>
      </c>
      <c r="D813" s="535" t="s">
        <v>981</v>
      </c>
      <c r="E813" s="536" t="s">
        <v>205</v>
      </c>
      <c r="F813" s="573" t="s">
        <v>60</v>
      </c>
      <c r="G813" s="549" t="s">
        <v>2533</v>
      </c>
      <c r="H813" s="586">
        <v>8317362707</v>
      </c>
      <c r="I813" s="656" t="s">
        <v>2534</v>
      </c>
      <c r="J813" s="253" t="s">
        <v>1113</v>
      </c>
      <c r="K813" s="634" t="s">
        <v>2535</v>
      </c>
      <c r="L813" s="552" t="s">
        <v>58</v>
      </c>
      <c r="M813" s="536" t="s">
        <v>50</v>
      </c>
      <c r="N813" s="549"/>
      <c r="O813" s="553"/>
      <c r="P813" s="595"/>
      <c r="Q813" s="551"/>
      <c r="R813" s="722"/>
      <c r="S813" s="551"/>
    </row>
    <row r="814" spans="1:19" ht="14.25" hidden="1" customHeight="1">
      <c r="A814" s="627">
        <f>ROW()-1</f>
        <v>813</v>
      </c>
      <c r="B814" s="608">
        <v>46195</v>
      </c>
      <c r="C814" s="534" t="s">
        <v>350</v>
      </c>
      <c r="D814" s="535"/>
      <c r="E814" s="536" t="s">
        <v>22</v>
      </c>
      <c r="F814" s="573" t="s">
        <v>60</v>
      </c>
      <c r="G814" s="549" t="s">
        <v>2536</v>
      </c>
      <c r="H814" s="586">
        <v>9511818504</v>
      </c>
      <c r="I814" s="558" t="s">
        <v>1532</v>
      </c>
      <c r="J814" s="253" t="s">
        <v>66</v>
      </c>
      <c r="K814" s="534" t="s">
        <v>2537</v>
      </c>
      <c r="L814" s="552" t="s">
        <v>49</v>
      </c>
      <c r="M814" s="536" t="s">
        <v>28</v>
      </c>
      <c r="N814" s="561" t="s">
        <v>2011</v>
      </c>
      <c r="O814" s="553">
        <v>46195</v>
      </c>
      <c r="P814" s="595"/>
      <c r="Q814" s="551"/>
      <c r="R814" s="722"/>
      <c r="S814" s="551"/>
    </row>
    <row r="815" spans="1:19" ht="14.25" hidden="1" customHeight="1">
      <c r="A815" s="627">
        <f>ROW()-1</f>
        <v>814</v>
      </c>
      <c r="B815" s="608">
        <v>46195</v>
      </c>
      <c r="C815" s="534" t="s">
        <v>2538</v>
      </c>
      <c r="D815" s="535" t="s">
        <v>131</v>
      </c>
      <c r="E815" s="536" t="s">
        <v>22</v>
      </c>
      <c r="F815" s="573" t="s">
        <v>23</v>
      </c>
      <c r="G815" s="549" t="s">
        <v>777</v>
      </c>
      <c r="H815" s="586" t="s">
        <v>2539</v>
      </c>
      <c r="I815" s="656"/>
      <c r="J815" s="253" t="s">
        <v>122</v>
      </c>
      <c r="K815" s="535" t="s">
        <v>2540</v>
      </c>
      <c r="L815" s="552" t="s">
        <v>49</v>
      </c>
      <c r="M815" s="536" t="s">
        <v>50</v>
      </c>
      <c r="N815" s="549"/>
      <c r="O815" s="553"/>
      <c r="P815" s="595"/>
      <c r="Q815" s="236"/>
      <c r="R815" s="722"/>
      <c r="S815" s="551"/>
    </row>
    <row r="816" spans="1:19" ht="14.25" hidden="1" customHeight="1">
      <c r="A816" s="627">
        <f>ROW()-1</f>
        <v>815</v>
      </c>
      <c r="B816" s="608">
        <v>46195</v>
      </c>
      <c r="C816" s="534" t="s">
        <v>2541</v>
      </c>
      <c r="D816" s="535" t="s">
        <v>21</v>
      </c>
      <c r="E816" s="536" t="s">
        <v>22</v>
      </c>
      <c r="F816" s="573" t="s">
        <v>73</v>
      </c>
      <c r="G816" s="549" t="s">
        <v>2542</v>
      </c>
      <c r="H816" s="586" t="s">
        <v>2543</v>
      </c>
      <c r="I816" s="656" t="s">
        <v>2544</v>
      </c>
      <c r="J816" s="253" t="s">
        <v>567</v>
      </c>
      <c r="K816" s="535" t="s">
        <v>2545</v>
      </c>
      <c r="L816" s="552" t="s">
        <v>49</v>
      </c>
      <c r="M816" s="536" t="s">
        <v>50</v>
      </c>
      <c r="N816" s="549"/>
      <c r="O816" s="553"/>
      <c r="P816" s="595"/>
      <c r="Q816" s="236"/>
      <c r="R816" s="722"/>
      <c r="S816" s="551"/>
    </row>
    <row r="817" spans="1:19" ht="14.25" customHeight="1">
      <c r="A817" s="627">
        <f>ROW()-1</f>
        <v>816</v>
      </c>
      <c r="B817" s="608">
        <v>46195</v>
      </c>
      <c r="C817" s="534" t="s">
        <v>2546</v>
      </c>
      <c r="D817" s="535" t="s">
        <v>2547</v>
      </c>
      <c r="E817" s="536" t="s">
        <v>514</v>
      </c>
      <c r="F817" s="573" t="s">
        <v>59</v>
      </c>
      <c r="G817" s="549" t="s">
        <v>2488</v>
      </c>
      <c r="H817" s="586" t="s">
        <v>2548</v>
      </c>
      <c r="I817" s="656" t="s">
        <v>2549</v>
      </c>
      <c r="J817" s="253" t="s">
        <v>122</v>
      </c>
      <c r="K817" s="535" t="s">
        <v>2550</v>
      </c>
      <c r="L817" s="552" t="s">
        <v>49</v>
      </c>
      <c r="M817" s="536" t="s">
        <v>50</v>
      </c>
      <c r="N817" s="549"/>
      <c r="O817" s="553"/>
      <c r="P817" s="595"/>
      <c r="Q817" s="551"/>
      <c r="R817" s="722"/>
      <c r="S817" s="551"/>
    </row>
    <row r="818" spans="1:19" ht="14.25" hidden="1" customHeight="1">
      <c r="A818" s="627">
        <f>ROW()-1</f>
        <v>817</v>
      </c>
      <c r="B818" s="608">
        <v>46195</v>
      </c>
      <c r="C818" s="534" t="s">
        <v>2551</v>
      </c>
      <c r="D818" s="535" t="s">
        <v>655</v>
      </c>
      <c r="E818" s="536" t="s">
        <v>205</v>
      </c>
      <c r="F818" s="573" t="s">
        <v>83</v>
      </c>
      <c r="G818" s="549" t="s">
        <v>1415</v>
      </c>
      <c r="H818" s="586" t="s">
        <v>2552</v>
      </c>
      <c r="I818" s="656"/>
      <c r="J818" s="253" t="s">
        <v>1113</v>
      </c>
      <c r="K818" s="535" t="s">
        <v>2553</v>
      </c>
      <c r="L818" s="552" t="s">
        <v>49</v>
      </c>
      <c r="M818" s="536" t="s">
        <v>50</v>
      </c>
      <c r="N818" s="549"/>
      <c r="O818" s="553"/>
      <c r="P818" s="595"/>
      <c r="Q818" s="551"/>
      <c r="R818" s="722"/>
      <c r="S818" s="551"/>
    </row>
    <row r="819" spans="1:19" ht="14.25" hidden="1" customHeight="1">
      <c r="A819" s="627">
        <f>ROW()-1</f>
        <v>818</v>
      </c>
      <c r="B819" s="608">
        <v>46195</v>
      </c>
      <c r="C819" s="534" t="s">
        <v>2554</v>
      </c>
      <c r="D819" s="535" t="s">
        <v>177</v>
      </c>
      <c r="E819" s="536" t="s">
        <v>82</v>
      </c>
      <c r="F819" s="573" t="s">
        <v>32</v>
      </c>
      <c r="G819" s="549" t="s">
        <v>2555</v>
      </c>
      <c r="H819" s="586" t="s">
        <v>2556</v>
      </c>
      <c r="I819" s="656" t="s">
        <v>2557</v>
      </c>
      <c r="J819" s="253" t="s">
        <v>63</v>
      </c>
      <c r="K819" s="535" t="s">
        <v>2558</v>
      </c>
      <c r="L819" s="552" t="s">
        <v>49</v>
      </c>
      <c r="M819" s="536" t="s">
        <v>50</v>
      </c>
      <c r="N819" s="549"/>
      <c r="O819" s="553"/>
      <c r="P819" s="595"/>
      <c r="Q819" s="552"/>
      <c r="R819" s="722"/>
      <c r="S819" s="551"/>
    </row>
    <row r="820" spans="1:19" ht="14.25" hidden="1" customHeight="1">
      <c r="A820" s="627">
        <f>ROW()-1</f>
        <v>819</v>
      </c>
      <c r="B820" s="608">
        <v>46195</v>
      </c>
      <c r="C820" s="534" t="s">
        <v>2559</v>
      </c>
      <c r="D820" s="535" t="s">
        <v>2560</v>
      </c>
      <c r="E820" s="536" t="s">
        <v>143</v>
      </c>
      <c r="F820" s="573" t="s">
        <v>60</v>
      </c>
      <c r="G820" s="549" t="s">
        <v>2561</v>
      </c>
      <c r="H820" s="586" t="s">
        <v>2562</v>
      </c>
      <c r="I820" s="656"/>
      <c r="J820" s="253" t="s">
        <v>567</v>
      </c>
      <c r="K820" s="535" t="s">
        <v>2563</v>
      </c>
      <c r="L820" s="552" t="s">
        <v>49</v>
      </c>
      <c r="M820" s="536" t="s">
        <v>40</v>
      </c>
      <c r="N820" s="549"/>
      <c r="O820" s="553"/>
      <c r="P820" s="595"/>
      <c r="Q820" s="551"/>
      <c r="R820" s="722"/>
      <c r="S820" s="551"/>
    </row>
    <row r="821" spans="1:19" ht="14.25" hidden="1" customHeight="1">
      <c r="A821" s="627">
        <f>ROW()-1</f>
        <v>820</v>
      </c>
      <c r="B821" s="608">
        <v>46195</v>
      </c>
      <c r="C821" s="534" t="s">
        <v>2564</v>
      </c>
      <c r="D821" s="535" t="s">
        <v>131</v>
      </c>
      <c r="E821" s="536" t="s">
        <v>22</v>
      </c>
      <c r="F821" s="573" t="s">
        <v>73</v>
      </c>
      <c r="G821" s="549" t="s">
        <v>2565</v>
      </c>
      <c r="H821" s="586" t="s">
        <v>2566</v>
      </c>
      <c r="I821" s="656" t="s">
        <v>2567</v>
      </c>
      <c r="J821" s="253" t="s">
        <v>1698</v>
      </c>
      <c r="K821" s="733" t="s">
        <v>2568</v>
      </c>
      <c r="L821" s="552" t="s">
        <v>49</v>
      </c>
      <c r="M821" s="536" t="s">
        <v>50</v>
      </c>
      <c r="N821" s="549"/>
      <c r="O821" s="553"/>
      <c r="P821" s="595"/>
      <c r="Q821" s="551"/>
      <c r="R821" s="722"/>
      <c r="S821" s="551"/>
    </row>
    <row r="822" spans="1:19" ht="14.25" customHeight="1">
      <c r="A822" s="627">
        <f>ROW()-1</f>
        <v>821</v>
      </c>
      <c r="B822" s="608">
        <v>46195</v>
      </c>
      <c r="C822" s="534" t="s">
        <v>2569</v>
      </c>
      <c r="D822" s="535" t="s">
        <v>2570</v>
      </c>
      <c r="E822" s="536" t="s">
        <v>82</v>
      </c>
      <c r="F822" s="573" t="s">
        <v>23</v>
      </c>
      <c r="G822" s="549" t="s">
        <v>2571</v>
      </c>
      <c r="H822" s="586">
        <v>9043800424</v>
      </c>
      <c r="I822" s="656" t="s">
        <v>2572</v>
      </c>
      <c r="J822" s="253" t="s">
        <v>567</v>
      </c>
      <c r="K822" s="644" t="s">
        <v>2573</v>
      </c>
      <c r="L822" s="552" t="s">
        <v>58</v>
      </c>
      <c r="M822" s="536" t="s">
        <v>50</v>
      </c>
      <c r="N822" s="549"/>
      <c r="O822" s="553"/>
      <c r="P822" s="595"/>
      <c r="Q822" s="551"/>
      <c r="R822" s="722"/>
      <c r="S822" s="551"/>
    </row>
    <row r="823" spans="1:19" ht="14.25" customHeight="1">
      <c r="A823" s="627">
        <f>ROW()-1</f>
        <v>822</v>
      </c>
      <c r="B823" s="608">
        <v>46195</v>
      </c>
      <c r="C823" s="534" t="s">
        <v>2574</v>
      </c>
      <c r="D823" s="535" t="s">
        <v>2267</v>
      </c>
      <c r="E823" s="536" t="s">
        <v>205</v>
      </c>
      <c r="F823" s="573" t="s">
        <v>73</v>
      </c>
      <c r="G823" s="549" t="s">
        <v>2320</v>
      </c>
      <c r="H823" s="586">
        <v>8951336577</v>
      </c>
      <c r="I823" s="656" t="s">
        <v>2575</v>
      </c>
      <c r="J823" s="253" t="s">
        <v>1113</v>
      </c>
      <c r="K823" s="644" t="s">
        <v>2574</v>
      </c>
      <c r="L823" s="552" t="s">
        <v>58</v>
      </c>
      <c r="M823" s="536" t="s">
        <v>50</v>
      </c>
      <c r="N823" s="549"/>
      <c r="O823" s="553"/>
      <c r="P823" s="595"/>
      <c r="Q823" s="551"/>
      <c r="R823" s="722"/>
      <c r="S823" s="551"/>
    </row>
    <row r="824" spans="1:19" ht="14.25" customHeight="1">
      <c r="A824" s="627">
        <f>ROW()-1</f>
        <v>823</v>
      </c>
      <c r="B824" s="608">
        <v>46195</v>
      </c>
      <c r="C824" s="534" t="s">
        <v>2576</v>
      </c>
      <c r="D824" s="535" t="s">
        <v>2577</v>
      </c>
      <c r="E824" s="536" t="s">
        <v>22</v>
      </c>
      <c r="F824" s="573" t="s">
        <v>73</v>
      </c>
      <c r="G824" s="549" t="s">
        <v>2525</v>
      </c>
      <c r="H824" s="586">
        <v>9822078545</v>
      </c>
      <c r="I824" s="656" t="s">
        <v>2578</v>
      </c>
      <c r="J824" s="253" t="s">
        <v>1113</v>
      </c>
      <c r="K824" s="644" t="s">
        <v>2579</v>
      </c>
      <c r="L824" s="552" t="s">
        <v>58</v>
      </c>
      <c r="M824" s="536" t="s">
        <v>50</v>
      </c>
      <c r="N824" s="549"/>
      <c r="O824" s="553"/>
      <c r="P824" s="595"/>
      <c r="Q824" s="551"/>
      <c r="R824" s="722"/>
      <c r="S824" s="551"/>
    </row>
    <row r="825" spans="1:19" ht="14.25" hidden="1" customHeight="1">
      <c r="A825" s="627">
        <f>ROW()-1</f>
        <v>824</v>
      </c>
      <c r="B825" s="608">
        <v>46196</v>
      </c>
      <c r="C825" s="534" t="s">
        <v>2580</v>
      </c>
      <c r="D825" s="535" t="s">
        <v>52</v>
      </c>
      <c r="E825" s="536" t="s">
        <v>22</v>
      </c>
      <c r="F825" s="573" t="s">
        <v>59</v>
      </c>
      <c r="G825" s="549" t="s">
        <v>2581</v>
      </c>
      <c r="H825" s="586">
        <v>8080284242</v>
      </c>
      <c r="I825" s="656" t="s">
        <v>2582</v>
      </c>
      <c r="J825" s="253" t="s">
        <v>171</v>
      </c>
      <c r="K825" s="561" t="s">
        <v>2580</v>
      </c>
      <c r="L825" s="552" t="s">
        <v>49</v>
      </c>
      <c r="M825" s="536" t="s">
        <v>50</v>
      </c>
      <c r="N825" s="561"/>
      <c r="O825" s="553"/>
      <c r="P825" s="595"/>
      <c r="Q825" s="551"/>
      <c r="R825" s="722"/>
      <c r="S825" s="551"/>
    </row>
    <row r="826" spans="1:19" ht="14.25" hidden="1" customHeight="1">
      <c r="A826" s="627">
        <f>ROW()-1</f>
        <v>825</v>
      </c>
      <c r="B826" s="608">
        <v>46196</v>
      </c>
      <c r="C826" s="534" t="s">
        <v>2583</v>
      </c>
      <c r="D826" s="535" t="s">
        <v>2584</v>
      </c>
      <c r="E826" s="536" t="s">
        <v>82</v>
      </c>
      <c r="F826" s="573" t="s">
        <v>60</v>
      </c>
      <c r="G826" s="549" t="s">
        <v>2438</v>
      </c>
      <c r="H826" s="586">
        <v>9844969126</v>
      </c>
      <c r="I826" s="656"/>
      <c r="J826" s="253" t="s">
        <v>1698</v>
      </c>
      <c r="K826" s="561" t="s">
        <v>2585</v>
      </c>
      <c r="L826" s="552" t="s">
        <v>49</v>
      </c>
      <c r="M826" s="536" t="s">
        <v>40</v>
      </c>
      <c r="N826" s="549"/>
      <c r="O826" s="553"/>
      <c r="P826" s="595"/>
      <c r="Q826" s="236"/>
      <c r="R826" s="722"/>
      <c r="S826" s="551"/>
    </row>
    <row r="827" spans="1:19" ht="14.25" hidden="1" customHeight="1">
      <c r="A827" s="627">
        <f>ROW()-1</f>
        <v>826</v>
      </c>
      <c r="B827" s="608">
        <v>46196</v>
      </c>
      <c r="C827" s="534" t="s">
        <v>2586</v>
      </c>
      <c r="D827" s="535" t="s">
        <v>52</v>
      </c>
      <c r="E827" s="536" t="s">
        <v>22</v>
      </c>
      <c r="F827" s="573" t="s">
        <v>60</v>
      </c>
      <c r="G827" s="549" t="s">
        <v>2587</v>
      </c>
      <c r="H827" s="586">
        <v>8180056563</v>
      </c>
      <c r="I827" s="656" t="s">
        <v>2588</v>
      </c>
      <c r="J827" s="253" t="s">
        <v>567</v>
      </c>
      <c r="K827" s="561" t="s">
        <v>2589</v>
      </c>
      <c r="L827" s="552" t="s">
        <v>49</v>
      </c>
      <c r="M827" s="536" t="s">
        <v>40</v>
      </c>
      <c r="N827" s="549"/>
      <c r="O827" s="553"/>
      <c r="P827" s="595"/>
      <c r="Q827" s="236"/>
      <c r="R827" s="722"/>
      <c r="S827" s="551"/>
    </row>
    <row r="828" spans="1:19" ht="14.25" hidden="1" customHeight="1">
      <c r="A828" s="627">
        <f>ROW()-1</f>
        <v>827</v>
      </c>
      <c r="B828" s="608">
        <v>46196</v>
      </c>
      <c r="C828" s="534" t="s">
        <v>2590</v>
      </c>
      <c r="D828" s="535" t="s">
        <v>177</v>
      </c>
      <c r="E828" s="536" t="s">
        <v>82</v>
      </c>
      <c r="F828" s="573" t="s">
        <v>23</v>
      </c>
      <c r="G828" s="549" t="s">
        <v>777</v>
      </c>
      <c r="H828" s="586" t="s">
        <v>2591</v>
      </c>
      <c r="I828" s="656"/>
      <c r="J828" s="253" t="s">
        <v>122</v>
      </c>
      <c r="K828" s="561" t="s">
        <v>2590</v>
      </c>
      <c r="L828" s="552" t="s">
        <v>49</v>
      </c>
      <c r="M828" s="536" t="s">
        <v>50</v>
      </c>
      <c r="N828" s="549"/>
      <c r="O828" s="553"/>
      <c r="P828" s="595"/>
      <c r="Q828" s="551"/>
      <c r="R828" s="722"/>
      <c r="S828" s="551"/>
    </row>
    <row r="829" spans="1:19" ht="14.25" customHeight="1">
      <c r="A829" s="627">
        <f>ROW()-1</f>
        <v>828</v>
      </c>
      <c r="B829" s="608">
        <v>46196</v>
      </c>
      <c r="C829" s="534"/>
      <c r="D829" s="535" t="s">
        <v>2592</v>
      </c>
      <c r="E829" s="536" t="s">
        <v>82</v>
      </c>
      <c r="F829" s="573" t="s">
        <v>83</v>
      </c>
      <c r="G829" s="549" t="s">
        <v>852</v>
      </c>
      <c r="H829" s="586" t="s">
        <v>2593</v>
      </c>
      <c r="I829" s="656"/>
      <c r="J829" s="253" t="s">
        <v>567</v>
      </c>
      <c r="K829" s="733" t="s">
        <v>2594</v>
      </c>
      <c r="L829" s="552" t="s">
        <v>49</v>
      </c>
      <c r="M829" s="536" t="s">
        <v>50</v>
      </c>
      <c r="N829" s="534"/>
      <c r="O829" s="538"/>
      <c r="P829" s="595"/>
      <c r="Q829" s="536"/>
      <c r="R829" s="539"/>
      <c r="S829" s="536"/>
    </row>
    <row r="830" spans="1:19" ht="14.25" customHeight="1">
      <c r="A830" s="627">
        <f>ROW()-1</f>
        <v>829</v>
      </c>
      <c r="B830" s="608">
        <v>46196</v>
      </c>
      <c r="C830" s="534" t="s">
        <v>2595</v>
      </c>
      <c r="D830" s="535" t="s">
        <v>586</v>
      </c>
      <c r="E830" s="536" t="s">
        <v>22</v>
      </c>
      <c r="F830" s="573" t="s">
        <v>59</v>
      </c>
      <c r="G830" s="549" t="s">
        <v>2596</v>
      </c>
      <c r="H830" s="586" t="s">
        <v>2597</v>
      </c>
      <c r="I830" s="656" t="s">
        <v>2598</v>
      </c>
      <c r="J830" s="253" t="s">
        <v>567</v>
      </c>
      <c r="K830" s="733" t="s">
        <v>2599</v>
      </c>
      <c r="L830" s="552" t="s">
        <v>49</v>
      </c>
      <c r="M830" s="536" t="s">
        <v>50</v>
      </c>
      <c r="N830" s="549"/>
      <c r="O830" s="553"/>
      <c r="P830" s="595"/>
      <c r="Q830" s="551"/>
      <c r="R830" s="722"/>
      <c r="S830" s="551"/>
    </row>
    <row r="831" spans="1:19" ht="14.25" hidden="1" customHeight="1">
      <c r="A831" s="627">
        <f>ROW()-1</f>
        <v>830</v>
      </c>
      <c r="B831" s="608">
        <v>46196</v>
      </c>
      <c r="C831" s="534" t="s">
        <v>2600</v>
      </c>
      <c r="D831" s="535" t="s">
        <v>131</v>
      </c>
      <c r="E831" s="536" t="s">
        <v>22</v>
      </c>
      <c r="F831" s="573" t="s">
        <v>60</v>
      </c>
      <c r="G831" s="549" t="s">
        <v>2601</v>
      </c>
      <c r="H831" s="586" t="s">
        <v>2602</v>
      </c>
      <c r="I831" s="656" t="s">
        <v>2603</v>
      </c>
      <c r="J831" s="253" t="s">
        <v>567</v>
      </c>
      <c r="K831" s="733" t="s">
        <v>2604</v>
      </c>
      <c r="L831" s="552" t="s">
        <v>49</v>
      </c>
      <c r="M831" s="536" t="s">
        <v>40</v>
      </c>
      <c r="N831" s="549"/>
      <c r="O831" s="553"/>
      <c r="P831" s="595"/>
      <c r="Q831" s="551"/>
      <c r="R831" s="722"/>
      <c r="S831" s="551"/>
    </row>
    <row r="832" spans="1:19" ht="14.25" customHeight="1">
      <c r="A832" s="627">
        <f>ROW()-1</f>
        <v>831</v>
      </c>
      <c r="B832" s="608">
        <v>46196</v>
      </c>
      <c r="C832" s="534" t="s">
        <v>2605</v>
      </c>
      <c r="D832" s="535" t="s">
        <v>2406</v>
      </c>
      <c r="E832" s="536" t="s">
        <v>205</v>
      </c>
      <c r="F832" s="573" t="s">
        <v>73</v>
      </c>
      <c r="G832" s="549" t="s">
        <v>2606</v>
      </c>
      <c r="H832" s="586">
        <v>9448567398</v>
      </c>
      <c r="I832" s="656" t="s">
        <v>2607</v>
      </c>
      <c r="J832" s="253" t="s">
        <v>1624</v>
      </c>
      <c r="K832" s="644" t="s">
        <v>2608</v>
      </c>
      <c r="L832" s="552" t="s">
        <v>58</v>
      </c>
      <c r="M832" s="536" t="s">
        <v>50</v>
      </c>
      <c r="N832" s="549"/>
      <c r="O832" s="553"/>
      <c r="P832" s="595"/>
      <c r="Q832" s="551"/>
      <c r="R832" s="722"/>
      <c r="S832" s="551"/>
    </row>
    <row r="833" spans="1:19" ht="14.25" hidden="1" customHeight="1">
      <c r="A833" s="627">
        <f>ROW()-1</f>
        <v>832</v>
      </c>
      <c r="B833" s="608"/>
      <c r="C833" s="534"/>
      <c r="D833" s="535"/>
      <c r="E833" s="536"/>
      <c r="F833" s="536" t="s">
        <v>59</v>
      </c>
      <c r="G833" s="534" t="s">
        <v>2609</v>
      </c>
      <c r="H833" s="537"/>
      <c r="I833" s="664"/>
      <c r="J833" s="253"/>
      <c r="K833" s="735" t="s">
        <v>2610</v>
      </c>
      <c r="L833" s="536"/>
      <c r="M833" s="536"/>
      <c r="N833" s="534"/>
      <c r="O833" s="538"/>
      <c r="P833" s="736"/>
      <c r="Q833" s="536"/>
      <c r="R833" s="539"/>
      <c r="S833" s="536"/>
    </row>
    <row r="834" spans="1:19" ht="14.25" customHeight="1">
      <c r="A834" s="745"/>
      <c r="B834" s="746"/>
      <c r="D834" s="747"/>
      <c r="E834" s="745"/>
      <c r="F834" s="745"/>
      <c r="G834" s="4"/>
      <c r="H834" s="4"/>
      <c r="I834" s="5"/>
      <c r="J834" s="6"/>
      <c r="O834" s="3"/>
      <c r="P834" s="7"/>
      <c r="Q834" s="745"/>
      <c r="R834" s="748"/>
    </row>
    <row r="835" spans="1:19" ht="14.25" customHeight="1">
      <c r="A835" s="745"/>
      <c r="B835" s="746"/>
      <c r="D835" s="747"/>
      <c r="E835" s="745"/>
      <c r="F835" s="745"/>
      <c r="G835" s="4"/>
      <c r="H835" s="4"/>
      <c r="I835" s="5"/>
      <c r="J835" s="6"/>
      <c r="O835" s="3"/>
      <c r="P835" s="7"/>
      <c r="Q835" s="745"/>
      <c r="R835" s="748"/>
    </row>
    <row r="836" spans="1:19" ht="14.25" customHeight="1">
      <c r="A836" s="745"/>
      <c r="B836" s="749"/>
      <c r="H836" s="4"/>
      <c r="I836" s="5"/>
      <c r="J836" s="6"/>
      <c r="O836" s="3"/>
      <c r="P836" s="7"/>
      <c r="Q836" s="745"/>
      <c r="R836" s="748"/>
    </row>
    <row r="837" spans="1:19" ht="14.25" customHeight="1">
      <c r="A837" s="745"/>
      <c r="B837" s="749"/>
      <c r="H837" s="4"/>
      <c r="I837" s="5"/>
      <c r="J837" s="6"/>
      <c r="O837" s="3"/>
      <c r="P837" s="7"/>
      <c r="Q837" s="745"/>
      <c r="R837" s="748"/>
    </row>
    <row r="838" spans="1:19" ht="14.25" customHeight="1">
      <c r="A838" s="745"/>
      <c r="B838" s="749"/>
      <c r="H838" s="4"/>
      <c r="I838" s="5"/>
      <c r="J838" s="6"/>
      <c r="O838" s="3"/>
      <c r="P838" s="7"/>
      <c r="Q838" s="745"/>
      <c r="R838" s="748"/>
    </row>
    <row r="839" spans="1:19" ht="14.25" customHeight="1">
      <c r="A839" s="745"/>
      <c r="B839" s="749"/>
      <c r="H839" s="4"/>
      <c r="I839" s="5"/>
      <c r="J839" s="6"/>
      <c r="O839" s="3"/>
      <c r="P839" s="7"/>
      <c r="Q839" s="745"/>
      <c r="R839" s="748"/>
    </row>
    <row r="840" spans="1:19" ht="14.25" customHeight="1">
      <c r="A840" s="745"/>
      <c r="B840" s="749"/>
      <c r="H840" s="4"/>
      <c r="I840" s="5"/>
      <c r="J840" s="6"/>
      <c r="O840" s="3"/>
      <c r="P840" s="7"/>
      <c r="Q840" s="745"/>
      <c r="R840" s="748"/>
    </row>
    <row r="841" spans="1:19" ht="14.25" customHeight="1">
      <c r="A841" s="745"/>
      <c r="B841" s="749"/>
      <c r="H841" s="4"/>
      <c r="I841" s="5"/>
      <c r="J841" s="6"/>
      <c r="O841" s="3"/>
      <c r="P841" s="7"/>
      <c r="Q841" s="745"/>
      <c r="R841" s="748"/>
    </row>
    <row r="842" spans="1:19" ht="14.25" customHeight="1">
      <c r="A842" s="745"/>
      <c r="B842" s="749"/>
      <c r="H842" s="4"/>
      <c r="I842" s="5"/>
      <c r="J842" s="6"/>
      <c r="O842" s="3"/>
      <c r="P842" s="7"/>
      <c r="Q842" s="745"/>
      <c r="R842" s="748"/>
    </row>
    <row r="843" spans="1:19" ht="14.25" customHeight="1">
      <c r="A843" s="745"/>
      <c r="B843" s="749"/>
      <c r="H843" s="4"/>
      <c r="I843" s="5"/>
      <c r="J843" s="6"/>
      <c r="O843" s="3"/>
      <c r="P843" s="7"/>
      <c r="Q843" s="745"/>
      <c r="R843" s="748"/>
    </row>
    <row r="844" spans="1:19" ht="14.25" customHeight="1">
      <c r="A844" s="745"/>
      <c r="B844" s="749"/>
      <c r="H844" s="4"/>
      <c r="I844" s="5"/>
      <c r="J844" s="6"/>
      <c r="O844" s="3"/>
      <c r="P844" s="7"/>
      <c r="Q844" s="745"/>
      <c r="R844" s="748"/>
    </row>
    <row r="845" spans="1:19" ht="14.25" customHeight="1">
      <c r="A845" s="745"/>
      <c r="B845" s="749"/>
      <c r="H845" s="4"/>
      <c r="I845" s="5"/>
      <c r="J845" s="6"/>
      <c r="O845" s="3"/>
      <c r="P845" s="7"/>
      <c r="Q845" s="745"/>
      <c r="R845" s="748"/>
    </row>
    <row r="846" spans="1:19" ht="14.25" customHeight="1">
      <c r="A846" s="745"/>
      <c r="B846" s="749"/>
      <c r="H846" s="4"/>
      <c r="I846" s="5"/>
      <c r="J846" s="6"/>
      <c r="O846" s="3"/>
      <c r="P846" s="7"/>
      <c r="Q846" s="745"/>
      <c r="R846" s="748"/>
    </row>
    <row r="847" spans="1:19" ht="14.25" customHeight="1">
      <c r="A847" s="745"/>
      <c r="B847" s="749"/>
      <c r="H847" s="4"/>
      <c r="I847" s="5"/>
      <c r="J847" s="6"/>
      <c r="O847" s="3"/>
      <c r="P847" s="7"/>
      <c r="Q847" s="745"/>
      <c r="R847" s="748"/>
    </row>
    <row r="848" spans="1:19" ht="14.25" customHeight="1">
      <c r="A848" s="745"/>
      <c r="B848" s="749"/>
      <c r="H848" s="4"/>
      <c r="I848" s="5"/>
      <c r="J848" s="6"/>
      <c r="O848" s="3"/>
      <c r="P848" s="7"/>
      <c r="Q848" s="745"/>
      <c r="R848" s="748"/>
    </row>
    <row r="849" spans="1:18" ht="14.25" customHeight="1">
      <c r="A849" s="745"/>
      <c r="B849" s="746"/>
      <c r="D849" s="747"/>
      <c r="E849" s="745"/>
      <c r="F849" s="745"/>
      <c r="G849" s="4"/>
      <c r="H849" s="4"/>
      <c r="I849" s="5"/>
      <c r="J849" s="6"/>
      <c r="O849" s="3"/>
      <c r="P849" s="7"/>
      <c r="Q849" s="745"/>
      <c r="R849" s="748"/>
    </row>
    <row r="850" spans="1:18" ht="14.25" customHeight="1">
      <c r="A850" s="745"/>
      <c r="B850" s="746"/>
      <c r="D850" s="747"/>
      <c r="E850" s="745"/>
      <c r="F850" s="745"/>
      <c r="G850" s="4"/>
      <c r="H850" s="4"/>
      <c r="I850" s="5"/>
      <c r="J850" s="6"/>
      <c r="O850" s="3"/>
      <c r="P850" s="7"/>
      <c r="Q850" s="745"/>
      <c r="R850" s="748"/>
    </row>
    <row r="851" spans="1:18" ht="14.25" customHeight="1">
      <c r="A851" s="745"/>
      <c r="B851" s="746"/>
      <c r="D851" s="747"/>
      <c r="E851" s="745"/>
      <c r="F851" s="745"/>
      <c r="G851" s="4"/>
      <c r="H851" s="4"/>
      <c r="I851" s="5"/>
      <c r="J851" s="6"/>
      <c r="O851" s="3"/>
      <c r="P851" s="7"/>
      <c r="Q851" s="745"/>
      <c r="R851" s="748"/>
    </row>
    <row r="852" spans="1:18" ht="14.25" customHeight="1">
      <c r="A852" s="745"/>
      <c r="B852" s="746"/>
      <c r="D852" s="747"/>
      <c r="E852" s="745"/>
      <c r="F852" s="745"/>
      <c r="G852" s="4"/>
      <c r="H852" s="4"/>
      <c r="I852" s="5"/>
      <c r="J852" s="6"/>
      <c r="O852" s="3"/>
      <c r="P852" s="7"/>
      <c r="Q852" s="745"/>
      <c r="R852" s="748"/>
    </row>
    <row r="853" spans="1:18" ht="14.25" customHeight="1">
      <c r="A853" s="745"/>
      <c r="B853" s="746"/>
      <c r="D853" s="747"/>
      <c r="E853" s="745"/>
      <c r="F853" s="745"/>
      <c r="G853" s="4"/>
      <c r="H853" s="4"/>
      <c r="I853" s="5"/>
      <c r="J853" s="6"/>
      <c r="O853" s="3"/>
      <c r="P853" s="7"/>
      <c r="Q853" s="745"/>
      <c r="R853" s="748"/>
    </row>
    <row r="854" spans="1:18" ht="14.25" customHeight="1">
      <c r="A854" s="745"/>
      <c r="B854" s="746"/>
      <c r="D854" s="747"/>
      <c r="E854" s="745"/>
      <c r="F854" s="745"/>
      <c r="G854" s="4"/>
      <c r="H854" s="4"/>
      <c r="I854" s="5"/>
      <c r="J854" s="6"/>
      <c r="O854" s="3"/>
      <c r="P854" s="7"/>
      <c r="Q854" s="745"/>
      <c r="R854" s="748"/>
    </row>
    <row r="855" spans="1:18" ht="14.25" customHeight="1">
      <c r="A855" s="745"/>
      <c r="B855" s="746"/>
      <c r="D855" s="747"/>
      <c r="E855" s="745"/>
      <c r="F855" s="745"/>
      <c r="G855" s="4"/>
      <c r="H855" s="4"/>
      <c r="I855" s="5"/>
      <c r="J855" s="6"/>
      <c r="O855" s="3"/>
      <c r="P855" s="7"/>
      <c r="Q855" s="745"/>
      <c r="R855" s="748"/>
    </row>
    <row r="856" spans="1:18" ht="14.25" customHeight="1">
      <c r="A856" s="745"/>
      <c r="B856" s="746"/>
      <c r="D856" s="747"/>
      <c r="E856" s="745"/>
      <c r="F856" s="745"/>
      <c r="G856" s="4"/>
      <c r="H856" s="4"/>
      <c r="I856" s="5"/>
      <c r="J856" s="6"/>
      <c r="O856" s="3"/>
      <c r="P856" s="7"/>
      <c r="Q856" s="745"/>
      <c r="R856" s="748"/>
    </row>
    <row r="857" spans="1:18" ht="14.25" customHeight="1">
      <c r="A857" s="745"/>
      <c r="B857" s="746"/>
      <c r="D857" s="747"/>
      <c r="E857" s="745"/>
      <c r="F857" s="745"/>
      <c r="G857" s="4"/>
      <c r="H857" s="4"/>
      <c r="I857" s="5"/>
      <c r="J857" s="6"/>
      <c r="O857" s="3"/>
      <c r="P857" s="7"/>
      <c r="Q857" s="745"/>
      <c r="R857" s="748"/>
    </row>
    <row r="858" spans="1:18" ht="14.25" customHeight="1">
      <c r="A858" s="745"/>
      <c r="B858" s="746"/>
      <c r="D858" s="747"/>
      <c r="E858" s="745"/>
      <c r="F858" s="745"/>
      <c r="G858" s="4"/>
      <c r="H858" s="4"/>
      <c r="I858" s="5"/>
      <c r="J858" s="6"/>
      <c r="O858" s="3"/>
      <c r="P858" s="7"/>
      <c r="Q858" s="745"/>
      <c r="R858" s="748"/>
    </row>
    <row r="859" spans="1:18" ht="14.25" customHeight="1">
      <c r="A859" s="745"/>
      <c r="B859" s="746"/>
      <c r="D859" s="747"/>
      <c r="E859" s="745"/>
      <c r="F859" s="745"/>
      <c r="G859" s="4"/>
      <c r="H859" s="4"/>
      <c r="I859" s="5"/>
      <c r="J859" s="6"/>
      <c r="O859" s="3"/>
      <c r="P859" s="7"/>
      <c r="Q859" s="745"/>
      <c r="R859" s="748"/>
    </row>
    <row r="860" spans="1:18" ht="14.25" customHeight="1">
      <c r="A860" s="745"/>
      <c r="B860" s="746"/>
      <c r="D860" s="747"/>
      <c r="E860" s="745"/>
      <c r="F860" s="745"/>
      <c r="G860" s="4"/>
      <c r="H860" s="4"/>
      <c r="I860" s="5"/>
      <c r="J860" s="6"/>
      <c r="O860" s="3"/>
      <c r="P860" s="7"/>
      <c r="Q860" s="745"/>
      <c r="R860" s="748"/>
    </row>
    <row r="861" spans="1:18" ht="14.25" customHeight="1">
      <c r="A861" s="745"/>
      <c r="B861" s="746"/>
      <c r="D861" s="747"/>
      <c r="E861" s="745"/>
      <c r="F861" s="745"/>
      <c r="G861" s="4"/>
      <c r="H861" s="4"/>
      <c r="I861" s="5"/>
      <c r="J861" s="6"/>
      <c r="O861" s="3"/>
      <c r="P861" s="7"/>
      <c r="Q861" s="745"/>
      <c r="R861" s="748"/>
    </row>
    <row r="862" spans="1:18" ht="14.25" customHeight="1">
      <c r="A862" s="745"/>
      <c r="B862" s="746"/>
      <c r="D862" s="747"/>
      <c r="E862" s="745"/>
      <c r="F862" s="745"/>
      <c r="G862" s="4"/>
      <c r="H862" s="4"/>
      <c r="I862" s="5"/>
      <c r="J862" s="6"/>
      <c r="O862" s="3"/>
      <c r="P862" s="7"/>
      <c r="Q862" s="745"/>
      <c r="R862" s="748"/>
    </row>
    <row r="863" spans="1:18" ht="14.25" customHeight="1">
      <c r="A863" s="745"/>
      <c r="B863" s="746"/>
      <c r="D863" s="747"/>
      <c r="E863" s="745"/>
      <c r="F863" s="745"/>
      <c r="G863" s="4"/>
      <c r="H863" s="4"/>
      <c r="I863" s="5"/>
      <c r="J863" s="6"/>
      <c r="O863" s="3"/>
      <c r="P863" s="7"/>
      <c r="Q863" s="745"/>
      <c r="R863" s="748"/>
    </row>
    <row r="864" spans="1:18" ht="14.25" customHeight="1">
      <c r="A864" s="745"/>
      <c r="B864" s="746"/>
      <c r="D864" s="747"/>
      <c r="E864" s="745"/>
      <c r="F864" s="745"/>
      <c r="G864" s="4"/>
      <c r="H864" s="4"/>
      <c r="I864" s="5"/>
      <c r="J864" s="6"/>
      <c r="O864" s="3"/>
      <c r="P864" s="7"/>
      <c r="Q864" s="745"/>
      <c r="R864" s="748"/>
    </row>
    <row r="865" spans="1:18" ht="14.25" customHeight="1">
      <c r="A865" s="745"/>
      <c r="B865" s="746"/>
      <c r="D865" s="747"/>
      <c r="E865" s="745"/>
      <c r="F865" s="745"/>
      <c r="G865" s="4"/>
      <c r="H865" s="4"/>
      <c r="I865" s="5"/>
      <c r="J865" s="6"/>
      <c r="O865" s="3"/>
      <c r="P865" s="7"/>
      <c r="Q865" s="745"/>
      <c r="R865" s="748"/>
    </row>
    <row r="866" spans="1:18" ht="14.25" customHeight="1">
      <c r="A866" s="745"/>
      <c r="B866" s="746"/>
      <c r="D866" s="747"/>
      <c r="E866" s="745"/>
      <c r="F866" s="745"/>
      <c r="G866" s="4"/>
      <c r="H866" s="4"/>
      <c r="I866" s="5"/>
      <c r="J866" s="6"/>
      <c r="O866" s="3"/>
      <c r="P866" s="7"/>
      <c r="Q866" s="745"/>
      <c r="R866" s="748"/>
    </row>
    <row r="867" spans="1:18" ht="14.25" customHeight="1">
      <c r="A867" s="745"/>
      <c r="B867" s="746"/>
      <c r="D867" s="747"/>
      <c r="E867" s="745"/>
      <c r="F867" s="745"/>
      <c r="G867" s="4"/>
      <c r="H867" s="4"/>
      <c r="I867" s="5"/>
      <c r="J867" s="6"/>
      <c r="O867" s="3"/>
      <c r="P867" s="7"/>
      <c r="Q867" s="745"/>
      <c r="R867" s="748"/>
    </row>
    <row r="868" spans="1:18" ht="14.25" customHeight="1">
      <c r="A868" s="745"/>
      <c r="B868" s="746"/>
      <c r="D868" s="747"/>
      <c r="E868" s="745"/>
      <c r="F868" s="745"/>
      <c r="G868" s="4"/>
      <c r="H868" s="4"/>
      <c r="I868" s="5"/>
      <c r="J868" s="6"/>
      <c r="O868" s="3"/>
      <c r="P868" s="7"/>
      <c r="Q868" s="745"/>
      <c r="R868" s="748"/>
    </row>
    <row r="869" spans="1:18" ht="14.25" customHeight="1">
      <c r="A869" s="745"/>
      <c r="B869" s="746"/>
      <c r="D869" s="747"/>
      <c r="E869" s="745"/>
      <c r="F869" s="745"/>
      <c r="G869" s="4"/>
      <c r="H869" s="4"/>
      <c r="I869" s="5"/>
      <c r="J869" s="6"/>
      <c r="O869" s="3"/>
      <c r="P869" s="7"/>
      <c r="Q869" s="745"/>
      <c r="R869" s="748"/>
    </row>
    <row r="870" spans="1:18" ht="14.25" customHeight="1">
      <c r="A870" s="745"/>
      <c r="B870" s="746"/>
      <c r="D870" s="747"/>
      <c r="E870" s="745"/>
      <c r="F870" s="745"/>
      <c r="G870" s="4"/>
      <c r="H870" s="4"/>
      <c r="I870" s="5"/>
      <c r="J870" s="6"/>
      <c r="O870" s="3"/>
      <c r="P870" s="7"/>
      <c r="Q870" s="745"/>
      <c r="R870" s="748"/>
    </row>
    <row r="871" spans="1:18" ht="14.25" customHeight="1">
      <c r="A871" s="745"/>
      <c r="B871" s="746"/>
      <c r="D871" s="747"/>
      <c r="E871" s="745"/>
      <c r="F871" s="745"/>
      <c r="G871" s="4"/>
      <c r="H871" s="4"/>
      <c r="I871" s="5"/>
      <c r="J871" s="6"/>
      <c r="O871" s="3"/>
      <c r="P871" s="7"/>
      <c r="Q871" s="745"/>
      <c r="R871" s="748"/>
    </row>
    <row r="872" spans="1:18" ht="14.25" customHeight="1">
      <c r="A872" s="745"/>
      <c r="B872" s="746"/>
      <c r="D872" s="747"/>
      <c r="E872" s="745"/>
      <c r="F872" s="745"/>
      <c r="G872" s="4"/>
      <c r="H872" s="4"/>
      <c r="I872" s="5"/>
      <c r="J872" s="6"/>
      <c r="O872" s="3"/>
      <c r="P872" s="7"/>
      <c r="Q872" s="745"/>
      <c r="R872" s="748"/>
    </row>
    <row r="873" spans="1:18" ht="14.25" customHeight="1">
      <c r="A873" s="745"/>
      <c r="B873" s="746"/>
      <c r="D873" s="747"/>
      <c r="E873" s="745"/>
      <c r="F873" s="745"/>
      <c r="G873" s="4"/>
      <c r="H873" s="4"/>
      <c r="I873" s="5"/>
      <c r="J873" s="6"/>
      <c r="O873" s="3"/>
      <c r="P873" s="7"/>
      <c r="Q873" s="745"/>
      <c r="R873" s="748"/>
    </row>
    <row r="874" spans="1:18" ht="14.25" customHeight="1">
      <c r="A874" s="745"/>
      <c r="B874" s="746"/>
      <c r="D874" s="747"/>
      <c r="E874" s="745"/>
      <c r="F874" s="745"/>
      <c r="G874" s="4"/>
      <c r="H874" s="4"/>
      <c r="I874" s="5"/>
      <c r="J874" s="6"/>
      <c r="O874" s="3"/>
      <c r="P874" s="7"/>
      <c r="Q874" s="745"/>
      <c r="R874" s="748"/>
    </row>
    <row r="875" spans="1:18" ht="14.25" customHeight="1">
      <c r="A875" s="745"/>
      <c r="B875" s="746"/>
      <c r="D875" s="747"/>
      <c r="E875" s="745"/>
      <c r="F875" s="745"/>
      <c r="G875" s="4"/>
      <c r="H875" s="4"/>
      <c r="I875" s="5"/>
      <c r="J875" s="6"/>
      <c r="O875" s="3"/>
      <c r="P875" s="7"/>
      <c r="Q875" s="745"/>
      <c r="R875" s="748"/>
    </row>
    <row r="876" spans="1:18" ht="14.25" customHeight="1">
      <c r="A876" s="745"/>
      <c r="B876" s="746"/>
      <c r="D876" s="747"/>
      <c r="E876" s="745"/>
      <c r="F876" s="745"/>
      <c r="G876" s="4"/>
      <c r="H876" s="4"/>
      <c r="I876" s="5"/>
      <c r="J876" s="6"/>
      <c r="O876" s="3"/>
      <c r="P876" s="7"/>
      <c r="Q876" s="745"/>
      <c r="R876" s="748"/>
    </row>
    <row r="877" spans="1:18" ht="14.25" customHeight="1">
      <c r="A877" s="745"/>
      <c r="B877" s="746"/>
      <c r="D877" s="747"/>
      <c r="E877" s="745"/>
      <c r="F877" s="745"/>
      <c r="G877" s="4"/>
      <c r="H877" s="4"/>
      <c r="I877" s="5"/>
      <c r="J877" s="6"/>
      <c r="O877" s="3"/>
      <c r="P877" s="7"/>
      <c r="Q877" s="745"/>
      <c r="R877" s="748"/>
    </row>
    <row r="878" spans="1:18" ht="14.25" customHeight="1">
      <c r="A878" s="745"/>
      <c r="B878" s="746"/>
      <c r="D878" s="747"/>
      <c r="E878" s="745"/>
      <c r="F878" s="745"/>
      <c r="G878" s="4"/>
      <c r="H878" s="4"/>
      <c r="I878" s="5"/>
      <c r="J878" s="6"/>
      <c r="O878" s="3"/>
      <c r="P878" s="7"/>
      <c r="Q878" s="745"/>
      <c r="R878" s="748"/>
    </row>
    <row r="879" spans="1:18" ht="14.25" customHeight="1">
      <c r="A879" s="745"/>
      <c r="B879" s="746"/>
      <c r="D879" s="747"/>
      <c r="E879" s="745"/>
      <c r="F879" s="745"/>
      <c r="G879" s="4"/>
      <c r="H879" s="4"/>
      <c r="I879" s="5"/>
      <c r="J879" s="6"/>
      <c r="O879" s="3"/>
      <c r="P879" s="7"/>
      <c r="Q879" s="745"/>
      <c r="R879" s="748"/>
    </row>
    <row r="880" spans="1:18" ht="14.25" customHeight="1">
      <c r="A880" s="745"/>
      <c r="B880" s="746"/>
      <c r="D880" s="747"/>
      <c r="E880" s="745"/>
      <c r="F880" s="745"/>
      <c r="G880" s="4"/>
      <c r="H880" s="4"/>
      <c r="I880" s="5"/>
      <c r="J880" s="6"/>
      <c r="O880" s="3"/>
      <c r="P880" s="7"/>
      <c r="Q880" s="745"/>
      <c r="R880" s="748"/>
    </row>
    <row r="881" spans="1:18" ht="14.25" customHeight="1">
      <c r="A881" s="745"/>
      <c r="B881" s="746"/>
      <c r="D881" s="747"/>
      <c r="E881" s="745"/>
      <c r="F881" s="745"/>
      <c r="G881" s="4"/>
      <c r="H881" s="4"/>
      <c r="I881" s="5"/>
      <c r="J881" s="6"/>
      <c r="O881" s="3"/>
      <c r="P881" s="7"/>
      <c r="Q881" s="745"/>
      <c r="R881" s="748"/>
    </row>
    <row r="882" spans="1:18" ht="14.25" customHeight="1">
      <c r="A882" s="745"/>
      <c r="B882" s="746"/>
      <c r="D882" s="747"/>
      <c r="E882" s="745"/>
      <c r="F882" s="745"/>
      <c r="G882" s="4"/>
      <c r="H882" s="4"/>
      <c r="I882" s="5"/>
      <c r="J882" s="6"/>
      <c r="O882" s="3"/>
      <c r="P882" s="7"/>
      <c r="Q882" s="745"/>
      <c r="R882" s="748"/>
    </row>
    <row r="883" spans="1:18" ht="14.25" customHeight="1">
      <c r="A883" s="745"/>
      <c r="B883" s="746"/>
      <c r="D883" s="747"/>
      <c r="E883" s="745"/>
      <c r="F883" s="745"/>
      <c r="G883" s="4"/>
      <c r="H883" s="4"/>
      <c r="I883" s="5"/>
      <c r="J883" s="6"/>
      <c r="O883" s="3"/>
      <c r="P883" s="7"/>
      <c r="Q883" s="745"/>
      <c r="R883" s="748"/>
    </row>
    <row r="884" spans="1:18" ht="14.25" customHeight="1">
      <c r="A884" s="745"/>
      <c r="B884" s="746"/>
      <c r="D884" s="747"/>
      <c r="E884" s="745"/>
      <c r="F884" s="745"/>
      <c r="G884" s="4"/>
      <c r="H884" s="4"/>
      <c r="I884" s="5"/>
      <c r="J884" s="6"/>
      <c r="O884" s="3"/>
      <c r="P884" s="7"/>
      <c r="Q884" s="745"/>
      <c r="R884" s="748"/>
    </row>
    <row r="885" spans="1:18" ht="14.25" customHeight="1">
      <c r="A885" s="745"/>
      <c r="B885" s="746"/>
      <c r="D885" s="747"/>
      <c r="E885" s="745"/>
      <c r="F885" s="745"/>
      <c r="G885" s="4"/>
      <c r="H885" s="4"/>
      <c r="I885" s="5"/>
      <c r="J885" s="6"/>
      <c r="O885" s="3"/>
      <c r="P885" s="7"/>
      <c r="Q885" s="745"/>
      <c r="R885" s="748"/>
    </row>
    <row r="886" spans="1:18" ht="14.25" customHeight="1">
      <c r="A886" s="745"/>
      <c r="B886" s="746"/>
      <c r="D886" s="747"/>
      <c r="E886" s="745"/>
      <c r="F886" s="745"/>
      <c r="G886" s="4"/>
      <c r="H886" s="4"/>
      <c r="I886" s="5"/>
      <c r="J886" s="6"/>
      <c r="O886" s="3"/>
      <c r="P886" s="7"/>
      <c r="Q886" s="745"/>
      <c r="R886" s="748"/>
    </row>
    <row r="887" spans="1:18" ht="14.25" customHeight="1">
      <c r="A887" s="745"/>
      <c r="B887" s="746"/>
      <c r="D887" s="747"/>
      <c r="E887" s="745"/>
      <c r="F887" s="745"/>
      <c r="G887" s="4"/>
      <c r="H887" s="4"/>
      <c r="I887" s="5"/>
      <c r="J887" s="6"/>
      <c r="O887" s="3"/>
      <c r="P887" s="7"/>
      <c r="Q887" s="745"/>
      <c r="R887" s="748"/>
    </row>
    <row r="888" spans="1:18" ht="14.25" customHeight="1">
      <c r="A888" s="745"/>
      <c r="B888" s="746"/>
      <c r="D888" s="747"/>
      <c r="E888" s="745"/>
      <c r="F888" s="745"/>
      <c r="G888" s="4"/>
      <c r="H888" s="4"/>
      <c r="I888" s="5"/>
      <c r="J888" s="6"/>
      <c r="O888" s="3"/>
      <c r="P888" s="7"/>
      <c r="Q888" s="745"/>
      <c r="R888" s="748"/>
    </row>
    <row r="889" spans="1:18" ht="14.25" customHeight="1">
      <c r="A889" s="745"/>
      <c r="B889" s="746"/>
      <c r="D889" s="747"/>
      <c r="E889" s="745"/>
      <c r="F889" s="745"/>
      <c r="G889" s="4"/>
      <c r="H889" s="4"/>
      <c r="I889" s="5"/>
      <c r="J889" s="6"/>
      <c r="O889" s="3"/>
      <c r="P889" s="7"/>
      <c r="Q889" s="745"/>
      <c r="R889" s="748"/>
    </row>
    <row r="890" spans="1:18" ht="14.25" customHeight="1">
      <c r="A890" s="745"/>
      <c r="B890" s="746"/>
      <c r="D890" s="747"/>
      <c r="E890" s="745"/>
      <c r="F890" s="745"/>
      <c r="G890" s="4"/>
      <c r="H890" s="4"/>
      <c r="I890" s="5"/>
      <c r="J890" s="6"/>
      <c r="O890" s="3"/>
      <c r="P890" s="7"/>
      <c r="Q890" s="745"/>
      <c r="R890" s="748"/>
    </row>
    <row r="891" spans="1:18" ht="14.25" customHeight="1">
      <c r="A891" s="745"/>
      <c r="B891" s="746"/>
      <c r="D891" s="747"/>
      <c r="E891" s="745"/>
      <c r="F891" s="745"/>
      <c r="G891" s="4"/>
      <c r="H891" s="4"/>
      <c r="I891" s="5"/>
      <c r="J891" s="6"/>
      <c r="O891" s="3"/>
      <c r="P891" s="7"/>
      <c r="Q891" s="745"/>
      <c r="R891" s="748"/>
    </row>
    <row r="892" spans="1:18" ht="14.25" customHeight="1">
      <c r="A892" s="745"/>
      <c r="B892" s="746"/>
      <c r="D892" s="747"/>
      <c r="E892" s="745"/>
      <c r="F892" s="745"/>
      <c r="G892" s="4"/>
      <c r="H892" s="4"/>
      <c r="I892" s="5"/>
      <c r="J892" s="6"/>
      <c r="O892" s="3"/>
      <c r="P892" s="7"/>
      <c r="Q892" s="745"/>
      <c r="R892" s="748"/>
    </row>
    <row r="893" spans="1:18" ht="14.25" customHeight="1">
      <c r="A893" s="745"/>
      <c r="B893" s="746"/>
      <c r="D893" s="747"/>
      <c r="E893" s="745"/>
      <c r="F893" s="745"/>
      <c r="G893" s="4"/>
      <c r="H893" s="4"/>
      <c r="I893" s="5"/>
      <c r="J893" s="6"/>
      <c r="O893" s="3"/>
      <c r="P893" s="7"/>
      <c r="Q893" s="745"/>
      <c r="R893" s="748"/>
    </row>
    <row r="894" spans="1:18" ht="14.25" customHeight="1">
      <c r="A894" s="745"/>
      <c r="B894" s="746"/>
      <c r="D894" s="747"/>
      <c r="E894" s="745"/>
      <c r="F894" s="745"/>
      <c r="G894" s="4"/>
      <c r="H894" s="4"/>
      <c r="I894" s="5"/>
      <c r="J894" s="6"/>
      <c r="O894" s="3"/>
      <c r="P894" s="7"/>
      <c r="Q894" s="745"/>
      <c r="R894" s="748"/>
    </row>
    <row r="895" spans="1:18" ht="14.25" customHeight="1">
      <c r="A895" s="745"/>
      <c r="B895" s="746"/>
      <c r="D895" s="747"/>
      <c r="E895" s="745"/>
      <c r="F895" s="745"/>
      <c r="G895" s="4"/>
      <c r="H895" s="4"/>
      <c r="I895" s="5"/>
      <c r="J895" s="6"/>
      <c r="O895" s="3"/>
      <c r="P895" s="7"/>
      <c r="Q895" s="745"/>
      <c r="R895" s="748"/>
    </row>
    <row r="896" spans="1:18" ht="14.25" customHeight="1">
      <c r="A896" s="745"/>
      <c r="B896" s="746"/>
      <c r="D896" s="747"/>
      <c r="E896" s="745"/>
      <c r="F896" s="745"/>
      <c r="G896" s="4"/>
      <c r="H896" s="4"/>
      <c r="I896" s="5"/>
      <c r="J896" s="6"/>
      <c r="O896" s="3"/>
      <c r="P896" s="7"/>
      <c r="Q896" s="745"/>
      <c r="R896" s="748"/>
    </row>
    <row r="897" spans="1:18" ht="14.25" customHeight="1">
      <c r="A897" s="745"/>
      <c r="B897" s="746"/>
      <c r="D897" s="747"/>
      <c r="E897" s="745"/>
      <c r="F897" s="745"/>
      <c r="G897" s="4"/>
      <c r="H897" s="4"/>
      <c r="I897" s="5"/>
      <c r="J897" s="6"/>
      <c r="O897" s="3"/>
      <c r="P897" s="7"/>
      <c r="Q897" s="745"/>
      <c r="R897" s="748"/>
    </row>
    <row r="898" spans="1:18" ht="14.25" customHeight="1">
      <c r="A898" s="745"/>
      <c r="B898" s="746"/>
      <c r="D898" s="747"/>
      <c r="E898" s="745"/>
      <c r="F898" s="745"/>
      <c r="G898" s="4"/>
      <c r="H898" s="4"/>
      <c r="I898" s="5"/>
      <c r="J898" s="6"/>
      <c r="O898" s="3"/>
      <c r="P898" s="7"/>
      <c r="Q898" s="745"/>
      <c r="R898" s="748"/>
    </row>
    <row r="899" spans="1:18" ht="14.25" customHeight="1">
      <c r="A899" s="745"/>
      <c r="B899" s="746"/>
      <c r="D899" s="747"/>
      <c r="E899" s="745"/>
      <c r="F899" s="745"/>
      <c r="G899" s="4"/>
      <c r="H899" s="4"/>
      <c r="I899" s="5"/>
      <c r="J899" s="6"/>
      <c r="O899" s="3"/>
      <c r="P899" s="7"/>
      <c r="Q899" s="745"/>
      <c r="R899" s="748"/>
    </row>
    <row r="900" spans="1:18" ht="14.25" customHeight="1">
      <c r="A900" s="745"/>
      <c r="B900" s="746"/>
      <c r="D900" s="747"/>
      <c r="E900" s="745"/>
      <c r="F900" s="745"/>
      <c r="G900" s="4"/>
      <c r="H900" s="4"/>
      <c r="I900" s="5"/>
      <c r="J900" s="6"/>
      <c r="O900" s="3"/>
      <c r="P900" s="7"/>
      <c r="Q900" s="745"/>
      <c r="R900" s="748"/>
    </row>
    <row r="901" spans="1:18" ht="14.25" customHeight="1">
      <c r="A901" s="745"/>
      <c r="B901" s="746"/>
      <c r="D901" s="747"/>
      <c r="E901" s="745"/>
      <c r="F901" s="745"/>
      <c r="G901" s="4"/>
      <c r="H901" s="4"/>
      <c r="I901" s="5"/>
      <c r="J901" s="6"/>
      <c r="O901" s="3"/>
      <c r="P901" s="7"/>
      <c r="Q901" s="745"/>
      <c r="R901" s="748"/>
    </row>
    <row r="902" spans="1:18" ht="14.25" customHeight="1">
      <c r="A902" s="745"/>
      <c r="B902" s="746"/>
      <c r="D902" s="747"/>
      <c r="E902" s="745"/>
      <c r="F902" s="745"/>
      <c r="G902" s="4"/>
      <c r="H902" s="4"/>
      <c r="I902" s="5"/>
      <c r="J902" s="6"/>
      <c r="O902" s="3"/>
      <c r="P902" s="7"/>
      <c r="Q902" s="745"/>
      <c r="R902" s="748"/>
    </row>
    <row r="903" spans="1:18" ht="14.25" customHeight="1">
      <c r="A903" s="745"/>
      <c r="B903" s="746"/>
      <c r="D903" s="747"/>
      <c r="E903" s="745"/>
      <c r="F903" s="745"/>
      <c r="G903" s="4"/>
      <c r="H903" s="4"/>
      <c r="I903" s="5"/>
      <c r="J903" s="6"/>
      <c r="O903" s="3"/>
      <c r="P903" s="7"/>
      <c r="Q903" s="745"/>
      <c r="R903" s="748"/>
    </row>
    <row r="904" spans="1:18" ht="14.25" customHeight="1">
      <c r="A904" s="745"/>
      <c r="B904" s="746"/>
      <c r="D904" s="747"/>
      <c r="E904" s="745"/>
      <c r="F904" s="745"/>
      <c r="G904" s="4"/>
      <c r="H904" s="4"/>
      <c r="I904" s="5"/>
      <c r="J904" s="6"/>
      <c r="O904" s="3"/>
      <c r="P904" s="7"/>
      <c r="Q904" s="745"/>
      <c r="R904" s="748"/>
    </row>
    <row r="905" spans="1:18" ht="14.25" customHeight="1">
      <c r="A905" s="745"/>
      <c r="B905" s="746"/>
      <c r="D905" s="747"/>
      <c r="E905" s="745"/>
      <c r="F905" s="745"/>
      <c r="G905" s="4"/>
      <c r="H905" s="4"/>
      <c r="I905" s="5"/>
      <c r="J905" s="6"/>
      <c r="O905" s="3"/>
      <c r="P905" s="7"/>
      <c r="Q905" s="745"/>
      <c r="R905" s="748"/>
    </row>
    <row r="906" spans="1:18" ht="14.25" customHeight="1">
      <c r="A906" s="745"/>
      <c r="B906" s="746"/>
      <c r="D906" s="747"/>
      <c r="E906" s="745"/>
      <c r="F906" s="745"/>
      <c r="G906" s="4"/>
      <c r="H906" s="4"/>
      <c r="I906" s="5"/>
      <c r="J906" s="6"/>
      <c r="O906" s="3"/>
      <c r="P906" s="7"/>
      <c r="Q906" s="745"/>
      <c r="R906" s="748"/>
    </row>
    <row r="907" spans="1:18" ht="14.25" customHeight="1">
      <c r="A907" s="745"/>
      <c r="B907" s="746"/>
      <c r="D907" s="747"/>
      <c r="E907" s="745"/>
      <c r="F907" s="745"/>
      <c r="G907" s="4"/>
      <c r="H907" s="4"/>
      <c r="I907" s="5"/>
      <c r="J907" s="6"/>
      <c r="O907" s="3"/>
      <c r="P907" s="7"/>
      <c r="Q907" s="745"/>
      <c r="R907" s="748"/>
    </row>
    <row r="908" spans="1:18" ht="14.25" customHeight="1">
      <c r="A908" s="745"/>
      <c r="B908" s="746"/>
      <c r="D908" s="747"/>
      <c r="E908" s="745"/>
      <c r="F908" s="745"/>
      <c r="G908" s="4"/>
      <c r="H908" s="4"/>
      <c r="I908" s="5"/>
      <c r="J908" s="6"/>
      <c r="O908" s="3"/>
      <c r="P908" s="7"/>
      <c r="Q908" s="745"/>
      <c r="R908" s="748"/>
    </row>
    <row r="909" spans="1:18" ht="14.25" customHeight="1">
      <c r="A909" s="745"/>
      <c r="B909" s="746"/>
      <c r="D909" s="747"/>
      <c r="E909" s="745"/>
      <c r="F909" s="745"/>
      <c r="G909" s="4"/>
      <c r="H909" s="4"/>
      <c r="I909" s="5"/>
      <c r="J909" s="6"/>
      <c r="O909" s="3"/>
      <c r="P909" s="7"/>
      <c r="Q909" s="745"/>
      <c r="R909" s="748"/>
    </row>
    <row r="910" spans="1:18" ht="14.25" customHeight="1">
      <c r="A910" s="745"/>
      <c r="B910" s="746"/>
      <c r="D910" s="747"/>
      <c r="E910" s="745"/>
      <c r="F910" s="745"/>
      <c r="G910" s="4"/>
      <c r="H910" s="4"/>
      <c r="I910" s="5"/>
      <c r="J910" s="6"/>
      <c r="O910" s="3"/>
      <c r="P910" s="7"/>
      <c r="Q910" s="745"/>
      <c r="R910" s="748"/>
    </row>
    <row r="911" spans="1:18" ht="14.25" customHeight="1">
      <c r="A911" s="745"/>
      <c r="B911" s="746"/>
      <c r="D911" s="747"/>
      <c r="E911" s="745"/>
      <c r="F911" s="745"/>
      <c r="G911" s="4"/>
      <c r="H911" s="4"/>
      <c r="I911" s="5"/>
      <c r="J911" s="6"/>
      <c r="O911" s="3"/>
      <c r="P911" s="7"/>
      <c r="Q911" s="745"/>
      <c r="R911" s="748"/>
    </row>
    <row r="912" spans="1:18" ht="14.25" customHeight="1">
      <c r="A912" s="745"/>
      <c r="B912" s="746"/>
      <c r="D912" s="747"/>
      <c r="E912" s="745"/>
      <c r="F912" s="745"/>
      <c r="G912" s="4"/>
      <c r="H912" s="4"/>
      <c r="I912" s="5"/>
      <c r="J912" s="6"/>
      <c r="O912" s="3"/>
      <c r="P912" s="7"/>
      <c r="Q912" s="745"/>
      <c r="R912" s="748"/>
    </row>
    <row r="913" spans="1:18" ht="14.25" customHeight="1">
      <c r="A913" s="745"/>
      <c r="B913" s="746"/>
      <c r="D913" s="747"/>
      <c r="E913" s="745"/>
      <c r="F913" s="745"/>
      <c r="G913" s="4"/>
      <c r="H913" s="4"/>
      <c r="I913" s="5"/>
      <c r="J913" s="6"/>
      <c r="O913" s="3"/>
      <c r="P913" s="7"/>
      <c r="Q913" s="745"/>
      <c r="R913" s="748"/>
    </row>
    <row r="914" spans="1:18" ht="14.25" customHeight="1">
      <c r="A914" s="745"/>
      <c r="B914" s="746"/>
      <c r="D914" s="747"/>
      <c r="E914" s="745"/>
      <c r="F914" s="745"/>
      <c r="G914" s="4"/>
      <c r="H914" s="4"/>
      <c r="I914" s="5"/>
      <c r="J914" s="6"/>
      <c r="O914" s="3"/>
      <c r="P914" s="7"/>
      <c r="Q914" s="745"/>
      <c r="R914" s="748"/>
    </row>
    <row r="915" spans="1:18" ht="14.25" customHeight="1">
      <c r="A915" s="745"/>
      <c r="B915" s="746"/>
      <c r="D915" s="747"/>
      <c r="E915" s="745"/>
      <c r="F915" s="745"/>
      <c r="G915" s="4"/>
      <c r="H915" s="4"/>
      <c r="I915" s="5"/>
      <c r="J915" s="6"/>
      <c r="O915" s="3"/>
      <c r="P915" s="7"/>
      <c r="Q915" s="745"/>
      <c r="R915" s="748"/>
    </row>
    <row r="916" spans="1:18" ht="14.25" customHeight="1">
      <c r="A916" s="745"/>
      <c r="B916" s="746"/>
      <c r="D916" s="747"/>
      <c r="E916" s="745"/>
      <c r="F916" s="745"/>
      <c r="G916" s="4"/>
      <c r="H916" s="4"/>
      <c r="I916" s="5"/>
      <c r="J916" s="6"/>
      <c r="O916" s="3"/>
      <c r="P916" s="7"/>
      <c r="Q916" s="745"/>
      <c r="R916" s="748"/>
    </row>
    <row r="917" spans="1:18" ht="14.25" customHeight="1">
      <c r="A917" s="745"/>
      <c r="B917" s="746"/>
      <c r="D917" s="747"/>
      <c r="E917" s="745"/>
      <c r="F917" s="745"/>
      <c r="G917" s="4"/>
      <c r="H917" s="4"/>
      <c r="I917" s="5"/>
      <c r="J917" s="6"/>
      <c r="O917" s="3"/>
      <c r="P917" s="7"/>
      <c r="Q917" s="745"/>
      <c r="R917" s="748"/>
    </row>
    <row r="918" spans="1:18" ht="14.25" customHeight="1">
      <c r="A918" s="745"/>
      <c r="B918" s="746"/>
      <c r="D918" s="747"/>
      <c r="E918" s="745"/>
      <c r="F918" s="745"/>
      <c r="G918" s="4"/>
      <c r="H918" s="4"/>
      <c r="I918" s="5"/>
      <c r="J918" s="6"/>
      <c r="O918" s="3"/>
      <c r="P918" s="7"/>
      <c r="Q918" s="745"/>
      <c r="R918" s="748"/>
    </row>
    <row r="919" spans="1:18" ht="14.25" customHeight="1">
      <c r="A919" s="745"/>
      <c r="B919" s="746"/>
      <c r="D919" s="747"/>
      <c r="E919" s="745"/>
      <c r="F919" s="745"/>
      <c r="G919" s="4"/>
      <c r="H919" s="4"/>
      <c r="I919" s="5"/>
      <c r="J919" s="6"/>
      <c r="O919" s="3"/>
      <c r="P919" s="7"/>
      <c r="Q919" s="745"/>
      <c r="R919" s="748"/>
    </row>
    <row r="920" spans="1:18" ht="14.25" customHeight="1">
      <c r="A920" s="745"/>
      <c r="B920" s="746"/>
      <c r="D920" s="747"/>
      <c r="E920" s="745"/>
      <c r="F920" s="745"/>
      <c r="G920" s="4"/>
      <c r="H920" s="4"/>
      <c r="I920" s="5"/>
      <c r="J920" s="6"/>
      <c r="O920" s="3"/>
      <c r="P920" s="7"/>
      <c r="Q920" s="745"/>
      <c r="R920" s="748"/>
    </row>
    <row r="921" spans="1:18" ht="14.25" customHeight="1">
      <c r="A921" s="745"/>
      <c r="B921" s="746"/>
      <c r="D921" s="747"/>
      <c r="E921" s="745"/>
      <c r="F921" s="745"/>
      <c r="G921" s="4"/>
      <c r="H921" s="4"/>
      <c r="I921" s="5"/>
      <c r="J921" s="6"/>
      <c r="O921" s="3"/>
      <c r="P921" s="7"/>
      <c r="Q921" s="745"/>
      <c r="R921" s="748"/>
    </row>
    <row r="922" spans="1:18" ht="14.25" customHeight="1">
      <c r="A922" s="745"/>
      <c r="B922" s="746"/>
      <c r="D922" s="747"/>
      <c r="E922" s="745"/>
      <c r="F922" s="745"/>
      <c r="G922" s="4"/>
      <c r="H922" s="4"/>
      <c r="I922" s="5"/>
      <c r="J922" s="6"/>
      <c r="O922" s="3"/>
      <c r="P922" s="7"/>
      <c r="Q922" s="745"/>
      <c r="R922" s="748"/>
    </row>
    <row r="923" spans="1:18" ht="14.25" customHeight="1">
      <c r="A923" s="745"/>
      <c r="B923" s="746"/>
      <c r="D923" s="747"/>
      <c r="E923" s="745"/>
      <c r="F923" s="745"/>
      <c r="G923" s="4"/>
      <c r="H923" s="4"/>
      <c r="I923" s="5"/>
      <c r="J923" s="6"/>
      <c r="O923" s="3"/>
      <c r="P923" s="7"/>
      <c r="Q923" s="745"/>
      <c r="R923" s="748"/>
    </row>
    <row r="924" spans="1:18" ht="14.25" customHeight="1">
      <c r="A924" s="745"/>
      <c r="B924" s="746"/>
      <c r="D924" s="747"/>
      <c r="E924" s="745"/>
      <c r="F924" s="745"/>
      <c r="G924" s="4"/>
      <c r="H924" s="4"/>
      <c r="I924" s="5"/>
      <c r="J924" s="6"/>
      <c r="O924" s="3"/>
      <c r="P924" s="7"/>
      <c r="Q924" s="745"/>
      <c r="R924" s="748"/>
    </row>
    <row r="925" spans="1:18" ht="14.25" customHeight="1">
      <c r="A925" s="745"/>
      <c r="B925" s="746"/>
      <c r="D925" s="747"/>
      <c r="E925" s="745"/>
      <c r="F925" s="745"/>
      <c r="G925" s="4"/>
      <c r="H925" s="4"/>
      <c r="I925" s="5"/>
      <c r="J925" s="6"/>
      <c r="O925" s="3"/>
      <c r="P925" s="7"/>
      <c r="Q925" s="745"/>
      <c r="R925" s="748"/>
    </row>
    <row r="926" spans="1:18" ht="14.25" customHeight="1">
      <c r="A926" s="745"/>
      <c r="B926" s="746"/>
      <c r="D926" s="747"/>
      <c r="E926" s="745"/>
      <c r="F926" s="745"/>
      <c r="G926" s="4"/>
      <c r="H926" s="4"/>
      <c r="I926" s="5"/>
      <c r="J926" s="6"/>
      <c r="O926" s="3"/>
      <c r="P926" s="7"/>
      <c r="Q926" s="745"/>
      <c r="R926" s="748"/>
    </row>
    <row r="927" spans="1:18" ht="14.25" customHeight="1">
      <c r="A927" s="745"/>
      <c r="B927" s="746"/>
      <c r="D927" s="747"/>
      <c r="E927" s="745"/>
      <c r="F927" s="745"/>
      <c r="G927" s="4"/>
      <c r="H927" s="4"/>
      <c r="I927" s="5"/>
      <c r="J927" s="6"/>
      <c r="O927" s="3"/>
      <c r="P927" s="7"/>
      <c r="Q927" s="745"/>
      <c r="R927" s="748"/>
    </row>
    <row r="928" spans="1:18" ht="14.25" customHeight="1">
      <c r="A928" s="745"/>
      <c r="B928" s="746"/>
      <c r="D928" s="747"/>
      <c r="E928" s="745"/>
      <c r="F928" s="745"/>
      <c r="G928" s="4"/>
      <c r="H928" s="4"/>
      <c r="I928" s="5"/>
      <c r="J928" s="6"/>
      <c r="O928" s="3"/>
      <c r="P928" s="7"/>
      <c r="Q928" s="745"/>
      <c r="R928" s="748"/>
    </row>
    <row r="929" spans="1:18" ht="14.25" customHeight="1">
      <c r="A929" s="745"/>
      <c r="B929" s="746"/>
      <c r="D929" s="747"/>
      <c r="E929" s="745"/>
      <c r="F929" s="745"/>
      <c r="G929" s="4"/>
      <c r="H929" s="4"/>
      <c r="I929" s="5"/>
      <c r="J929" s="6"/>
      <c r="O929" s="3"/>
      <c r="P929" s="7"/>
      <c r="Q929" s="745"/>
      <c r="R929" s="748"/>
    </row>
    <row r="930" spans="1:18" ht="14.25" customHeight="1">
      <c r="A930" s="745"/>
      <c r="B930" s="746"/>
      <c r="D930" s="747"/>
      <c r="E930" s="745"/>
      <c r="F930" s="745"/>
      <c r="G930" s="4"/>
      <c r="H930" s="4"/>
      <c r="I930" s="5"/>
      <c r="J930" s="6"/>
      <c r="O930" s="3"/>
      <c r="P930" s="7"/>
      <c r="Q930" s="745"/>
      <c r="R930" s="748"/>
    </row>
    <row r="931" spans="1:18" ht="14.25" customHeight="1">
      <c r="A931" s="745"/>
      <c r="B931" s="746"/>
      <c r="D931" s="747"/>
      <c r="E931" s="745"/>
      <c r="F931" s="745"/>
      <c r="G931" s="4"/>
      <c r="H931" s="4"/>
      <c r="I931" s="5"/>
      <c r="J931" s="6"/>
      <c r="O931" s="3"/>
      <c r="P931" s="7"/>
      <c r="Q931" s="745"/>
      <c r="R931" s="748"/>
    </row>
    <row r="932" spans="1:18" ht="14.25" customHeight="1">
      <c r="A932" s="745"/>
      <c r="B932" s="746"/>
      <c r="D932" s="747"/>
      <c r="E932" s="745"/>
      <c r="F932" s="745"/>
      <c r="G932" s="4"/>
      <c r="H932" s="4"/>
      <c r="I932" s="5"/>
      <c r="J932" s="6"/>
      <c r="O932" s="3"/>
      <c r="P932" s="7"/>
      <c r="Q932" s="745"/>
      <c r="R932" s="748"/>
    </row>
    <row r="933" spans="1:18" ht="14.25" customHeight="1">
      <c r="A933" s="745"/>
      <c r="B933" s="746"/>
      <c r="D933" s="747"/>
      <c r="E933" s="745"/>
      <c r="F933" s="745"/>
      <c r="G933" s="4"/>
      <c r="H933" s="4"/>
      <c r="I933" s="5"/>
      <c r="J933" s="6"/>
      <c r="O933" s="3"/>
      <c r="P933" s="7"/>
      <c r="Q933" s="745"/>
      <c r="R933" s="748"/>
    </row>
    <row r="934" spans="1:18" ht="14.25" customHeight="1">
      <c r="A934" s="745"/>
      <c r="B934" s="746"/>
      <c r="D934" s="747"/>
      <c r="E934" s="745"/>
      <c r="F934" s="745"/>
      <c r="G934" s="4"/>
      <c r="H934" s="4"/>
      <c r="I934" s="5"/>
      <c r="J934" s="6"/>
      <c r="O934" s="3"/>
      <c r="P934" s="7"/>
      <c r="Q934" s="745"/>
      <c r="R934" s="748"/>
    </row>
    <row r="935" spans="1:18" ht="14.25" customHeight="1">
      <c r="A935" s="745"/>
      <c r="B935" s="746"/>
      <c r="D935" s="747"/>
      <c r="E935" s="745"/>
      <c r="F935" s="745"/>
      <c r="G935" s="4"/>
      <c r="H935" s="4"/>
      <c r="I935" s="5"/>
      <c r="J935" s="6"/>
      <c r="O935" s="3"/>
      <c r="P935" s="7"/>
      <c r="Q935" s="745"/>
      <c r="R935" s="748"/>
    </row>
    <row r="936" spans="1:18" ht="14.25" customHeight="1">
      <c r="A936" s="745"/>
      <c r="B936" s="746"/>
      <c r="D936" s="747"/>
      <c r="E936" s="745"/>
      <c r="F936" s="745"/>
      <c r="G936" s="4"/>
      <c r="H936" s="4"/>
      <c r="I936" s="5"/>
      <c r="J936" s="6"/>
      <c r="O936" s="3"/>
      <c r="P936" s="7"/>
      <c r="Q936" s="745"/>
      <c r="R936" s="748"/>
    </row>
    <row r="937" spans="1:18" ht="14.25" customHeight="1">
      <c r="A937" s="745"/>
      <c r="B937" s="746"/>
      <c r="D937" s="747"/>
      <c r="E937" s="745"/>
      <c r="F937" s="745"/>
      <c r="G937" s="4"/>
      <c r="H937" s="4"/>
      <c r="I937" s="5"/>
      <c r="J937" s="6"/>
      <c r="O937" s="3"/>
      <c r="P937" s="7"/>
      <c r="Q937" s="745"/>
      <c r="R937" s="748"/>
    </row>
    <row r="938" spans="1:18" ht="14.25" customHeight="1">
      <c r="A938" s="745"/>
      <c r="B938" s="746"/>
      <c r="D938" s="747"/>
      <c r="E938" s="745"/>
      <c r="F938" s="745"/>
      <c r="G938" s="4"/>
      <c r="H938" s="4"/>
      <c r="I938" s="5"/>
      <c r="J938" s="6"/>
      <c r="O938" s="3"/>
      <c r="P938" s="7"/>
      <c r="Q938" s="745"/>
      <c r="R938" s="748"/>
    </row>
    <row r="939" spans="1:18" ht="14.25" customHeight="1">
      <c r="A939" s="745"/>
      <c r="B939" s="746"/>
      <c r="D939" s="747"/>
      <c r="E939" s="745"/>
      <c r="F939" s="745"/>
      <c r="G939" s="4"/>
      <c r="H939" s="4"/>
      <c r="I939" s="5"/>
      <c r="J939" s="6"/>
      <c r="O939" s="3"/>
      <c r="P939" s="7"/>
      <c r="Q939" s="745"/>
      <c r="R939" s="748"/>
    </row>
    <row r="940" spans="1:18" ht="14.25" customHeight="1">
      <c r="A940" s="745"/>
      <c r="B940" s="746"/>
      <c r="D940" s="747"/>
      <c r="E940" s="745"/>
      <c r="F940" s="745"/>
      <c r="G940" s="4"/>
      <c r="H940" s="4"/>
      <c r="I940" s="5"/>
      <c r="J940" s="6"/>
      <c r="O940" s="3"/>
      <c r="P940" s="7"/>
      <c r="Q940" s="745"/>
      <c r="R940" s="748"/>
    </row>
    <row r="941" spans="1:18" ht="14.25" customHeight="1">
      <c r="A941" s="745"/>
      <c r="B941" s="746"/>
      <c r="D941" s="747"/>
      <c r="E941" s="745"/>
      <c r="F941" s="745"/>
      <c r="G941" s="4"/>
      <c r="H941" s="4"/>
      <c r="I941" s="5"/>
      <c r="J941" s="6"/>
      <c r="O941" s="3"/>
      <c r="P941" s="7"/>
      <c r="Q941" s="745"/>
      <c r="R941" s="748"/>
    </row>
    <row r="942" spans="1:18" ht="14.25" customHeight="1">
      <c r="A942" s="745"/>
      <c r="B942" s="746"/>
      <c r="D942" s="747"/>
      <c r="E942" s="745"/>
      <c r="F942" s="745"/>
      <c r="G942" s="4"/>
      <c r="H942" s="4"/>
      <c r="I942" s="5"/>
      <c r="J942" s="6"/>
      <c r="O942" s="3"/>
      <c r="P942" s="7"/>
      <c r="Q942" s="745"/>
      <c r="R942" s="748"/>
    </row>
    <row r="943" spans="1:18" ht="14.25" customHeight="1">
      <c r="A943" s="745"/>
      <c r="B943" s="746"/>
      <c r="D943" s="747"/>
      <c r="E943" s="745"/>
      <c r="F943" s="745"/>
      <c r="G943" s="4"/>
      <c r="H943" s="4"/>
      <c r="I943" s="5"/>
      <c r="J943" s="6"/>
      <c r="O943" s="3"/>
      <c r="P943" s="7"/>
      <c r="Q943" s="745"/>
      <c r="R943" s="748"/>
    </row>
    <row r="944" spans="1:18" ht="14.25" customHeight="1">
      <c r="A944" s="745"/>
      <c r="B944" s="746"/>
      <c r="D944" s="747"/>
      <c r="E944" s="745"/>
      <c r="F944" s="745"/>
      <c r="G944" s="4"/>
      <c r="H944" s="4"/>
      <c r="I944" s="5"/>
      <c r="J944" s="6"/>
      <c r="O944" s="3"/>
      <c r="P944" s="7"/>
      <c r="Q944" s="745"/>
      <c r="R944" s="748"/>
    </row>
    <row r="945" spans="1:18" ht="14.25" customHeight="1">
      <c r="A945" s="745"/>
      <c r="B945" s="746"/>
      <c r="D945" s="747"/>
      <c r="E945" s="745"/>
      <c r="F945" s="745"/>
      <c r="G945" s="4"/>
      <c r="H945" s="4"/>
      <c r="I945" s="5"/>
      <c r="J945" s="6"/>
      <c r="O945" s="3"/>
      <c r="P945" s="7"/>
      <c r="Q945" s="745"/>
      <c r="R945" s="748"/>
    </row>
    <row r="946" spans="1:18" ht="14.25" customHeight="1">
      <c r="A946" s="745"/>
      <c r="B946" s="746"/>
      <c r="D946" s="747"/>
      <c r="E946" s="745"/>
      <c r="F946" s="745"/>
      <c r="G946" s="4"/>
      <c r="H946" s="4"/>
      <c r="I946" s="5"/>
      <c r="J946" s="6"/>
      <c r="O946" s="3"/>
      <c r="P946" s="7"/>
      <c r="Q946" s="745"/>
      <c r="R946" s="748"/>
    </row>
    <row r="947" spans="1:18" ht="14.25" customHeight="1">
      <c r="A947" s="745"/>
      <c r="B947" s="746"/>
      <c r="D947" s="747"/>
      <c r="E947" s="745"/>
      <c r="F947" s="745"/>
      <c r="G947" s="4"/>
      <c r="H947" s="4"/>
      <c r="I947" s="5"/>
      <c r="J947" s="6"/>
      <c r="O947" s="3"/>
      <c r="P947" s="7"/>
      <c r="Q947" s="745"/>
      <c r="R947" s="748"/>
    </row>
    <row r="948" spans="1:18" ht="14.25" customHeight="1">
      <c r="A948" s="745"/>
      <c r="B948" s="746"/>
      <c r="D948" s="747"/>
      <c r="E948" s="745"/>
      <c r="F948" s="745"/>
      <c r="G948" s="4"/>
      <c r="H948" s="4"/>
      <c r="I948" s="5"/>
      <c r="J948" s="6"/>
      <c r="O948" s="3"/>
      <c r="P948" s="7"/>
      <c r="Q948" s="745"/>
      <c r="R948" s="748"/>
    </row>
    <row r="949" spans="1:18" ht="14.25" customHeight="1">
      <c r="A949" s="745"/>
      <c r="B949" s="746"/>
      <c r="D949" s="747"/>
      <c r="E949" s="745"/>
      <c r="F949" s="745"/>
      <c r="G949" s="4"/>
      <c r="H949" s="4"/>
      <c r="I949" s="5"/>
      <c r="J949" s="6"/>
      <c r="O949" s="3"/>
      <c r="P949" s="7"/>
      <c r="Q949" s="745"/>
      <c r="R949" s="748"/>
    </row>
    <row r="950" spans="1:18" ht="14.25" customHeight="1">
      <c r="A950" s="745"/>
      <c r="B950" s="746"/>
      <c r="D950" s="747"/>
      <c r="E950" s="745"/>
      <c r="F950" s="745"/>
      <c r="G950" s="4"/>
      <c r="H950" s="4"/>
      <c r="I950" s="5"/>
      <c r="J950" s="6"/>
      <c r="O950" s="3"/>
      <c r="P950" s="7"/>
      <c r="Q950" s="745"/>
      <c r="R950" s="748"/>
    </row>
    <row r="951" spans="1:18" ht="14.25" customHeight="1">
      <c r="A951" s="745"/>
      <c r="B951" s="746"/>
      <c r="D951" s="747"/>
      <c r="E951" s="745"/>
      <c r="F951" s="745"/>
      <c r="G951" s="4"/>
      <c r="H951" s="4"/>
      <c r="I951" s="5"/>
      <c r="J951" s="6"/>
      <c r="O951" s="3"/>
      <c r="P951" s="7"/>
      <c r="Q951" s="745"/>
      <c r="R951" s="748"/>
    </row>
    <row r="952" spans="1:18" ht="14.25" customHeight="1">
      <c r="A952" s="745"/>
      <c r="B952" s="746"/>
      <c r="D952" s="747"/>
      <c r="E952" s="745"/>
      <c r="F952" s="745"/>
      <c r="G952" s="4"/>
      <c r="H952" s="4"/>
      <c r="I952" s="5"/>
      <c r="J952" s="6"/>
      <c r="O952" s="3"/>
      <c r="P952" s="7"/>
      <c r="Q952" s="745"/>
      <c r="R952" s="748"/>
    </row>
    <row r="953" spans="1:18" ht="14.25" customHeight="1">
      <c r="A953" s="745"/>
      <c r="B953" s="746"/>
      <c r="D953" s="747"/>
      <c r="E953" s="745"/>
      <c r="F953" s="745"/>
      <c r="G953" s="4"/>
      <c r="H953" s="4"/>
      <c r="I953" s="5"/>
      <c r="J953" s="6"/>
      <c r="O953" s="3"/>
      <c r="P953" s="7"/>
      <c r="Q953" s="745"/>
      <c r="R953" s="748"/>
    </row>
    <row r="954" spans="1:18" ht="14.25" customHeight="1">
      <c r="A954" s="745"/>
      <c r="B954" s="746"/>
      <c r="D954" s="747"/>
      <c r="E954" s="745"/>
      <c r="F954" s="745"/>
      <c r="G954" s="4"/>
      <c r="H954" s="4"/>
      <c r="I954" s="5"/>
      <c r="J954" s="6"/>
      <c r="O954" s="3"/>
      <c r="P954" s="7"/>
      <c r="Q954" s="745"/>
      <c r="R954" s="748"/>
    </row>
    <row r="955" spans="1:18" ht="14.25" customHeight="1">
      <c r="A955" s="745"/>
      <c r="B955" s="746"/>
      <c r="D955" s="747"/>
      <c r="E955" s="745"/>
      <c r="F955" s="745"/>
      <c r="G955" s="4"/>
      <c r="H955" s="4"/>
      <c r="I955" s="5"/>
      <c r="J955" s="6"/>
      <c r="O955" s="3"/>
      <c r="P955" s="7"/>
      <c r="Q955" s="745"/>
      <c r="R955" s="748"/>
    </row>
    <row r="956" spans="1:18" ht="14.25" customHeight="1">
      <c r="A956" s="745"/>
      <c r="B956" s="746"/>
      <c r="D956" s="747"/>
      <c r="E956" s="745"/>
      <c r="F956" s="745"/>
      <c r="G956" s="4"/>
      <c r="H956" s="4"/>
      <c r="I956" s="5"/>
      <c r="J956" s="6"/>
      <c r="O956" s="3"/>
      <c r="P956" s="7"/>
      <c r="Q956" s="745"/>
      <c r="R956" s="748"/>
    </row>
    <row r="957" spans="1:18" ht="14.25" customHeight="1">
      <c r="A957" s="745"/>
      <c r="B957" s="746"/>
      <c r="D957" s="747"/>
      <c r="E957" s="745"/>
      <c r="F957" s="745"/>
      <c r="G957" s="4"/>
      <c r="H957" s="4"/>
      <c r="I957" s="5"/>
      <c r="J957" s="6"/>
      <c r="O957" s="3"/>
      <c r="P957" s="7"/>
      <c r="Q957" s="745"/>
      <c r="R957" s="748"/>
    </row>
    <row r="958" spans="1:18" ht="14.25" customHeight="1">
      <c r="A958" s="745"/>
      <c r="B958" s="746"/>
      <c r="D958" s="747"/>
      <c r="E958" s="745"/>
      <c r="F958" s="745"/>
      <c r="G958" s="4"/>
      <c r="H958" s="4"/>
      <c r="I958" s="5"/>
      <c r="J958" s="6"/>
      <c r="O958" s="3"/>
      <c r="P958" s="7"/>
      <c r="Q958" s="745"/>
      <c r="R958" s="748"/>
    </row>
    <row r="959" spans="1:18" ht="14.25" customHeight="1">
      <c r="A959" s="745"/>
      <c r="B959" s="746"/>
      <c r="D959" s="747"/>
      <c r="E959" s="745"/>
      <c r="F959" s="745"/>
      <c r="G959" s="4"/>
      <c r="H959" s="4"/>
      <c r="I959" s="5"/>
      <c r="J959" s="6"/>
      <c r="O959" s="3"/>
      <c r="P959" s="7"/>
      <c r="Q959" s="745"/>
      <c r="R959" s="748"/>
    </row>
    <row r="960" spans="1:18" ht="14.25" customHeight="1">
      <c r="A960" s="745"/>
      <c r="B960" s="746"/>
      <c r="D960" s="747"/>
      <c r="E960" s="745"/>
      <c r="F960" s="745"/>
      <c r="G960" s="4"/>
      <c r="H960" s="4"/>
      <c r="I960" s="5"/>
      <c r="J960" s="6"/>
      <c r="O960" s="3"/>
      <c r="P960" s="7"/>
      <c r="Q960" s="745"/>
      <c r="R960" s="748"/>
    </row>
    <row r="961" spans="1:18" ht="14.25" customHeight="1">
      <c r="A961" s="745"/>
      <c r="B961" s="746"/>
      <c r="D961" s="747"/>
      <c r="E961" s="745"/>
      <c r="F961" s="745"/>
      <c r="G961" s="4"/>
      <c r="H961" s="4"/>
      <c r="I961" s="5"/>
      <c r="J961" s="6"/>
      <c r="O961" s="3"/>
      <c r="P961" s="7"/>
      <c r="Q961" s="745"/>
      <c r="R961" s="748"/>
    </row>
    <row r="962" spans="1:18" ht="14.25" customHeight="1">
      <c r="A962" s="745"/>
      <c r="B962" s="746"/>
      <c r="D962" s="747"/>
      <c r="E962" s="745"/>
      <c r="F962" s="745"/>
      <c r="G962" s="4"/>
      <c r="H962" s="4"/>
      <c r="I962" s="5"/>
      <c r="J962" s="6"/>
      <c r="O962" s="3"/>
      <c r="P962" s="7"/>
      <c r="Q962" s="745"/>
      <c r="R962" s="748"/>
    </row>
    <row r="963" spans="1:18" ht="15" customHeight="1">
      <c r="A963" s="745"/>
      <c r="B963" s="746"/>
      <c r="D963" s="747"/>
      <c r="E963" s="745"/>
      <c r="F963" s="745"/>
      <c r="G963" s="4"/>
      <c r="H963" s="4"/>
      <c r="I963" s="5"/>
      <c r="J963" s="6"/>
      <c r="O963" s="3"/>
      <c r="P963" s="7"/>
      <c r="Q963" s="745"/>
      <c r="R963" s="748"/>
    </row>
    <row r="964" spans="1:18" ht="15" customHeight="1">
      <c r="A964" s="745"/>
      <c r="B964" s="746"/>
      <c r="D964" s="747"/>
      <c r="E964" s="745"/>
      <c r="F964" s="745"/>
      <c r="G964" s="4"/>
      <c r="H964" s="4"/>
      <c r="I964" s="5"/>
      <c r="J964" s="6"/>
      <c r="O964" s="3"/>
      <c r="P964" s="7"/>
      <c r="Q964" s="745"/>
      <c r="R964" s="748"/>
    </row>
    <row r="965" spans="1:18" ht="15" customHeight="1">
      <c r="A965" s="745"/>
      <c r="B965" s="746"/>
      <c r="D965" s="747"/>
      <c r="E965" s="745"/>
      <c r="F965" s="745"/>
      <c r="G965" s="4"/>
      <c r="H965" s="4"/>
      <c r="I965" s="5"/>
      <c r="J965" s="6"/>
      <c r="O965" s="3"/>
      <c r="P965" s="7"/>
      <c r="Q965" s="745"/>
      <c r="R965" s="748"/>
    </row>
    <row r="966" spans="1:18" ht="15" customHeight="1">
      <c r="A966" s="745"/>
      <c r="B966" s="746"/>
      <c r="D966" s="747"/>
      <c r="E966" s="745"/>
      <c r="F966" s="745"/>
      <c r="G966" s="4"/>
      <c r="H966" s="4"/>
      <c r="I966" s="5"/>
      <c r="J966" s="6"/>
      <c r="O966" s="3"/>
      <c r="P966" s="7"/>
      <c r="Q966" s="745"/>
      <c r="R966" s="748"/>
    </row>
    <row r="967" spans="1:18" ht="15" customHeight="1">
      <c r="A967" s="745"/>
      <c r="B967" s="746"/>
      <c r="D967" s="747"/>
      <c r="E967" s="745"/>
      <c r="F967" s="745"/>
      <c r="G967" s="4"/>
      <c r="H967" s="4"/>
      <c r="I967" s="5"/>
      <c r="J967" s="6"/>
      <c r="O967" s="3"/>
      <c r="P967" s="7"/>
      <c r="Q967" s="745"/>
      <c r="R967" s="748"/>
    </row>
    <row r="968" spans="1:18" ht="15" customHeight="1">
      <c r="A968" s="745"/>
      <c r="B968" s="746"/>
      <c r="D968" s="747"/>
      <c r="E968" s="745"/>
      <c r="F968" s="745"/>
      <c r="G968" s="4"/>
      <c r="H968" s="4"/>
      <c r="I968" s="5"/>
      <c r="J968" s="6"/>
      <c r="O968" s="3"/>
      <c r="P968" s="7"/>
      <c r="Q968" s="745"/>
      <c r="R968" s="748"/>
    </row>
    <row r="969" spans="1:18" ht="15" customHeight="1">
      <c r="A969" s="745"/>
      <c r="B969" s="746"/>
      <c r="D969" s="747"/>
      <c r="E969" s="745"/>
      <c r="F969" s="745"/>
      <c r="G969" s="4"/>
      <c r="H969" s="4"/>
      <c r="I969" s="5"/>
      <c r="J969" s="6"/>
      <c r="O969" s="3"/>
      <c r="P969" s="7"/>
      <c r="Q969" s="745"/>
      <c r="R969" s="748"/>
    </row>
    <row r="970" spans="1:18" ht="15" customHeight="1">
      <c r="A970" s="745"/>
      <c r="B970" s="746"/>
      <c r="D970" s="747"/>
      <c r="E970" s="745"/>
      <c r="F970" s="745"/>
      <c r="G970" s="4"/>
      <c r="H970" s="4"/>
      <c r="I970" s="5"/>
      <c r="J970" s="6"/>
      <c r="O970" s="3"/>
      <c r="P970" s="7"/>
      <c r="Q970" s="745"/>
      <c r="R970" s="748"/>
    </row>
    <row r="971" spans="1:18" ht="15" customHeight="1">
      <c r="A971" s="745"/>
      <c r="B971" s="746"/>
      <c r="D971" s="747"/>
      <c r="E971" s="745"/>
      <c r="F971" s="745"/>
      <c r="G971" s="4"/>
      <c r="H971" s="4"/>
      <c r="I971" s="5"/>
      <c r="J971" s="6"/>
      <c r="O971" s="3"/>
      <c r="P971" s="7"/>
      <c r="Q971" s="745"/>
      <c r="R971" s="748"/>
    </row>
    <row r="972" spans="1:18" ht="15" customHeight="1">
      <c r="A972" s="745"/>
      <c r="B972" s="746"/>
      <c r="D972" s="747"/>
      <c r="E972" s="745"/>
      <c r="F972" s="745"/>
      <c r="G972" s="4"/>
      <c r="H972" s="4"/>
      <c r="I972" s="5"/>
      <c r="J972" s="6"/>
      <c r="O972" s="3"/>
      <c r="P972" s="7"/>
      <c r="Q972" s="745"/>
      <c r="R972" s="748"/>
    </row>
    <row r="973" spans="1:18" ht="15" customHeight="1">
      <c r="A973" s="745"/>
      <c r="B973" s="746"/>
      <c r="D973" s="747"/>
      <c r="E973" s="745"/>
      <c r="F973" s="745"/>
      <c r="G973" s="4"/>
      <c r="H973" s="4"/>
      <c r="I973" s="5"/>
      <c r="J973" s="6"/>
      <c r="O973" s="3"/>
      <c r="P973" s="7"/>
      <c r="Q973" s="745"/>
      <c r="R973" s="748"/>
    </row>
    <row r="974" spans="1:18" ht="15" customHeight="1">
      <c r="A974" s="745"/>
      <c r="B974" s="746"/>
      <c r="D974" s="747"/>
      <c r="E974" s="745"/>
      <c r="F974" s="745"/>
      <c r="G974" s="4"/>
      <c r="H974" s="4"/>
      <c r="I974" s="5"/>
      <c r="J974" s="6"/>
      <c r="O974" s="3"/>
      <c r="P974" s="7"/>
      <c r="Q974" s="745"/>
      <c r="R974" s="748"/>
    </row>
    <row r="975" spans="1:18" ht="15" customHeight="1">
      <c r="A975" s="745"/>
      <c r="B975" s="746"/>
      <c r="D975" s="747"/>
      <c r="E975" s="745"/>
      <c r="F975" s="745"/>
      <c r="G975" s="4"/>
      <c r="H975" s="4"/>
      <c r="I975" s="5"/>
      <c r="J975" s="6"/>
      <c r="O975" s="3"/>
      <c r="P975" s="7"/>
      <c r="Q975" s="745"/>
      <c r="R975" s="748"/>
    </row>
    <row r="976" spans="1:18" ht="15" customHeight="1">
      <c r="A976" s="745"/>
      <c r="B976" s="746"/>
      <c r="D976" s="747"/>
      <c r="E976" s="745"/>
      <c r="F976" s="745"/>
      <c r="G976" s="4"/>
      <c r="H976" s="4"/>
      <c r="I976" s="5"/>
      <c r="J976" s="6"/>
      <c r="O976" s="3"/>
      <c r="P976" s="7"/>
      <c r="Q976" s="745"/>
      <c r="R976" s="748"/>
    </row>
    <row r="977" spans="1:18" ht="15" customHeight="1">
      <c r="A977" s="745"/>
      <c r="B977" s="746"/>
      <c r="D977" s="747"/>
      <c r="E977" s="745"/>
      <c r="F977" s="745"/>
      <c r="G977" s="4"/>
      <c r="H977" s="4"/>
      <c r="I977" s="5"/>
      <c r="J977" s="6"/>
      <c r="O977" s="3"/>
      <c r="P977" s="7"/>
      <c r="Q977" s="745"/>
      <c r="R977" s="748"/>
    </row>
    <row r="978" spans="1:18" ht="15" customHeight="1">
      <c r="A978" s="745"/>
      <c r="B978" s="746"/>
      <c r="D978" s="747"/>
      <c r="E978" s="745"/>
      <c r="F978" s="745"/>
      <c r="G978" s="4"/>
      <c r="H978" s="4"/>
      <c r="I978" s="5"/>
      <c r="J978" s="6"/>
      <c r="O978" s="3"/>
      <c r="P978" s="7"/>
      <c r="Q978" s="745"/>
      <c r="R978" s="748"/>
    </row>
    <row r="979" spans="1:18" ht="15" customHeight="1">
      <c r="A979" s="745"/>
      <c r="B979" s="746"/>
      <c r="D979" s="747"/>
      <c r="E979" s="745"/>
      <c r="F979" s="745"/>
      <c r="G979" s="4"/>
      <c r="H979" s="4"/>
      <c r="I979" s="5"/>
      <c r="J979" s="6"/>
      <c r="O979" s="3"/>
      <c r="P979" s="7"/>
      <c r="Q979" s="745"/>
      <c r="R979" s="748"/>
    </row>
    <row r="980" spans="1:18" ht="15" customHeight="1">
      <c r="A980" s="745"/>
      <c r="B980" s="746"/>
      <c r="D980" s="747"/>
      <c r="E980" s="745"/>
      <c r="F980" s="745"/>
      <c r="G980" s="4"/>
      <c r="H980" s="4"/>
      <c r="I980" s="5"/>
      <c r="J980" s="6"/>
      <c r="O980" s="3"/>
      <c r="P980" s="7"/>
      <c r="Q980" s="745"/>
      <c r="R980" s="748"/>
    </row>
    <row r="981" spans="1:18" ht="15" customHeight="1">
      <c r="A981" s="745"/>
      <c r="B981" s="746"/>
      <c r="D981" s="747"/>
      <c r="E981" s="745"/>
      <c r="F981" s="745"/>
      <c r="G981" s="4"/>
      <c r="H981" s="4"/>
      <c r="I981" s="5"/>
      <c r="J981" s="6"/>
      <c r="O981" s="3"/>
      <c r="P981" s="7"/>
      <c r="Q981" s="745"/>
      <c r="R981" s="748"/>
    </row>
    <row r="982" spans="1:18" ht="15" customHeight="1">
      <c r="A982" s="745"/>
      <c r="B982" s="746"/>
      <c r="D982" s="747"/>
      <c r="E982" s="745"/>
      <c r="F982" s="745"/>
      <c r="G982" s="4"/>
      <c r="H982" s="4"/>
      <c r="I982" s="5"/>
      <c r="J982" s="6"/>
      <c r="O982" s="3"/>
      <c r="P982" s="7"/>
      <c r="Q982" s="745"/>
      <c r="R982" s="748"/>
    </row>
    <row r="983" spans="1:18" ht="15" customHeight="1">
      <c r="A983" s="745"/>
      <c r="B983" s="746"/>
      <c r="D983" s="747"/>
      <c r="E983" s="745"/>
      <c r="F983" s="745"/>
      <c r="G983" s="4"/>
      <c r="H983" s="4"/>
      <c r="I983" s="5"/>
      <c r="J983" s="6"/>
      <c r="O983" s="3"/>
      <c r="P983" s="7"/>
      <c r="Q983" s="745"/>
      <c r="R983" s="748"/>
    </row>
    <row r="984" spans="1:18" ht="15" customHeight="1">
      <c r="A984" s="745"/>
      <c r="B984" s="746"/>
      <c r="D984" s="747"/>
      <c r="E984" s="745"/>
      <c r="F984" s="745"/>
      <c r="G984" s="4"/>
      <c r="H984" s="4"/>
      <c r="I984" s="5"/>
      <c r="J984" s="6"/>
      <c r="O984" s="3"/>
      <c r="P984" s="7"/>
      <c r="Q984" s="745"/>
      <c r="R984" s="748"/>
    </row>
    <row r="985" spans="1:18" ht="15" customHeight="1">
      <c r="A985" s="745"/>
      <c r="B985" s="746"/>
      <c r="D985" s="747"/>
      <c r="E985" s="745"/>
      <c r="F985" s="745"/>
      <c r="G985" s="4"/>
      <c r="H985" s="4"/>
      <c r="I985" s="5"/>
      <c r="J985" s="6"/>
      <c r="O985" s="3"/>
      <c r="P985" s="7"/>
      <c r="Q985" s="745"/>
      <c r="R985" s="748"/>
    </row>
    <row r="986" spans="1:18" ht="15" customHeight="1">
      <c r="A986" s="745"/>
      <c r="B986" s="746"/>
      <c r="D986" s="747"/>
      <c r="E986" s="745"/>
      <c r="F986" s="745"/>
      <c r="G986" s="4"/>
      <c r="H986" s="4"/>
      <c r="I986" s="5"/>
      <c r="J986" s="6"/>
      <c r="O986" s="3"/>
      <c r="P986" s="7"/>
      <c r="Q986" s="745"/>
      <c r="R986" s="748"/>
    </row>
    <row r="987" spans="1:18" ht="15" customHeight="1">
      <c r="A987" s="745"/>
      <c r="B987" s="746"/>
      <c r="D987" s="747"/>
      <c r="E987" s="745"/>
      <c r="F987" s="745"/>
      <c r="G987" s="4"/>
      <c r="H987" s="4"/>
      <c r="I987" s="5"/>
      <c r="J987" s="6"/>
      <c r="O987" s="3"/>
      <c r="P987" s="7"/>
      <c r="Q987" s="745"/>
      <c r="R987" s="748"/>
    </row>
    <row r="988" spans="1:18" ht="15" customHeight="1">
      <c r="A988" s="745"/>
      <c r="B988" s="746"/>
      <c r="D988" s="747"/>
      <c r="E988" s="745"/>
      <c r="F988" s="745"/>
      <c r="G988" s="4"/>
      <c r="H988" s="4"/>
      <c r="I988" s="5"/>
      <c r="J988" s="6"/>
      <c r="O988" s="3"/>
      <c r="P988" s="7"/>
      <c r="Q988" s="745"/>
      <c r="R988" s="748"/>
    </row>
    <row r="989" spans="1:18" ht="15" customHeight="1">
      <c r="A989" s="745"/>
      <c r="B989" s="746"/>
      <c r="D989" s="747"/>
      <c r="E989" s="745"/>
      <c r="F989" s="745"/>
      <c r="G989" s="4"/>
      <c r="H989" s="4"/>
      <c r="I989" s="5"/>
      <c r="J989" s="6"/>
      <c r="O989" s="3"/>
      <c r="P989" s="7"/>
      <c r="Q989" s="745"/>
      <c r="R989" s="748"/>
    </row>
    <row r="990" spans="1:18" ht="15" customHeight="1">
      <c r="A990" s="745"/>
      <c r="B990" s="746"/>
      <c r="D990" s="747"/>
      <c r="E990" s="745"/>
      <c r="F990" s="745"/>
      <c r="G990" s="4"/>
      <c r="H990" s="4"/>
      <c r="I990" s="5"/>
      <c r="J990" s="6"/>
      <c r="O990" s="3"/>
      <c r="P990" s="7"/>
      <c r="Q990" s="745"/>
      <c r="R990" s="748"/>
    </row>
    <row r="991" spans="1:18" ht="15" customHeight="1">
      <c r="A991" s="745"/>
      <c r="B991" s="746"/>
      <c r="D991" s="747"/>
      <c r="E991" s="745"/>
      <c r="F991" s="745"/>
      <c r="G991" s="4"/>
      <c r="H991" s="4"/>
      <c r="I991" s="5"/>
      <c r="J991" s="6"/>
      <c r="O991" s="3"/>
      <c r="P991" s="7"/>
      <c r="Q991" s="745"/>
      <c r="R991" s="748"/>
    </row>
    <row r="992" spans="1:18" ht="15" customHeight="1">
      <c r="A992" s="745"/>
      <c r="B992" s="746"/>
      <c r="D992" s="747"/>
      <c r="E992" s="745"/>
      <c r="F992" s="745"/>
      <c r="G992" s="4"/>
      <c r="H992" s="4"/>
      <c r="I992" s="5"/>
      <c r="J992" s="6"/>
      <c r="O992" s="3"/>
      <c r="P992" s="7"/>
      <c r="Q992" s="745"/>
      <c r="R992" s="748"/>
    </row>
    <row r="993" spans="1:18" ht="15" customHeight="1">
      <c r="A993" s="745"/>
      <c r="B993" s="746"/>
      <c r="D993" s="747"/>
      <c r="E993" s="745"/>
      <c r="F993" s="745"/>
      <c r="G993" s="4"/>
      <c r="H993" s="4"/>
      <c r="I993" s="5"/>
      <c r="J993" s="6"/>
      <c r="O993" s="3"/>
      <c r="P993" s="7"/>
      <c r="Q993" s="745"/>
      <c r="R993" s="748"/>
    </row>
    <row r="994" spans="1:18" ht="15" customHeight="1">
      <c r="A994" s="745"/>
      <c r="B994" s="746"/>
      <c r="D994" s="747"/>
      <c r="E994" s="745"/>
      <c r="F994" s="745"/>
      <c r="G994" s="4"/>
      <c r="H994" s="4"/>
      <c r="I994" s="5"/>
      <c r="J994" s="6"/>
      <c r="O994" s="3"/>
      <c r="P994" s="7"/>
      <c r="Q994" s="745"/>
      <c r="R994" s="748"/>
    </row>
    <row r="995" spans="1:18" ht="15" customHeight="1">
      <c r="A995" s="745"/>
      <c r="B995" s="746"/>
      <c r="D995" s="747"/>
      <c r="E995" s="745"/>
      <c r="F995" s="745"/>
      <c r="G995" s="4"/>
      <c r="H995" s="4"/>
      <c r="I995" s="5"/>
      <c r="J995" s="6"/>
      <c r="O995" s="3"/>
      <c r="P995" s="7"/>
      <c r="Q995" s="745"/>
      <c r="R995" s="748"/>
    </row>
    <row r="996" spans="1:18" ht="15" customHeight="1">
      <c r="A996" s="745"/>
      <c r="B996" s="746"/>
      <c r="D996" s="747"/>
      <c r="E996" s="745"/>
      <c r="F996" s="745"/>
      <c r="G996" s="4"/>
      <c r="H996" s="4"/>
      <c r="I996" s="5"/>
      <c r="J996" s="6"/>
      <c r="O996" s="3"/>
      <c r="P996" s="7"/>
      <c r="Q996" s="745"/>
      <c r="R996" s="748"/>
    </row>
    <row r="997" spans="1:18" ht="15" customHeight="1">
      <c r="A997" s="745"/>
      <c r="B997" s="746"/>
      <c r="D997" s="747"/>
      <c r="E997" s="745"/>
      <c r="F997" s="745"/>
      <c r="G997" s="4"/>
      <c r="H997" s="4"/>
      <c r="I997" s="5"/>
      <c r="J997" s="6"/>
      <c r="O997" s="3"/>
      <c r="P997" s="7"/>
      <c r="Q997" s="745"/>
      <c r="R997" s="748"/>
    </row>
    <row r="998" spans="1:18" ht="15" customHeight="1">
      <c r="A998" s="745"/>
      <c r="B998" s="746"/>
      <c r="D998" s="747"/>
      <c r="E998" s="745"/>
      <c r="F998" s="745"/>
      <c r="G998" s="4"/>
      <c r="H998" s="4"/>
      <c r="I998" s="5"/>
      <c r="J998" s="6"/>
      <c r="O998" s="3"/>
      <c r="P998" s="7"/>
      <c r="Q998" s="745"/>
      <c r="R998" s="748"/>
    </row>
    <row r="999" spans="1:18" ht="15" customHeight="1">
      <c r="A999" s="745"/>
      <c r="B999" s="746"/>
      <c r="D999" s="747"/>
      <c r="E999" s="745"/>
      <c r="F999" s="745"/>
      <c r="G999" s="4"/>
      <c r="H999" s="4"/>
      <c r="I999" s="5"/>
      <c r="J999" s="6"/>
      <c r="O999" s="3"/>
      <c r="P999" s="7"/>
      <c r="Q999" s="745"/>
      <c r="R999" s="748"/>
    </row>
    <row r="1000" spans="1:18" ht="15" customHeight="1">
      <c r="A1000" s="745"/>
      <c r="B1000" s="746"/>
      <c r="D1000" s="747"/>
      <c r="E1000" s="745"/>
      <c r="F1000" s="745"/>
      <c r="G1000" s="4"/>
      <c r="H1000" s="4"/>
      <c r="I1000" s="5"/>
      <c r="J1000" s="6"/>
      <c r="L1000" s="745"/>
      <c r="M1000" s="745"/>
      <c r="O1000" s="3"/>
      <c r="P1000" s="7"/>
      <c r="Q1000" s="745"/>
      <c r="R1000" s="748"/>
    </row>
    <row r="1001" spans="1:18" ht="15" customHeight="1">
      <c r="A1001" s="745"/>
      <c r="B1001" s="749"/>
      <c r="H1001" s="745"/>
    </row>
    <row r="1002" spans="1:18" ht="15" customHeight="1">
      <c r="A1002" s="745"/>
      <c r="B1002" s="749"/>
      <c r="H1002" s="745"/>
    </row>
    <row r="1003" spans="1:18" ht="15" customHeight="1">
      <c r="A1003" s="745"/>
      <c r="B1003" s="749"/>
      <c r="H1003" s="745"/>
    </row>
    <row r="1004" spans="1:18" ht="15" customHeight="1">
      <c r="A1004" s="745"/>
      <c r="B1004" s="749"/>
      <c r="H1004" s="745"/>
    </row>
    <row r="1005" spans="1:18" ht="15" customHeight="1">
      <c r="A1005" s="745"/>
      <c r="B1005" s="749"/>
      <c r="H1005" s="745"/>
    </row>
    <row r="1006" spans="1:18" ht="15" customHeight="1">
      <c r="A1006" s="745"/>
      <c r="B1006" s="749"/>
      <c r="H1006" s="745"/>
    </row>
    <row r="1007" spans="1:18" ht="15" customHeight="1">
      <c r="A1007" s="745"/>
      <c r="B1007" s="749"/>
      <c r="H1007" s="745"/>
    </row>
    <row r="1008" spans="1:18" ht="15" customHeight="1">
      <c r="A1008" s="745"/>
      <c r="B1008" s="749"/>
      <c r="H1008" s="745"/>
    </row>
    <row r="1009" spans="1:8" ht="15" customHeight="1">
      <c r="A1009" s="745"/>
      <c r="B1009" s="749"/>
      <c r="H1009" s="745"/>
    </row>
    <row r="1010" spans="1:8" ht="15" customHeight="1">
      <c r="A1010" s="745"/>
      <c r="B1010" s="749"/>
      <c r="H1010" s="745"/>
    </row>
    <row r="1011" spans="1:8" ht="15" customHeight="1">
      <c r="A1011" s="745"/>
      <c r="B1011" s="749"/>
      <c r="H1011" s="745"/>
    </row>
    <row r="1012" spans="1:8" ht="15" customHeight="1">
      <c r="A1012" s="745"/>
      <c r="B1012" s="749"/>
      <c r="H1012" s="745"/>
    </row>
  </sheetData>
  <mergeCells count="2">
    <mergeCell ref="T253:U253"/>
    <mergeCell ref="T309:U309"/>
  </mergeCells>
  <conditionalFormatting sqref="C806:C807">
    <cfRule type="expression" dxfId="50" priority="26" stopIfTrue="1">
      <formula>$C806="INDIAMART"</formula>
    </cfRule>
    <cfRule type="expression" dxfId="49" priority="27" stopIfTrue="1">
      <formula>$C806="MAIL"</formula>
    </cfRule>
  </conditionalFormatting>
  <conditionalFormatting sqref="F2:F835 F849:F1016">
    <cfRule type="expression" dxfId="48" priority="3" stopIfTrue="1">
      <formula>$F2="Jib crane"</formula>
    </cfRule>
    <cfRule type="expression" dxfId="47" priority="4" stopIfTrue="1">
      <formula>$F2="EOT Crane"</formula>
    </cfRule>
  </conditionalFormatting>
  <conditionalFormatting sqref="J2:J1016">
    <cfRule type="expression" dxfId="46" priority="11" stopIfTrue="1">
      <formula>$J2="CONTACTED"</formula>
    </cfRule>
    <cfRule type="expression" dxfId="45" priority="12" stopIfTrue="1">
      <formula>$J2="QUOTATION REQ."</formula>
    </cfRule>
    <cfRule type="expression" dxfId="44" priority="13" stopIfTrue="1">
      <formula>$J2="NEW"</formula>
    </cfRule>
    <cfRule type="expression" dxfId="43" priority="14" stopIfTrue="1">
      <formula>$J2="NOT RECEIVED"</formula>
    </cfRule>
    <cfRule type="expression" dxfId="42" priority="15" stopIfTrue="1">
      <formula>$J2="CLOSED"</formula>
    </cfRule>
    <cfRule type="expression" dxfId="41" priority="16" stopIfTrue="1">
      <formula>$J2="PO EXPECTED"</formula>
    </cfRule>
    <cfRule type="expression" dxfId="40" priority="17" stopIfTrue="1">
      <formula>$J2="NOT INTERESTED"</formula>
    </cfRule>
    <cfRule type="expression" dxfId="39" priority="18" stopIfTrue="1">
      <formula>$J2="FAKE"</formula>
    </cfRule>
    <cfRule type="expression" dxfId="38" priority="19" stopIfTrue="1">
      <formula>$J2="LOST"</formula>
    </cfRule>
    <cfRule type="expression" dxfId="37" priority="20" stopIfTrue="1">
      <formula>$J2="QUOTATION SHARED"</formula>
    </cfRule>
    <cfRule type="expression" dxfId="36" priority="21" stopIfTrue="1">
      <formula>$J2="WIN"</formula>
    </cfRule>
  </conditionalFormatting>
  <conditionalFormatting sqref="L2:L1016">
    <cfRule type="expression" dxfId="35" priority="8" stopIfTrue="1">
      <formula>$L2="INDIAMART"</formula>
    </cfRule>
    <cfRule type="expression" dxfId="34" priority="9" stopIfTrue="1">
      <formula>$L2="MAIL"</formula>
    </cfRule>
  </conditionalFormatting>
  <conditionalFormatting sqref="M2:M1016">
    <cfRule type="expression" dxfId="33" priority="5" stopIfTrue="1">
      <formula>$M2="SAKSHI"</formula>
    </cfRule>
    <cfRule type="expression" dxfId="32" priority="6" stopIfTrue="1">
      <formula>$M2="VIVEK"</formula>
    </cfRule>
    <cfRule type="expression" dxfId="31" priority="7" stopIfTrue="1">
      <formula>$M2="RAVI"</formula>
    </cfRule>
    <cfRule type="expression" dxfId="30" priority="10" stopIfTrue="1">
      <formula>$M2="MALLESH"</formula>
    </cfRule>
  </conditionalFormatting>
  <conditionalFormatting sqref="O2:O1000">
    <cfRule type="notContainsBlanks" dxfId="29" priority="23">
      <formula>LEN(TRIM(O2))&gt;0</formula>
    </cfRule>
  </conditionalFormatting>
  <dataValidations count="6">
    <dataValidation type="custom" allowBlank="1" showDropDown="1" sqref="B2:B513" xr:uid="{00000000-0002-0000-0000-000009000000}">
      <formula1>OR(NOT(ISERROR(DATEVALUE(B2))), AND(ISNUMBER(B2), LEFT(CELL("format", B2))="D"))</formula1>
    </dataValidation>
    <dataValidation type="custom" allowBlank="1" showDropDown="1" sqref="P2:P511 P553:P563 P536:P551 P792" xr:uid="{00000000-0002-0000-0000-00000A000000}">
      <formula1>AND(ISNUMBER(P2),(NOT(OR(NOT(ISERROR(DATEVALUE(P2))), AND(ISNUMBER(P2), LEFT(CELL("format", P2))="D")))))</formula1>
    </dataValidation>
    <dataValidation type="list" allowBlank="1" sqref="F2:F565 F849:F1000 F570:F835" xr:uid="{00000000-0002-0000-0000-000002000000}">
      <formula1>"Modification,LCS,Monorail,EOT Crane,Jib Crane,Hoist,Gantry Crane,Manipulator,Scissor lifter,Manipulator,Others,Underslung,Goliath"</formula1>
    </dataValidation>
    <dataValidation type="list" allowBlank="1" sqref="F566:F569" xr:uid="{668A567C-4EFC-4142-8A86-03F89486D9AF}">
      <formula1>"Modification,LCS,Monorail,EOT Crane,Jib Crane,Hoist,Gantry Crane,Manipulator,Scissor lifter,Manipulator, Others,Underslung, Goliath"</formula1>
    </dataValidation>
    <dataValidation allowBlank="1" sqref="H568 N559:N611 N769 N758:N767 N772 N774:N784 N1:N557 C748 N614:N747 N749:N756 N787:N1048576" xr:uid="{95A34BAD-10CB-4834-B801-EDA09D95148B}"/>
    <dataValidation allowBlank="1" showErrorMessage="1" sqref="R1:R571 R573:R1048576" xr:uid="{ECE45EB5-792D-43BF-9BCF-2E76F5320F5D}"/>
  </dataValidations>
  <hyperlinks>
    <hyperlink ref="I2" r:id="rId1" xr:uid="{00000000-0004-0000-0000-000000000000}"/>
    <hyperlink ref="I12" r:id="rId2" xr:uid="{00000000-0004-0000-0000-000001000000}"/>
    <hyperlink ref="I13" r:id="rId3" xr:uid="{00000000-0004-0000-0000-000002000000}"/>
    <hyperlink ref="I9" r:id="rId4" xr:uid="{00000000-0004-0000-0000-000003000000}"/>
    <hyperlink ref="I14" r:id="rId5" xr:uid="{00000000-0004-0000-0000-000004000000}"/>
    <hyperlink ref="I10" r:id="rId6" xr:uid="{00000000-0004-0000-0000-000005000000}"/>
    <hyperlink ref="I7" r:id="rId7" xr:uid="{00000000-0004-0000-0000-000006000000}"/>
    <hyperlink ref="I11" r:id="rId8" xr:uid="{00000000-0004-0000-0000-000007000000}"/>
    <hyperlink ref="I20" r:id="rId9" xr:uid="{00000000-0004-0000-0000-000008000000}"/>
    <hyperlink ref="I23" r:id="rId10" xr:uid="{00000000-0004-0000-0000-000009000000}"/>
    <hyperlink ref="I29" r:id="rId11" xr:uid="{00000000-0004-0000-0000-00000A000000}"/>
    <hyperlink ref="I28" r:id="rId12" xr:uid="{00000000-0004-0000-0000-00000B000000}"/>
    <hyperlink ref="I30" r:id="rId13" xr:uid="{00000000-0004-0000-0000-00000C000000}"/>
    <hyperlink ref="I27" r:id="rId14" xr:uid="{00000000-0004-0000-0000-00000D000000}"/>
    <hyperlink ref="I25" r:id="rId15" xr:uid="{00000000-0004-0000-0000-00000E000000}"/>
    <hyperlink ref="I24" r:id="rId16" xr:uid="{00000000-0004-0000-0000-00000F000000}"/>
    <hyperlink ref="I22" r:id="rId17" xr:uid="{00000000-0004-0000-0000-000010000000}"/>
    <hyperlink ref="I38" r:id="rId18" xr:uid="{00000000-0004-0000-0000-000011000000}"/>
    <hyperlink ref="I39" r:id="rId19" xr:uid="{00000000-0004-0000-0000-000012000000}"/>
    <hyperlink ref="I31" r:id="rId20" xr:uid="{00000000-0004-0000-0000-000013000000}"/>
    <hyperlink ref="I32" r:id="rId21" xr:uid="{00000000-0004-0000-0000-000014000000}"/>
    <hyperlink ref="I37" r:id="rId22" xr:uid="{00000000-0004-0000-0000-000015000000}"/>
    <hyperlink ref="I36" r:id="rId23" xr:uid="{00000000-0004-0000-0000-000016000000}"/>
    <hyperlink ref="I35" r:id="rId24" xr:uid="{00000000-0004-0000-0000-000017000000}"/>
    <hyperlink ref="I34" r:id="rId25" xr:uid="{00000000-0004-0000-0000-000018000000}"/>
    <hyperlink ref="I33" r:id="rId26" xr:uid="{00000000-0004-0000-0000-000019000000}"/>
    <hyperlink ref="I40" r:id="rId27" xr:uid="{00000000-0004-0000-0000-00001A000000}"/>
    <hyperlink ref="I42" r:id="rId28" xr:uid="{00000000-0004-0000-0000-00001B000000}"/>
    <hyperlink ref="I45" r:id="rId29" xr:uid="{00000000-0004-0000-0000-00001C000000}"/>
    <hyperlink ref="I44" r:id="rId30" xr:uid="{00000000-0004-0000-0000-00001D000000}"/>
    <hyperlink ref="I41" r:id="rId31" xr:uid="{00000000-0004-0000-0000-00001E000000}"/>
    <hyperlink ref="I43" r:id="rId32" xr:uid="{00000000-0004-0000-0000-00001F000000}"/>
    <hyperlink ref="I53" r:id="rId33" xr:uid="{00000000-0004-0000-0000-000020000000}"/>
    <hyperlink ref="I55" r:id="rId34" xr:uid="{00000000-0004-0000-0000-000021000000}"/>
    <hyperlink ref="I47" r:id="rId35" xr:uid="{00000000-0004-0000-0000-000022000000}"/>
    <hyperlink ref="I56" r:id="rId36" xr:uid="{00000000-0004-0000-0000-000023000000}"/>
    <hyperlink ref="I50" r:id="rId37" xr:uid="{00000000-0004-0000-0000-000024000000}"/>
    <hyperlink ref="I59" r:id="rId38" xr:uid="{00000000-0004-0000-0000-000025000000}"/>
    <hyperlink ref="I60" r:id="rId39" xr:uid="{00000000-0004-0000-0000-000026000000}"/>
    <hyperlink ref="I54" r:id="rId40" xr:uid="{00000000-0004-0000-0000-000027000000}"/>
    <hyperlink ref="I51" r:id="rId41" xr:uid="{00000000-0004-0000-0000-000028000000}"/>
    <hyperlink ref="I67" r:id="rId42" xr:uid="{00000000-0004-0000-0000-000029000000}"/>
    <hyperlink ref="I72" r:id="rId43" xr:uid="{00000000-0004-0000-0000-00002A000000}"/>
    <hyperlink ref="I77" r:id="rId44" xr:uid="{00000000-0004-0000-0000-00002B000000}"/>
    <hyperlink ref="I78" r:id="rId45" xr:uid="{00000000-0004-0000-0000-00002C000000}"/>
    <hyperlink ref="I84" r:id="rId46" xr:uid="{00000000-0004-0000-0000-00002D000000}"/>
    <hyperlink ref="I95" r:id="rId47" xr:uid="{00000000-0004-0000-0000-00002E000000}"/>
    <hyperlink ref="I88" r:id="rId48" xr:uid="{00000000-0004-0000-0000-00002F000000}"/>
    <hyperlink ref="I96" r:id="rId49" xr:uid="{00000000-0004-0000-0000-000030000000}"/>
    <hyperlink ref="I89" r:id="rId50" xr:uid="{00000000-0004-0000-0000-000031000000}"/>
    <hyperlink ref="I97" r:id="rId51" xr:uid="{00000000-0004-0000-0000-000032000000}"/>
    <hyperlink ref="I98" r:id="rId52" xr:uid="{00000000-0004-0000-0000-000033000000}"/>
    <hyperlink ref="I108" r:id="rId53" xr:uid="{00000000-0004-0000-0000-000034000000}"/>
    <hyperlink ref="I104" r:id="rId54" xr:uid="{00000000-0004-0000-0000-000035000000}"/>
    <hyperlink ref="I100" r:id="rId55" xr:uid="{00000000-0004-0000-0000-000036000000}"/>
    <hyperlink ref="I105" r:id="rId56" xr:uid="{00000000-0004-0000-0000-000037000000}"/>
    <hyperlink ref="I101" r:id="rId57" xr:uid="{00000000-0004-0000-0000-000038000000}"/>
    <hyperlink ref="I106" r:id="rId58" xr:uid="{00000000-0004-0000-0000-000039000000}"/>
    <hyperlink ref="I111" r:id="rId59" xr:uid="{00000000-0004-0000-0000-00003A000000}"/>
    <hyperlink ref="I107" r:id="rId60" xr:uid="{00000000-0004-0000-0000-00003B000000}"/>
    <hyperlink ref="I102" r:id="rId61" xr:uid="{00000000-0004-0000-0000-00003C000000}"/>
    <hyperlink ref="I112" r:id="rId62" xr:uid="{00000000-0004-0000-0000-00003D000000}"/>
    <hyperlink ref="I110" r:id="rId63" xr:uid="{00000000-0004-0000-0000-00003E000000}"/>
    <hyperlink ref="I118" r:id="rId64" xr:uid="{00000000-0004-0000-0000-00003F000000}"/>
    <hyperlink ref="I126" r:id="rId65" xr:uid="{00000000-0004-0000-0000-000040000000}"/>
    <hyperlink ref="I114" r:id="rId66" xr:uid="{00000000-0004-0000-0000-000041000000}"/>
    <hyperlink ref="I116" r:id="rId67" xr:uid="{00000000-0004-0000-0000-000042000000}"/>
    <hyperlink ref="I123" r:id="rId68" xr:uid="{00000000-0004-0000-0000-000043000000}"/>
    <hyperlink ref="I119" r:id="rId69" xr:uid="{00000000-0004-0000-0000-000044000000}"/>
    <hyperlink ref="I124" r:id="rId70" xr:uid="{00000000-0004-0000-0000-000045000000}"/>
    <hyperlink ref="I125" r:id="rId71" xr:uid="{00000000-0004-0000-0000-000046000000}"/>
    <hyperlink ref="I121" r:id="rId72" xr:uid="{00000000-0004-0000-0000-000047000000}"/>
    <hyperlink ref="I133" r:id="rId73" xr:uid="{00000000-0004-0000-0000-000048000000}"/>
    <hyperlink ref="I127" r:id="rId74" xr:uid="{00000000-0004-0000-0000-000049000000}"/>
    <hyperlink ref="I150" r:id="rId75" xr:uid="{00000000-0004-0000-0000-00004A000000}"/>
    <hyperlink ref="I148" r:id="rId76" xr:uid="{00000000-0004-0000-0000-00004B000000}"/>
    <hyperlink ref="I139" r:id="rId77" xr:uid="{00000000-0004-0000-0000-00004C000000}"/>
    <hyperlink ref="I155" r:id="rId78" xr:uid="{00000000-0004-0000-0000-00004D000000}"/>
    <hyperlink ref="I157" r:id="rId79" xr:uid="{00000000-0004-0000-0000-00004E000000}"/>
    <hyperlink ref="I159" r:id="rId80" xr:uid="{00000000-0004-0000-0000-00004F000000}"/>
    <hyperlink ref="I172" r:id="rId81" xr:uid="{00000000-0004-0000-0000-000050000000}"/>
    <hyperlink ref="I162" r:id="rId82" xr:uid="{00000000-0004-0000-0000-000051000000}"/>
    <hyperlink ref="I173" r:id="rId83" xr:uid="{00000000-0004-0000-0000-000052000000}"/>
    <hyperlink ref="I164" r:id="rId84" xr:uid="{00000000-0004-0000-0000-000053000000}"/>
    <hyperlink ref="I171" r:id="rId85" xr:uid="{00000000-0004-0000-0000-000054000000}"/>
    <hyperlink ref="I183" r:id="rId86" xr:uid="{00000000-0004-0000-0000-000055000000}"/>
    <hyperlink ref="I184" r:id="rId87" xr:uid="{00000000-0004-0000-0000-000056000000}"/>
    <hyperlink ref="I185" r:id="rId88" xr:uid="{00000000-0004-0000-0000-000057000000}"/>
    <hyperlink ref="I179" r:id="rId89" xr:uid="{00000000-0004-0000-0000-000058000000}"/>
    <hyperlink ref="I198" r:id="rId90" xr:uid="{00000000-0004-0000-0000-000059000000}"/>
    <hyperlink ref="I205" r:id="rId91" xr:uid="{00000000-0004-0000-0000-00005A000000}"/>
    <hyperlink ref="I204" r:id="rId92" xr:uid="{00000000-0004-0000-0000-00005B000000}"/>
    <hyperlink ref="I199" r:id="rId93" xr:uid="{00000000-0004-0000-0000-00005C000000}"/>
    <hyperlink ref="I208" r:id="rId94" xr:uid="{00000000-0004-0000-0000-00005D000000}"/>
    <hyperlink ref="I193" r:id="rId95" xr:uid="{00000000-0004-0000-0000-00005E000000}"/>
    <hyperlink ref="I211" r:id="rId96" xr:uid="{00000000-0004-0000-0000-00005F000000}"/>
    <hyperlink ref="I192" r:id="rId97" xr:uid="{00000000-0004-0000-0000-000060000000}"/>
    <hyperlink ref="I209" r:id="rId98" xr:uid="{00000000-0004-0000-0000-000061000000}"/>
    <hyperlink ref="I191" r:id="rId99" xr:uid="{00000000-0004-0000-0000-000062000000}"/>
    <hyperlink ref="I217" r:id="rId100" xr:uid="{00000000-0004-0000-0000-000063000000}"/>
    <hyperlink ref="I224" r:id="rId101" xr:uid="{00000000-0004-0000-0000-000064000000}"/>
    <hyperlink ref="I218" r:id="rId102" xr:uid="{00000000-0004-0000-0000-000065000000}"/>
    <hyperlink ref="I231" r:id="rId103" xr:uid="{00000000-0004-0000-0000-000066000000}"/>
    <hyperlink ref="I226" r:id="rId104" xr:uid="{00000000-0004-0000-0000-000067000000}"/>
    <hyperlink ref="I227" r:id="rId105" xr:uid="{00000000-0004-0000-0000-000068000000}"/>
    <hyperlink ref="I232" r:id="rId106" xr:uid="{00000000-0004-0000-0000-000069000000}"/>
    <hyperlink ref="I225" r:id="rId107" xr:uid="{00000000-0004-0000-0000-00006A000000}"/>
    <hyperlink ref="I237" r:id="rId108" xr:uid="{00000000-0004-0000-0000-00006B000000}"/>
    <hyperlink ref="I238" r:id="rId109" xr:uid="{00000000-0004-0000-0000-00006C000000}"/>
    <hyperlink ref="I236" r:id="rId110" xr:uid="{00000000-0004-0000-0000-00006D000000}"/>
    <hyperlink ref="I242" r:id="rId111" xr:uid="{00000000-0004-0000-0000-00006E000000}"/>
    <hyperlink ref="I243" r:id="rId112" xr:uid="{00000000-0004-0000-0000-00006F000000}"/>
    <hyperlink ref="I244" r:id="rId113" xr:uid="{00000000-0004-0000-0000-000070000000}"/>
    <hyperlink ref="I240" r:id="rId114" xr:uid="{00000000-0004-0000-0000-000071000000}"/>
    <hyperlink ref="I241" r:id="rId115" xr:uid="{00000000-0004-0000-0000-000072000000}"/>
    <hyperlink ref="I239" r:id="rId116" xr:uid="{00000000-0004-0000-0000-000073000000}"/>
    <hyperlink ref="I250" r:id="rId117" xr:uid="{00000000-0004-0000-0000-000074000000}"/>
    <hyperlink ref="I245" r:id="rId118" xr:uid="{00000000-0004-0000-0000-000075000000}"/>
    <hyperlink ref="I251" r:id="rId119" xr:uid="{00000000-0004-0000-0000-000076000000}"/>
    <hyperlink ref="I253" r:id="rId120" xr:uid="{00000000-0004-0000-0000-000077000000}"/>
    <hyperlink ref="I255" r:id="rId121" xr:uid="{00000000-0004-0000-0000-000078000000}"/>
    <hyperlink ref="I260" r:id="rId122" xr:uid="{00000000-0004-0000-0000-000079000000}"/>
    <hyperlink ref="I258" r:id="rId123" xr:uid="{00000000-0004-0000-0000-00007A000000}"/>
    <hyperlink ref="I261" r:id="rId124" xr:uid="{00000000-0004-0000-0000-00007B000000}"/>
    <hyperlink ref="I257" r:id="rId125" xr:uid="{00000000-0004-0000-0000-00007C000000}"/>
    <hyperlink ref="I262" r:id="rId126" xr:uid="{00000000-0004-0000-0000-00007D000000}"/>
    <hyperlink ref="I256" r:id="rId127" xr:uid="{00000000-0004-0000-0000-00007E000000}"/>
    <hyperlink ref="I269" r:id="rId128" xr:uid="{00000000-0004-0000-0000-00007F000000}"/>
    <hyperlink ref="I265" r:id="rId129" xr:uid="{00000000-0004-0000-0000-000080000000}"/>
    <hyperlink ref="I273" r:id="rId130" xr:uid="{00000000-0004-0000-0000-000081000000}"/>
    <hyperlink ref="I276" r:id="rId131" xr:uid="{00000000-0004-0000-0000-000082000000}"/>
    <hyperlink ref="I277" r:id="rId132" xr:uid="{00000000-0004-0000-0000-000083000000}"/>
    <hyperlink ref="I282" r:id="rId133" xr:uid="{00000000-0004-0000-0000-000084000000}"/>
    <hyperlink ref="I284" r:id="rId134" xr:uid="{00000000-0004-0000-0000-000085000000}"/>
    <hyperlink ref="I289" r:id="rId135" xr:uid="{00000000-0004-0000-0000-000086000000}"/>
    <hyperlink ref="I286" r:id="rId136" xr:uid="{00000000-0004-0000-0000-000087000000}"/>
    <hyperlink ref="I297" r:id="rId137" xr:uid="{00000000-0004-0000-0000-000088000000}"/>
    <hyperlink ref="I296" r:id="rId138" xr:uid="{00000000-0004-0000-0000-000089000000}"/>
    <hyperlink ref="I295" r:id="rId139" xr:uid="{00000000-0004-0000-0000-00008A000000}"/>
    <hyperlink ref="I303" r:id="rId140" xr:uid="{00000000-0004-0000-0000-00008B000000}"/>
    <hyperlink ref="I301" r:id="rId141" xr:uid="{00000000-0004-0000-0000-00008C000000}"/>
    <hyperlink ref="I300" r:id="rId142" xr:uid="{00000000-0004-0000-0000-00008D000000}"/>
    <hyperlink ref="I304" r:id="rId143" xr:uid="{00000000-0004-0000-0000-00008E000000}"/>
    <hyperlink ref="I299" r:id="rId144" xr:uid="{00000000-0004-0000-0000-00008F000000}"/>
    <hyperlink ref="I306" r:id="rId145" xr:uid="{00000000-0004-0000-0000-000090000000}"/>
    <hyperlink ref="I305" r:id="rId146" xr:uid="{00000000-0004-0000-0000-000091000000}"/>
    <hyperlink ref="I308" r:id="rId147" xr:uid="{00000000-0004-0000-0000-000092000000}"/>
    <hyperlink ref="I309" r:id="rId148" xr:uid="{00000000-0004-0000-0000-000093000000}"/>
    <hyperlink ref="I307" r:id="rId149" xr:uid="{00000000-0004-0000-0000-000094000000}"/>
    <hyperlink ref="I316" r:id="rId150" xr:uid="{00000000-0004-0000-0000-000095000000}"/>
    <hyperlink ref="I317" r:id="rId151" xr:uid="{00000000-0004-0000-0000-000096000000}"/>
    <hyperlink ref="I315" r:id="rId152" xr:uid="{00000000-0004-0000-0000-000097000000}"/>
    <hyperlink ref="I321" r:id="rId153" xr:uid="{00000000-0004-0000-0000-000098000000}"/>
    <hyperlink ref="I327" r:id="rId154" xr:uid="{00000000-0004-0000-0000-000099000000}"/>
    <hyperlink ref="I324" r:id="rId155" xr:uid="{00000000-0004-0000-0000-00009A000000}"/>
    <hyperlink ref="I328" r:id="rId156" xr:uid="{00000000-0004-0000-0000-00009B000000}"/>
    <hyperlink ref="I331" r:id="rId157" xr:uid="{00000000-0004-0000-0000-00009C000000}"/>
    <hyperlink ref="I345" r:id="rId158" xr:uid="{00000000-0004-0000-0000-00009D000000}"/>
    <hyperlink ref="I341" r:id="rId159" xr:uid="{00000000-0004-0000-0000-00009E000000}"/>
    <hyperlink ref="I340" r:id="rId160" xr:uid="{00000000-0004-0000-0000-00009F000000}"/>
    <hyperlink ref="I332" r:id="rId161" xr:uid="{00000000-0004-0000-0000-0000A0000000}"/>
    <hyperlink ref="I342" r:id="rId162" xr:uid="{00000000-0004-0000-0000-0000A1000000}"/>
    <hyperlink ref="I329" r:id="rId163" xr:uid="{00000000-0004-0000-0000-0000A2000000}"/>
    <hyperlink ref="I347" r:id="rId164" xr:uid="{00000000-0004-0000-0000-0000A3000000}"/>
    <hyperlink ref="I353" r:id="rId165" xr:uid="{00000000-0004-0000-0000-0000A4000000}"/>
    <hyperlink ref="I352" r:id="rId166" xr:uid="{00000000-0004-0000-0000-0000A5000000}"/>
    <hyperlink ref="I351" r:id="rId167" xr:uid="{00000000-0004-0000-0000-0000A6000000}"/>
    <hyperlink ref="I359" r:id="rId168" xr:uid="{00000000-0004-0000-0000-0000A7000000}"/>
    <hyperlink ref="I360" r:id="rId169" xr:uid="{00000000-0004-0000-0000-0000A8000000}"/>
    <hyperlink ref="I361" r:id="rId170" xr:uid="{00000000-0004-0000-0000-0000A9000000}"/>
    <hyperlink ref="I357" r:id="rId171" xr:uid="{00000000-0004-0000-0000-0000AA000000}"/>
    <hyperlink ref="I369" r:id="rId172" xr:uid="{00000000-0004-0000-0000-0000AB000000}"/>
    <hyperlink ref="I379" r:id="rId173" xr:uid="{00000000-0004-0000-0000-0000AC000000}"/>
    <hyperlink ref="I368" r:id="rId174" xr:uid="{00000000-0004-0000-0000-0000AD000000}"/>
    <hyperlink ref="I375" r:id="rId175" xr:uid="{00000000-0004-0000-0000-0000AE000000}"/>
    <hyperlink ref="I372" r:id="rId176" xr:uid="{00000000-0004-0000-0000-0000AF000000}"/>
    <hyperlink ref="I371" r:id="rId177" xr:uid="{00000000-0004-0000-0000-0000B0000000}"/>
    <hyperlink ref="I376" r:id="rId178" xr:uid="{00000000-0004-0000-0000-0000B1000000}"/>
    <hyperlink ref="I387" r:id="rId179" xr:uid="{00000000-0004-0000-0000-0000B2000000}"/>
    <hyperlink ref="I389" r:id="rId180" xr:uid="{00000000-0004-0000-0000-0000B3000000}"/>
    <hyperlink ref="I390" r:id="rId181" xr:uid="{00000000-0004-0000-0000-0000B4000000}"/>
    <hyperlink ref="I399" r:id="rId182" xr:uid="{00000000-0004-0000-0000-0000B5000000}"/>
    <hyperlink ref="I401" r:id="rId183" xr:uid="{00000000-0004-0000-0000-0000B6000000}"/>
    <hyperlink ref="I398" r:id="rId184" xr:uid="{00000000-0004-0000-0000-0000B7000000}"/>
    <hyperlink ref="I404" r:id="rId185" xr:uid="{00000000-0004-0000-0000-0000B8000000}"/>
    <hyperlink ref="I405" r:id="rId186" xr:uid="{00000000-0004-0000-0000-0000B9000000}"/>
    <hyperlink ref="I402" r:id="rId187" xr:uid="{00000000-0004-0000-0000-0000BA000000}"/>
    <hyperlink ref="I394" r:id="rId188" xr:uid="{00000000-0004-0000-0000-0000BB000000}"/>
    <hyperlink ref="I395" r:id="rId189" xr:uid="{00000000-0004-0000-0000-0000BC000000}"/>
    <hyperlink ref="I458" r:id="rId190" xr:uid="{00000000-0004-0000-0000-0000BD000000}"/>
    <hyperlink ref="I478" r:id="rId191" xr:uid="{00000000-0004-0000-0000-0000BE000000}"/>
    <hyperlink ref="C528" r:id="rId192" xr:uid="{A6792878-0FCB-4A19-85B8-B25A7BD31B1F}"/>
    <hyperlink ref="I472" r:id="rId193" display="'application1@armwelders.com'" xr:uid="{5BBF50DD-2B28-444C-8A8F-57A2E7404C60}"/>
    <hyperlink ref="I477" r:id="rId194" xr:uid="{0CBA8A2F-B399-4F53-B349-CF3E1A69E4EC}"/>
    <hyperlink ref="I424" r:id="rId195" xr:uid="{78E83CB2-D73F-454F-8DEF-C84AD608FA35}"/>
    <hyperlink ref="I425" r:id="rId196" xr:uid="{5EA1F3E1-E4C6-47EF-BF28-CDE89BF5AC1F}"/>
    <hyperlink ref="I515" r:id="rId197" xr:uid="{0E31D2A5-C74A-4A60-8A16-467C209FA631}"/>
    <hyperlink ref="I494" r:id="rId198" display="'navin.rai@jcb.com'" xr:uid="{805EDBB4-77E9-4EE9-A51B-AA862C588E6C}"/>
    <hyperlink ref="I499" r:id="rId199" xr:uid="{74E7E5B3-F0AC-4C45-AD74-05FF6EA8C70E}"/>
    <hyperlink ref="I488" r:id="rId200" xr:uid="{32266C22-DA1A-4F03-BEBB-C6F60E9BA197}"/>
    <hyperlink ref="I534" r:id="rId201" display="'pankaj.dhawade@pitti.in'" xr:uid="{607A07E0-57AE-4E8A-8733-2B9218F00104}"/>
    <hyperlink ref="I518" r:id="rId202" display="'gsj@csil.in'" xr:uid="{27271E34-FAAD-4863-ABB1-705E56A4D7E1}"/>
    <hyperlink ref="I536" r:id="rId203" xr:uid="{AC6168B2-A8F1-47DA-90C5-F4E79F3B107A}"/>
    <hyperlink ref="I543" r:id="rId204" xr:uid="{4B3E8C20-F9B0-4549-B5C1-27BAB261FFCB}"/>
    <hyperlink ref="I547" r:id="rId205" xr:uid="{4A22A3FA-C3F2-4F4A-917D-4C0A9456922E}"/>
    <hyperlink ref="I490" r:id="rId206" xr:uid="{7CE325A8-3E17-473D-92FF-4F4107C4A0E9}"/>
    <hyperlink ref="I557" r:id="rId207" xr:uid="{2347D889-EABC-44B3-8F1E-F2ABB96A8BA8}"/>
    <hyperlink ref="I573" r:id="rId208" xr:uid="{A1FB5728-6586-4A40-9832-464067976768}"/>
    <hyperlink ref="I563" r:id="rId209" xr:uid="{99C01F0C-1116-434D-B0CF-621815D5FE51}"/>
    <hyperlink ref="I3" r:id="rId210" display="'pankaj.damare@ekamobility.com'" xr:uid="{640716C6-7495-4DB6-B1DF-668BFE814DEE}"/>
    <hyperlink ref="I607" r:id="rId211" display="mailto:sriramengineering2022@gmail.com" xr:uid="{F53FC865-1A11-44E2-A0DD-C211CA673343}"/>
    <hyperlink ref="I591" r:id="rId212" display="'ramesh.g@pitti.in'" xr:uid="{451F4319-49F3-4A85-A55A-5BEC6B71CEFF}"/>
    <hyperlink ref="I587" r:id="rId213" xr:uid="{5CD016DB-5853-4EDA-B630-4F939FC16EC8}"/>
    <hyperlink ref="I598" r:id="rId214" xr:uid="{F0429C8D-A9AF-43F8-B2F5-0614746DDFEE}"/>
    <hyperlink ref="I553" r:id="rId215" xr:uid="{21AFEBA5-E1A1-47D2-B6C4-8F1E335DAAA9}"/>
    <hyperlink ref="I578" r:id="rId216" xr:uid="{FD138B73-B52D-41A6-8FF6-682E6AC2BFD0}"/>
    <hyperlink ref="I620" r:id="rId217" display="'mayur.jagtap@winfastsolution.in'" xr:uid="{094F0E7B-52FA-4AD9-8FFC-02BCF75310F3}"/>
    <hyperlink ref="I629" r:id="rId218" xr:uid="{FC509563-B1A0-49CE-9BC8-550BC3AC3E46}"/>
    <hyperlink ref="I636" r:id="rId219" xr:uid="{60BC7B8E-B676-492D-BBC3-7EBEEC2B3732}"/>
    <hyperlink ref="I627" r:id="rId220" display="'saitechcranes2021@gmail.com'" xr:uid="{5B2BB429-DC46-4A07-AF2F-E7CFACD2FF66}"/>
    <hyperlink ref="I688" r:id="rId221" display="'Prash7002@gmail.com'" xr:uid="{1FF49239-AAB5-4060-80EB-85491C853D8E}"/>
    <hyperlink ref="I710" r:id="rId222" display="'torqtektools@gmail.com'" xr:uid="{36A2FC26-A935-4602-B428-3FEC56F31B83}"/>
    <hyperlink ref="I704" r:id="rId223" xr:uid="{E23DFBF1-AAF1-4471-9287-28AE677BD2C3}"/>
    <hyperlink ref="I709" r:id="rId224" xr:uid="{4FB17D5D-BFBD-4EAE-8B40-D266A5827D56}"/>
    <hyperlink ref="I435" r:id="rId225" xr:uid="{F4B156FA-7DC7-467A-851E-ACFD4B5479F6}"/>
    <hyperlink ref="I660" r:id="rId226" xr:uid="{BFB46603-8026-45E8-898B-80D881EAD9EB}"/>
    <hyperlink ref="I731" r:id="rId227" xr:uid="{AABB64C3-A045-4B83-A6E6-17147D11E234}"/>
    <hyperlink ref="I771" r:id="rId228" xr:uid="{235929E1-8D18-4C58-B88C-2A383CE1F033}"/>
    <hyperlink ref="I768" r:id="rId229" xr:uid="{0F1B1D6C-0FEF-4446-A037-904EF1DCFE56}"/>
    <hyperlink ref="I781" r:id="rId230" xr:uid="{C5B240BB-94D7-4F9D-8675-3F32942004CA}"/>
    <hyperlink ref="I703" r:id="rId231" xr:uid="{42857392-0961-4B5B-A9C3-D648B0809EE4}"/>
    <hyperlink ref="I702" r:id="rId232" display="'&lt;Dattukumar.p@arcepolymers.com&gt;" xr:uid="{9891DF3A-45F7-40A8-9E6B-477F70DAEF0E}"/>
    <hyperlink ref="I758" r:id="rId233" display="'ramesh.g@pitti.in'" xr:uid="{FF4B2D72-3C8D-41FD-A2FA-9CCE677C8982}"/>
    <hyperlink ref="I748" r:id="rId234" xr:uid="{56DCD6E2-044D-4B6E-B28C-D79817797D8D}"/>
    <hyperlink ref="I782" r:id="rId235" display="'innovativeengsandfab@gmail.com'" xr:uid="{03783181-6225-47BC-93E7-8DA80EF1F2D9}"/>
    <hyperlink ref="I798" r:id="rId236" xr:uid="{4175FA45-D694-4ACC-82CE-2C5DE7CF80AB}"/>
    <hyperlink ref="I522" r:id="rId237" xr:uid="{03C347D0-C8A5-467B-830B-7868DF89D0C6}"/>
    <hyperlink ref="I785" r:id="rId238" xr:uid="{5A51AF88-8B18-42BC-B24E-9B489174F3DF}"/>
  </hyperlinks>
  <pageMargins left="0.75" right="0.75" top="1" bottom="1" header="0" footer="0"/>
  <pageSetup paperSize="5" orientation="portrait" r:id="rId239"/>
  <tableParts count="1">
    <tablePart r:id="rId240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0000-000003000000}">
          <x14:formula1>
            <xm:f>'DATA SHEET'!$G$3:$G$8</xm:f>
          </x14:formula1>
          <xm:sqref>L1000:M1000 L574 L616:L617 L576:L611 L620:L621 L623:L693 L613 L2:L572 L695:L832</xm:sqref>
        </x14:dataValidation>
        <x14:dataValidation type="list" allowBlank="1" showErrorMessage="1" xr:uid="{00000000-0002-0000-0000-000007000000}">
          <x14:formula1>
            <xm:f>'DATA SHEET'!$C$3:$C$33</xm:f>
          </x14:formula1>
          <xm:sqref>E509:E512 E515 E517:E518 E556:E563 E570:E593 E595:E598 E600 E603:E634 E536:E550 E647 E651:E653 E683:E694 E697:E791 E794:E801 E849:E1000 E803:E835</xm:sqref>
        </x14:dataValidation>
        <x14:dataValidation type="list" allowBlank="1" xr:uid="{592A7AA3-D6FB-4211-9DD4-8FF5DABC3464}">
          <x14:formula1>
            <xm:f>'DATA SHEET'!$C$3:$C$33</xm:f>
          </x14:formula1>
          <xm:sqref>E516 E513:E514 E2:E508 E519:E532 E534 E564:E567 E594 E599 E601:E602</xm:sqref>
        </x14:dataValidation>
        <x14:dataValidation type="list" allowBlank="1" showInputMessage="1" showErrorMessage="1" xr:uid="{2B99DF74-54D3-4CF2-8530-C8A576705DB4}">
          <x14:formula1>
            <xm:f>'DATA SHEET'!$G$11:$G$23</xm:f>
          </x14:formula1>
          <xm:sqref>J469 J532 J451:J452 J503:J510 J495:J501 J460:J467 J472:J474 J454 J489:J492 J409:J414 J368:J383 J322:J326 J276:J277 J161:J175 J118:J119 J90:J96 J71:J73 J26:J36 J39:J43 J8:J13 J3:J4 J15 J17:J24 J52:J58 J64:J67 J76:J82 J84 J101 J103:J110 J115 J122:J123 J126:J148 J150:J155 J157 J180:J187 J194:J210 J213:J221 J225:J235 J241 J244:J246 J250:J252 J261:J268 J270:J274 J280:J284 J286:J292 J295:J300 J303:J305 J307:J320 J330:J332 J335:J342 J344:J353 J358:J365 J387 J390 J393:J394 J396:J406 J416:J420 J423:J428 J430 J432:J433 J435:J449 J476:J478 J481:J486</xm:sqref>
        </x14:dataValidation>
        <x14:dataValidation type="list" allowBlank="1" showInputMessage="1" showErrorMessage="1" xr:uid="{C39263A5-A615-46C4-AA32-C9C865E8AF3E}">
          <x14:formula1>
            <xm:f>'DATA SHEET'!$G$27:$G$34</xm:f>
          </x14:formula1>
          <xm:sqref>Q568 Q2:Q505 Q566 Q559:Q563 T70 T116 Q536:Q557</xm:sqref>
        </x14:dataValidation>
        <x14:dataValidation type="list" allowBlank="1" showErrorMessage="1" xr:uid="{00000000-0002-0000-0000-000000000000}">
          <x14:formula1>
            <xm:f>'DATA SHEET'!$G$27:$G$34</xm:f>
          </x14:formula1>
          <xm:sqref>Q558 Q567 Q564:Q565 Q506:Q535 Q569:Q1000</xm:sqref>
        </x14:dataValidation>
        <x14:dataValidation type="list" allowBlank="1" showErrorMessage="1" xr:uid="{00000000-0002-0000-0000-000001000000}">
          <x14:formula1>
            <xm:f>'DATA SHEET'!$G$11:$G$23</xm:f>
          </x14:formula1>
          <xm:sqref>J511:J531 J493:J494 J415 J384:J386 J327:J329 J278:J279 J120:J121 J97:J100 J74:J75 J14 J502 J2 J5:J7 J16 J25 J37:J38 J44:J51 J59:J63 J68:J70 J83 J85:J89 J102 J111:J114 J116:J117 J124:J125 J149 J156 J158:J160 J176:J179 J188:J193 J211:J212 J222:J224 J236:J240 J242:J243 J247:J249 J253:J260 J269 J275 J285 J293:J294 J301:J302 J306 J321 J333:J334 J343 J354:J357 J366:J367 J388:J389 J391:J392 J395 J407:J408 J421:J422 J429 J431 J434 J450 J468 J470:J471 J475 J487:J488 J453 J455:J459 J479:J480 J533:J1000</xm:sqref>
        </x14:dataValidation>
        <x14:dataValidation type="list" allowBlank="1" xr:uid="{2559BB60-0908-4639-949F-8A5A5B09AABC}">
          <x14:formula1>
            <xm:f>'DATA SHEET'!$K$3:$K$7</xm:f>
          </x14:formula1>
          <xm:sqref>M2:M833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2D3840"/>
    <outlinePr summaryBelow="0" summaryRight="0"/>
  </sheetPr>
  <dimension ref="A1:AA779"/>
  <sheetViews>
    <sheetView zoomScale="115" zoomScaleNormal="115" workbookViewId="0">
      <selection activeCell="Q386" sqref="Q386"/>
    </sheetView>
  </sheetViews>
  <sheetFormatPr defaultColWidth="14.42578125" defaultRowHeight="15" customHeight="1"/>
  <cols>
    <col min="1" max="1" width="7.5703125" customWidth="1"/>
    <col min="2" max="2" width="11.5703125" customWidth="1"/>
    <col min="3" max="3" width="21.42578125" customWidth="1"/>
    <col min="16" max="16" width="19" customWidth="1"/>
    <col min="19" max="19" width="39.5703125" customWidth="1"/>
  </cols>
  <sheetData>
    <row r="1" spans="1:27" ht="21" customHeight="1" thickBot="1">
      <c r="A1" s="271" t="s">
        <v>0</v>
      </c>
      <c r="B1" s="272" t="s">
        <v>1</v>
      </c>
      <c r="C1" s="273" t="s">
        <v>2</v>
      </c>
      <c r="D1" s="273" t="s">
        <v>3</v>
      </c>
      <c r="E1" s="273" t="s">
        <v>2611</v>
      </c>
      <c r="F1" s="273" t="s">
        <v>5</v>
      </c>
      <c r="G1" s="272" t="s">
        <v>6</v>
      </c>
      <c r="H1" s="272" t="s">
        <v>7</v>
      </c>
      <c r="I1" s="271" t="s">
        <v>8</v>
      </c>
      <c r="J1" s="274" t="s">
        <v>9</v>
      </c>
      <c r="K1" s="273" t="s">
        <v>10</v>
      </c>
      <c r="L1" s="275" t="s">
        <v>11</v>
      </c>
      <c r="M1" s="273" t="s">
        <v>12</v>
      </c>
      <c r="N1" s="273" t="s">
        <v>13</v>
      </c>
      <c r="O1" s="272" t="s">
        <v>14</v>
      </c>
      <c r="P1" s="276" t="s">
        <v>2612</v>
      </c>
      <c r="Q1" s="273" t="s">
        <v>2613</v>
      </c>
      <c r="R1" s="277" t="s">
        <v>2614</v>
      </c>
      <c r="S1" s="248" t="s">
        <v>18</v>
      </c>
      <c r="T1" s="189" t="s">
        <v>19</v>
      </c>
      <c r="U1" s="263"/>
      <c r="V1" s="263"/>
      <c r="W1" s="263"/>
      <c r="X1" s="263"/>
      <c r="Y1" s="190"/>
      <c r="Z1" s="190"/>
      <c r="AA1" s="190"/>
    </row>
    <row r="2" spans="1:27" ht="15.75" hidden="1" thickTop="1">
      <c r="A2" s="278">
        <f t="shared" ref="A2:A65" si="0">ROW()-1</f>
        <v>1</v>
      </c>
      <c r="B2" s="279">
        <v>46023</v>
      </c>
      <c r="C2" s="280" t="s">
        <v>2615</v>
      </c>
      <c r="D2" s="280" t="s">
        <v>2067</v>
      </c>
      <c r="E2" s="280" t="s">
        <v>621</v>
      </c>
      <c r="F2" s="281" t="s">
        <v>73</v>
      </c>
      <c r="G2" s="282" t="s">
        <v>2616</v>
      </c>
      <c r="H2" s="283"/>
      <c r="I2" s="284"/>
      <c r="J2" s="283" t="s">
        <v>1698</v>
      </c>
      <c r="K2" s="281" t="s">
        <v>911</v>
      </c>
      <c r="L2" s="281" t="s">
        <v>74</v>
      </c>
      <c r="M2" s="281" t="s">
        <v>28</v>
      </c>
      <c r="N2" s="281"/>
      <c r="O2" s="285">
        <v>45992</v>
      </c>
      <c r="P2" s="286">
        <v>90125</v>
      </c>
      <c r="Q2" s="283" t="s">
        <v>292</v>
      </c>
      <c r="R2" s="287"/>
      <c r="S2" s="8"/>
      <c r="T2" s="9"/>
      <c r="U2" s="9"/>
    </row>
    <row r="3" spans="1:27" ht="27" hidden="1" thickTop="1">
      <c r="A3" s="288">
        <f t="shared" si="0"/>
        <v>2</v>
      </c>
      <c r="B3" s="289">
        <v>46023</v>
      </c>
      <c r="C3" s="290" t="s">
        <v>1641</v>
      </c>
      <c r="D3" s="291" t="s">
        <v>988</v>
      </c>
      <c r="E3" s="291" t="s">
        <v>22</v>
      </c>
      <c r="F3" s="292" t="s">
        <v>59</v>
      </c>
      <c r="G3" s="293" t="s">
        <v>2617</v>
      </c>
      <c r="H3" s="294"/>
      <c r="I3" s="295"/>
      <c r="J3" s="294" t="s">
        <v>1698</v>
      </c>
      <c r="K3" s="292" t="s">
        <v>2069</v>
      </c>
      <c r="L3" s="292" t="s">
        <v>74</v>
      </c>
      <c r="M3" s="292" t="s">
        <v>28</v>
      </c>
      <c r="N3" s="292"/>
      <c r="O3" s="296">
        <v>45992</v>
      </c>
      <c r="P3" s="297">
        <v>550000</v>
      </c>
      <c r="Q3" s="294" t="s">
        <v>292</v>
      </c>
      <c r="R3" s="298"/>
      <c r="S3" s="8"/>
      <c r="T3" s="9"/>
      <c r="U3" s="9"/>
    </row>
    <row r="4" spans="1:27" ht="60.75" hidden="1" thickTop="1">
      <c r="A4" s="299">
        <f t="shared" si="0"/>
        <v>3</v>
      </c>
      <c r="B4" s="300">
        <v>46023</v>
      </c>
      <c r="C4" s="301" t="s">
        <v>1687</v>
      </c>
      <c r="D4" s="302" t="s">
        <v>131</v>
      </c>
      <c r="E4" s="302" t="s">
        <v>22</v>
      </c>
      <c r="F4" s="303" t="s">
        <v>1561</v>
      </c>
      <c r="G4" s="304" t="s">
        <v>2618</v>
      </c>
      <c r="H4" s="305">
        <v>8669660939</v>
      </c>
      <c r="I4" s="306" t="s">
        <v>2619</v>
      </c>
      <c r="J4" s="305" t="s">
        <v>1698</v>
      </c>
      <c r="K4" s="303" t="s">
        <v>2620</v>
      </c>
      <c r="L4" s="303" t="s">
        <v>74</v>
      </c>
      <c r="M4" s="303" t="s">
        <v>28</v>
      </c>
      <c r="N4" s="303"/>
      <c r="O4" s="307">
        <v>45992</v>
      </c>
      <c r="P4" s="308">
        <v>1209252</v>
      </c>
      <c r="Q4" s="305" t="s">
        <v>2073</v>
      </c>
      <c r="R4" s="309"/>
      <c r="S4" s="8"/>
      <c r="T4" s="9"/>
      <c r="U4" s="9"/>
    </row>
    <row r="5" spans="1:27" ht="15.75" hidden="1" thickTop="1">
      <c r="A5" s="288">
        <f t="shared" si="0"/>
        <v>4</v>
      </c>
      <c r="B5" s="289">
        <v>46023</v>
      </c>
      <c r="C5" s="310" t="s">
        <v>2621</v>
      </c>
      <c r="D5" s="291" t="s">
        <v>131</v>
      </c>
      <c r="E5" s="291" t="s">
        <v>22</v>
      </c>
      <c r="F5" s="292" t="s">
        <v>73</v>
      </c>
      <c r="G5" s="311" t="s">
        <v>2622</v>
      </c>
      <c r="H5" s="294"/>
      <c r="I5" s="295"/>
      <c r="J5" s="294" t="s">
        <v>1698</v>
      </c>
      <c r="K5" s="292"/>
      <c r="L5" s="292" t="s">
        <v>27</v>
      </c>
      <c r="M5" s="292" t="s">
        <v>2623</v>
      </c>
      <c r="N5" s="292"/>
      <c r="O5" s="296">
        <v>45992</v>
      </c>
      <c r="P5" s="312">
        <v>2190000</v>
      </c>
      <c r="Q5" s="294" t="s">
        <v>2073</v>
      </c>
      <c r="R5" s="298"/>
      <c r="S5" s="8"/>
      <c r="T5" s="9"/>
      <c r="U5" s="9"/>
    </row>
    <row r="6" spans="1:27" ht="15.75" hidden="1" thickTop="1">
      <c r="A6" s="299">
        <f t="shared" si="0"/>
        <v>5</v>
      </c>
      <c r="B6" s="300">
        <v>46024</v>
      </c>
      <c r="C6" s="303" t="s">
        <v>2624</v>
      </c>
      <c r="D6" s="303" t="s">
        <v>2625</v>
      </c>
      <c r="E6" s="302" t="s">
        <v>162</v>
      </c>
      <c r="F6" s="303" t="s">
        <v>73</v>
      </c>
      <c r="G6" s="304" t="s">
        <v>2626</v>
      </c>
      <c r="H6" s="305">
        <v>9317255092</v>
      </c>
      <c r="I6" s="303" t="s">
        <v>2627</v>
      </c>
      <c r="J6" s="305" t="s">
        <v>1698</v>
      </c>
      <c r="K6" s="303" t="s">
        <v>2628</v>
      </c>
      <c r="L6" s="303" t="s">
        <v>27</v>
      </c>
      <c r="M6" s="303" t="s">
        <v>2623</v>
      </c>
      <c r="N6" s="303" t="s">
        <v>2081</v>
      </c>
      <c r="O6" s="307">
        <v>46024</v>
      </c>
      <c r="P6" s="313">
        <v>95975955</v>
      </c>
      <c r="Q6" s="305" t="s">
        <v>292</v>
      </c>
      <c r="R6" s="309"/>
      <c r="S6" s="8"/>
      <c r="T6" s="9"/>
      <c r="U6" s="9"/>
    </row>
    <row r="7" spans="1:27" ht="30.75" hidden="1" thickTop="1">
      <c r="A7" s="288">
        <f t="shared" si="0"/>
        <v>6</v>
      </c>
      <c r="B7" s="289">
        <v>46024</v>
      </c>
      <c r="C7" s="292" t="s">
        <v>2629</v>
      </c>
      <c r="D7" s="292" t="s">
        <v>1929</v>
      </c>
      <c r="E7" s="291" t="s">
        <v>214</v>
      </c>
      <c r="F7" s="292" t="s">
        <v>73</v>
      </c>
      <c r="G7" s="293" t="s">
        <v>2630</v>
      </c>
      <c r="H7" s="294">
        <v>9494261947</v>
      </c>
      <c r="I7" s="295" t="s">
        <v>2631</v>
      </c>
      <c r="J7" s="294" t="s">
        <v>1698</v>
      </c>
      <c r="K7" s="292" t="s">
        <v>2632</v>
      </c>
      <c r="L7" s="292" t="s">
        <v>74</v>
      </c>
      <c r="M7" s="292" t="s">
        <v>50</v>
      </c>
      <c r="N7" s="292"/>
      <c r="O7" s="296"/>
      <c r="P7" s="312"/>
      <c r="Q7" s="294"/>
      <c r="R7" s="298"/>
      <c r="S7" s="8"/>
      <c r="T7" s="9"/>
      <c r="U7" s="9"/>
    </row>
    <row r="8" spans="1:27" ht="30.75" hidden="1" thickTop="1">
      <c r="A8" s="299">
        <f t="shared" si="0"/>
        <v>7</v>
      </c>
      <c r="B8" s="300">
        <v>46024</v>
      </c>
      <c r="C8" s="303" t="s">
        <v>2633</v>
      </c>
      <c r="D8" s="303" t="s">
        <v>131</v>
      </c>
      <c r="E8" s="302" t="s">
        <v>22</v>
      </c>
      <c r="F8" s="303" t="s">
        <v>60</v>
      </c>
      <c r="G8" s="304" t="s">
        <v>244</v>
      </c>
      <c r="H8" s="305">
        <v>7620034850</v>
      </c>
      <c r="I8" s="314" t="s">
        <v>2634</v>
      </c>
      <c r="J8" s="305" t="s">
        <v>25</v>
      </c>
      <c r="K8" s="303" t="s">
        <v>2635</v>
      </c>
      <c r="L8" s="303" t="s">
        <v>49</v>
      </c>
      <c r="M8" s="303" t="s">
        <v>40</v>
      </c>
      <c r="N8" s="303"/>
      <c r="O8" s="307"/>
      <c r="P8" s="308"/>
      <c r="Q8" s="305" t="s">
        <v>30</v>
      </c>
      <c r="R8" s="309"/>
      <c r="S8" s="8"/>
      <c r="T8" s="9"/>
      <c r="U8" s="9"/>
    </row>
    <row r="9" spans="1:27" ht="15.75" hidden="1" thickTop="1">
      <c r="A9" s="288">
        <f t="shared" si="0"/>
        <v>8</v>
      </c>
      <c r="B9" s="289">
        <v>46024</v>
      </c>
      <c r="C9" s="292" t="s">
        <v>42</v>
      </c>
      <c r="D9" s="292" t="s">
        <v>131</v>
      </c>
      <c r="E9" s="291" t="s">
        <v>22</v>
      </c>
      <c r="F9" s="292" t="s">
        <v>23</v>
      </c>
      <c r="G9" s="315"/>
      <c r="H9" s="294">
        <v>9922353803</v>
      </c>
      <c r="I9" s="295"/>
      <c r="J9" s="294" t="s">
        <v>122</v>
      </c>
      <c r="K9" s="292" t="s">
        <v>2636</v>
      </c>
      <c r="L9" s="292" t="s">
        <v>49</v>
      </c>
      <c r="M9" s="292" t="s">
        <v>2623</v>
      </c>
      <c r="N9" s="292"/>
      <c r="O9" s="296"/>
      <c r="P9" s="312"/>
      <c r="Q9" s="294"/>
      <c r="R9" s="298"/>
      <c r="S9" s="8"/>
      <c r="T9" s="9"/>
      <c r="U9" s="9"/>
    </row>
    <row r="10" spans="1:27" ht="45.75" hidden="1" thickTop="1">
      <c r="A10" s="299">
        <f t="shared" si="0"/>
        <v>9</v>
      </c>
      <c r="B10" s="300">
        <v>46024</v>
      </c>
      <c r="C10" s="303" t="s">
        <v>2637</v>
      </c>
      <c r="D10" s="303" t="s">
        <v>193</v>
      </c>
      <c r="E10" s="302" t="s">
        <v>193</v>
      </c>
      <c r="F10" s="303" t="s">
        <v>23</v>
      </c>
      <c r="G10" s="316"/>
      <c r="H10" s="305">
        <v>7048814279</v>
      </c>
      <c r="I10" s="314" t="s">
        <v>2638</v>
      </c>
      <c r="J10" s="305" t="s">
        <v>1113</v>
      </c>
      <c r="K10" s="303" t="s">
        <v>2639</v>
      </c>
      <c r="L10" s="303" t="s">
        <v>49</v>
      </c>
      <c r="M10" s="303" t="s">
        <v>2623</v>
      </c>
      <c r="N10" s="303"/>
      <c r="O10" s="307"/>
      <c r="P10" s="317"/>
      <c r="Q10" s="305"/>
      <c r="R10" s="309"/>
      <c r="S10" s="8"/>
      <c r="T10" s="9"/>
      <c r="U10" s="9"/>
    </row>
    <row r="11" spans="1:27" ht="15.75" hidden="1" thickTop="1">
      <c r="A11" s="288">
        <f t="shared" si="0"/>
        <v>10</v>
      </c>
      <c r="B11" s="289">
        <v>46024</v>
      </c>
      <c r="C11" s="292" t="s">
        <v>2640</v>
      </c>
      <c r="D11" s="292" t="s">
        <v>741</v>
      </c>
      <c r="E11" s="291" t="s">
        <v>741</v>
      </c>
      <c r="F11" s="292" t="s">
        <v>44</v>
      </c>
      <c r="G11" s="315"/>
      <c r="H11" s="294"/>
      <c r="I11" s="295"/>
      <c r="J11" s="294" t="s">
        <v>1113</v>
      </c>
      <c r="K11" s="292" t="s">
        <v>2641</v>
      </c>
      <c r="L11" s="292" t="s">
        <v>49</v>
      </c>
      <c r="M11" s="292" t="s">
        <v>2623</v>
      </c>
      <c r="N11" s="292"/>
      <c r="O11" s="296"/>
      <c r="P11" s="312"/>
      <c r="Q11" s="294"/>
      <c r="R11" s="298"/>
      <c r="S11" s="8"/>
      <c r="T11" s="9"/>
      <c r="U11" s="9"/>
    </row>
    <row r="12" spans="1:27" ht="30.75" hidden="1" thickTop="1">
      <c r="A12" s="299">
        <f t="shared" si="0"/>
        <v>11</v>
      </c>
      <c r="B12" s="300">
        <v>46024</v>
      </c>
      <c r="C12" s="303" t="s">
        <v>2642</v>
      </c>
      <c r="D12" s="303" t="s">
        <v>193</v>
      </c>
      <c r="E12" s="302" t="s">
        <v>193</v>
      </c>
      <c r="F12" s="303" t="s">
        <v>60</v>
      </c>
      <c r="G12" s="316" t="s">
        <v>2643</v>
      </c>
      <c r="H12" s="305">
        <v>9512036634</v>
      </c>
      <c r="I12" s="314" t="s">
        <v>2644</v>
      </c>
      <c r="J12" s="305" t="s">
        <v>1113</v>
      </c>
      <c r="K12" s="303" t="s">
        <v>2645</v>
      </c>
      <c r="L12" s="303" t="s">
        <v>49</v>
      </c>
      <c r="M12" s="303" t="s">
        <v>40</v>
      </c>
      <c r="N12" s="303"/>
      <c r="O12" s="307"/>
      <c r="P12" s="317"/>
      <c r="Q12" s="305"/>
      <c r="R12" s="309"/>
      <c r="S12" s="8"/>
      <c r="T12" s="9"/>
      <c r="U12" s="9"/>
    </row>
    <row r="13" spans="1:27" ht="30.75" hidden="1" thickTop="1">
      <c r="A13" s="288">
        <f t="shared" si="0"/>
        <v>12</v>
      </c>
      <c r="B13" s="289">
        <v>46024</v>
      </c>
      <c r="C13" s="292" t="s">
        <v>2646</v>
      </c>
      <c r="D13" s="292" t="s">
        <v>2647</v>
      </c>
      <c r="E13" s="291" t="s">
        <v>22</v>
      </c>
      <c r="F13" s="292" t="s">
        <v>60</v>
      </c>
      <c r="G13" s="315" t="s">
        <v>2643</v>
      </c>
      <c r="H13" s="294">
        <v>9920188712</v>
      </c>
      <c r="I13" s="295" t="s">
        <v>2096</v>
      </c>
      <c r="J13" s="294" t="s">
        <v>56</v>
      </c>
      <c r="K13" s="292" t="s">
        <v>2648</v>
      </c>
      <c r="L13" s="292" t="s">
        <v>58</v>
      </c>
      <c r="M13" s="292" t="s">
        <v>40</v>
      </c>
      <c r="N13" s="292"/>
      <c r="O13" s="296"/>
      <c r="P13" s="312"/>
      <c r="Q13" s="294"/>
      <c r="R13" s="298"/>
      <c r="S13" s="8"/>
      <c r="T13" s="9"/>
      <c r="U13" s="9"/>
    </row>
    <row r="14" spans="1:27" ht="45.75" hidden="1" thickTop="1">
      <c r="A14" s="299">
        <f t="shared" si="0"/>
        <v>13</v>
      </c>
      <c r="B14" s="300">
        <v>46024</v>
      </c>
      <c r="C14" s="303" t="s">
        <v>2098</v>
      </c>
      <c r="D14" s="303" t="s">
        <v>2647</v>
      </c>
      <c r="E14" s="302" t="s">
        <v>22</v>
      </c>
      <c r="F14" s="303" t="s">
        <v>73</v>
      </c>
      <c r="G14" s="316" t="s">
        <v>73</v>
      </c>
      <c r="H14" s="305">
        <v>9820722335</v>
      </c>
      <c r="I14" s="314" t="s">
        <v>2649</v>
      </c>
      <c r="J14" s="305" t="s">
        <v>1113</v>
      </c>
      <c r="K14" s="303" t="s">
        <v>2650</v>
      </c>
      <c r="L14" s="303" t="s">
        <v>58</v>
      </c>
      <c r="M14" s="303" t="s">
        <v>2623</v>
      </c>
      <c r="N14" s="303"/>
      <c r="O14" s="307"/>
      <c r="P14" s="317"/>
      <c r="Q14" s="305"/>
      <c r="R14" s="309"/>
      <c r="S14" s="10"/>
      <c r="T14" s="11"/>
      <c r="U14" s="11"/>
    </row>
    <row r="15" spans="1:27" ht="45.75" hidden="1" thickTop="1">
      <c r="A15" s="288">
        <f t="shared" si="0"/>
        <v>14</v>
      </c>
      <c r="B15" s="289">
        <v>46024</v>
      </c>
      <c r="C15" s="292" t="s">
        <v>2651</v>
      </c>
      <c r="D15" s="292" t="s">
        <v>2652</v>
      </c>
      <c r="E15" s="291" t="s">
        <v>162</v>
      </c>
      <c r="F15" s="292" t="s">
        <v>73</v>
      </c>
      <c r="G15" s="315" t="s">
        <v>449</v>
      </c>
      <c r="H15" s="294">
        <v>7489916223</v>
      </c>
      <c r="I15" s="295" t="s">
        <v>2653</v>
      </c>
      <c r="J15" s="294" t="s">
        <v>1113</v>
      </c>
      <c r="K15" s="292" t="s">
        <v>2103</v>
      </c>
      <c r="L15" s="292" t="s">
        <v>58</v>
      </c>
      <c r="M15" s="292" t="s">
        <v>2623</v>
      </c>
      <c r="N15" s="292"/>
      <c r="O15" s="296"/>
      <c r="P15" s="312"/>
      <c r="Q15" s="294"/>
      <c r="R15" s="298"/>
      <c r="S15" s="10"/>
      <c r="T15" s="11"/>
      <c r="U15" s="11"/>
    </row>
    <row r="16" spans="1:27" ht="45.75" hidden="1" thickTop="1">
      <c r="A16" s="299">
        <f t="shared" si="0"/>
        <v>15</v>
      </c>
      <c r="B16" s="300">
        <v>46024</v>
      </c>
      <c r="C16" s="302" t="s">
        <v>2654</v>
      </c>
      <c r="D16" s="303" t="s">
        <v>749</v>
      </c>
      <c r="E16" s="302" t="s">
        <v>214</v>
      </c>
      <c r="F16" s="303" t="s">
        <v>60</v>
      </c>
      <c r="G16" s="316" t="s">
        <v>2105</v>
      </c>
      <c r="H16" s="305">
        <v>9010709926</v>
      </c>
      <c r="I16" s="314" t="s">
        <v>2655</v>
      </c>
      <c r="J16" s="305" t="s">
        <v>56</v>
      </c>
      <c r="K16" s="303" t="s">
        <v>2656</v>
      </c>
      <c r="L16" s="303" t="s">
        <v>58</v>
      </c>
      <c r="M16" s="303" t="s">
        <v>40</v>
      </c>
      <c r="N16" s="303"/>
      <c r="O16" s="307"/>
      <c r="P16" s="317"/>
      <c r="Q16" s="305"/>
      <c r="R16" s="309"/>
      <c r="S16" s="8"/>
      <c r="T16" s="9"/>
      <c r="U16" s="9"/>
    </row>
    <row r="17" spans="1:21" ht="30.75" hidden="1" thickTop="1">
      <c r="A17" s="288">
        <f t="shared" si="0"/>
        <v>16</v>
      </c>
      <c r="B17" s="289">
        <v>46025</v>
      </c>
      <c r="C17" s="292" t="s">
        <v>2657</v>
      </c>
      <c r="D17" s="292" t="s">
        <v>2109</v>
      </c>
      <c r="E17" s="291" t="s">
        <v>22</v>
      </c>
      <c r="F17" s="292" t="s">
        <v>32</v>
      </c>
      <c r="G17" s="315" t="s">
        <v>2658</v>
      </c>
      <c r="H17" s="318" t="s">
        <v>2659</v>
      </c>
      <c r="I17" s="292" t="s">
        <v>2112</v>
      </c>
      <c r="J17" s="294" t="s">
        <v>1698</v>
      </c>
      <c r="K17" s="292" t="s">
        <v>2660</v>
      </c>
      <c r="L17" s="292" t="s">
        <v>117</v>
      </c>
      <c r="M17" s="292" t="s">
        <v>28</v>
      </c>
      <c r="N17" s="292" t="s">
        <v>2661</v>
      </c>
      <c r="O17" s="296">
        <v>46024</v>
      </c>
      <c r="P17" s="319">
        <v>751651</v>
      </c>
      <c r="Q17" s="294" t="s">
        <v>79</v>
      </c>
      <c r="R17" s="298"/>
      <c r="S17" s="8"/>
      <c r="T17" s="9"/>
      <c r="U17" s="9"/>
    </row>
    <row r="18" spans="1:21" ht="30.75" hidden="1" thickTop="1">
      <c r="A18" s="299">
        <f t="shared" si="0"/>
        <v>17</v>
      </c>
      <c r="B18" s="300">
        <v>46025</v>
      </c>
      <c r="C18" s="303" t="s">
        <v>42</v>
      </c>
      <c r="D18" s="303" t="s">
        <v>2662</v>
      </c>
      <c r="E18" s="302" t="s">
        <v>22</v>
      </c>
      <c r="F18" s="303" t="s">
        <v>60</v>
      </c>
      <c r="G18" s="316" t="s">
        <v>2561</v>
      </c>
      <c r="H18" s="305">
        <v>7798333301</v>
      </c>
      <c r="I18" s="314" t="s">
        <v>2663</v>
      </c>
      <c r="J18" s="305" t="s">
        <v>122</v>
      </c>
      <c r="K18" s="303" t="s">
        <v>2118</v>
      </c>
      <c r="L18" s="303" t="s">
        <v>49</v>
      </c>
      <c r="M18" s="303" t="s">
        <v>40</v>
      </c>
      <c r="N18" s="303"/>
      <c r="O18" s="307"/>
      <c r="P18" s="317"/>
      <c r="Q18" s="305"/>
      <c r="R18" s="309"/>
      <c r="S18" s="8"/>
      <c r="T18" s="9"/>
      <c r="U18" s="9"/>
    </row>
    <row r="19" spans="1:21" ht="45.75" hidden="1" thickTop="1">
      <c r="A19" s="288">
        <f t="shared" si="0"/>
        <v>18</v>
      </c>
      <c r="B19" s="289">
        <v>46025</v>
      </c>
      <c r="C19" s="292" t="s">
        <v>2664</v>
      </c>
      <c r="D19" s="292" t="s">
        <v>2665</v>
      </c>
      <c r="E19" s="291" t="s">
        <v>82</v>
      </c>
      <c r="F19" s="292" t="s">
        <v>44</v>
      </c>
      <c r="G19" s="315" t="s">
        <v>149</v>
      </c>
      <c r="H19" s="294">
        <v>9786043717</v>
      </c>
      <c r="I19" s="295" t="s">
        <v>2666</v>
      </c>
      <c r="J19" s="294" t="s">
        <v>1113</v>
      </c>
      <c r="K19" s="292" t="s">
        <v>2667</v>
      </c>
      <c r="L19" s="292" t="s">
        <v>49</v>
      </c>
      <c r="M19" s="292" t="s">
        <v>2623</v>
      </c>
      <c r="N19" s="292"/>
      <c r="O19" s="296"/>
      <c r="P19" s="312"/>
      <c r="Q19" s="294"/>
      <c r="R19" s="298"/>
      <c r="S19" s="8"/>
      <c r="T19" s="9"/>
      <c r="U19" s="9"/>
    </row>
    <row r="20" spans="1:21" ht="30.75" hidden="1" thickTop="1">
      <c r="A20" s="299">
        <f t="shared" si="0"/>
        <v>19</v>
      </c>
      <c r="B20" s="300">
        <v>46025</v>
      </c>
      <c r="C20" s="303" t="s">
        <v>2122</v>
      </c>
      <c r="D20" s="303" t="s">
        <v>2668</v>
      </c>
      <c r="E20" s="302" t="s">
        <v>22</v>
      </c>
      <c r="F20" s="303" t="s">
        <v>44</v>
      </c>
      <c r="G20" s="316" t="s">
        <v>44</v>
      </c>
      <c r="H20" s="305">
        <v>9820444150</v>
      </c>
      <c r="I20" s="314" t="s">
        <v>2669</v>
      </c>
      <c r="J20" s="305" t="s">
        <v>122</v>
      </c>
      <c r="K20" s="303" t="s">
        <v>2670</v>
      </c>
      <c r="L20" s="303" t="s">
        <v>49</v>
      </c>
      <c r="M20" s="303" t="s">
        <v>2623</v>
      </c>
      <c r="N20" s="303"/>
      <c r="O20" s="307"/>
      <c r="P20" s="317"/>
      <c r="Q20" s="305"/>
      <c r="R20" s="309"/>
      <c r="S20" s="8"/>
      <c r="T20" s="9"/>
      <c r="U20" s="9"/>
    </row>
    <row r="21" spans="1:21" ht="15.75" hidden="1" thickTop="1">
      <c r="A21" s="288">
        <f t="shared" si="0"/>
        <v>20</v>
      </c>
      <c r="B21" s="289">
        <v>46026</v>
      </c>
      <c r="C21" s="292" t="s">
        <v>2671</v>
      </c>
      <c r="D21" s="292" t="s">
        <v>2672</v>
      </c>
      <c r="E21" s="291" t="s">
        <v>22</v>
      </c>
      <c r="F21" s="292" t="s">
        <v>23</v>
      </c>
      <c r="G21" s="315" t="s">
        <v>2126</v>
      </c>
      <c r="H21" s="294" t="s">
        <v>2673</v>
      </c>
      <c r="I21" s="292" t="s">
        <v>2674</v>
      </c>
      <c r="J21" s="294" t="s">
        <v>56</v>
      </c>
      <c r="K21" s="315" t="s">
        <v>2129</v>
      </c>
      <c r="L21" s="292" t="s">
        <v>49</v>
      </c>
      <c r="M21" s="292" t="s">
        <v>50</v>
      </c>
      <c r="N21" s="292"/>
      <c r="O21" s="296">
        <v>46026</v>
      </c>
      <c r="P21" s="312">
        <v>515000</v>
      </c>
      <c r="Q21" s="294" t="s">
        <v>98</v>
      </c>
      <c r="R21" s="298"/>
      <c r="S21" s="8"/>
      <c r="T21" s="9"/>
      <c r="U21" s="9"/>
    </row>
    <row r="22" spans="1:21" ht="30.75" hidden="1" thickTop="1">
      <c r="A22" s="299">
        <f t="shared" si="0"/>
        <v>21</v>
      </c>
      <c r="B22" s="300">
        <v>46026</v>
      </c>
      <c r="C22" s="303" t="s">
        <v>2675</v>
      </c>
      <c r="D22" s="303" t="s">
        <v>2676</v>
      </c>
      <c r="E22" s="302" t="s">
        <v>82</v>
      </c>
      <c r="F22" s="303" t="s">
        <v>59</v>
      </c>
      <c r="G22" s="316" t="s">
        <v>2677</v>
      </c>
      <c r="H22" s="305">
        <v>9171000693</v>
      </c>
      <c r="I22" s="314" t="s">
        <v>2133</v>
      </c>
      <c r="J22" s="305" t="s">
        <v>122</v>
      </c>
      <c r="K22" s="316" t="s">
        <v>2678</v>
      </c>
      <c r="L22" s="303" t="s">
        <v>49</v>
      </c>
      <c r="M22" s="303"/>
      <c r="N22" s="303"/>
      <c r="O22" s="307"/>
      <c r="P22" s="317"/>
      <c r="Q22" s="305"/>
      <c r="R22" s="309"/>
      <c r="S22" s="8"/>
      <c r="T22" s="9"/>
      <c r="U22" s="9"/>
    </row>
    <row r="23" spans="1:21" ht="45.75" hidden="1" thickTop="1">
      <c r="A23" s="288">
        <f t="shared" si="0"/>
        <v>22</v>
      </c>
      <c r="B23" s="289">
        <v>46026</v>
      </c>
      <c r="C23" s="292" t="s">
        <v>2679</v>
      </c>
      <c r="D23" s="292" t="s">
        <v>2680</v>
      </c>
      <c r="E23" s="291" t="s">
        <v>214</v>
      </c>
      <c r="F23" s="292" t="s">
        <v>59</v>
      </c>
      <c r="G23" s="315" t="s">
        <v>2677</v>
      </c>
      <c r="H23" s="294">
        <v>9986786082</v>
      </c>
      <c r="I23" s="295" t="s">
        <v>2137</v>
      </c>
      <c r="J23" s="294" t="s">
        <v>122</v>
      </c>
      <c r="K23" s="315" t="s">
        <v>2681</v>
      </c>
      <c r="L23" s="292" t="s">
        <v>49</v>
      </c>
      <c r="M23" s="292"/>
      <c r="N23" s="292"/>
      <c r="O23" s="296"/>
      <c r="P23" s="312"/>
      <c r="Q23" s="294"/>
      <c r="R23" s="298"/>
      <c r="S23" s="8"/>
      <c r="T23" s="9"/>
      <c r="U23" s="9"/>
    </row>
    <row r="24" spans="1:21" ht="30.75" hidden="1" thickTop="1">
      <c r="A24" s="299">
        <f t="shared" si="0"/>
        <v>23</v>
      </c>
      <c r="B24" s="300">
        <v>46026</v>
      </c>
      <c r="C24" s="303" t="s">
        <v>2682</v>
      </c>
      <c r="D24" s="303" t="s">
        <v>2139</v>
      </c>
      <c r="E24" s="302" t="s">
        <v>193</v>
      </c>
      <c r="F24" s="303" t="s">
        <v>60</v>
      </c>
      <c r="G24" s="316" t="s">
        <v>2683</v>
      </c>
      <c r="H24" s="305">
        <v>8160301117</v>
      </c>
      <c r="I24" s="314" t="s">
        <v>2684</v>
      </c>
      <c r="J24" s="305" t="s">
        <v>122</v>
      </c>
      <c r="K24" s="316" t="s">
        <v>2685</v>
      </c>
      <c r="L24" s="303" t="s">
        <v>49</v>
      </c>
      <c r="M24" s="303"/>
      <c r="N24" s="303"/>
      <c r="O24" s="307"/>
      <c r="P24" s="317"/>
      <c r="Q24" s="305"/>
      <c r="R24" s="309"/>
      <c r="S24" s="8"/>
      <c r="T24" s="9"/>
      <c r="U24" s="9"/>
    </row>
    <row r="25" spans="1:21" ht="15.75" hidden="1" thickTop="1">
      <c r="A25" s="288">
        <f t="shared" si="0"/>
        <v>24</v>
      </c>
      <c r="B25" s="289">
        <v>46026</v>
      </c>
      <c r="C25" s="292" t="s">
        <v>42</v>
      </c>
      <c r="D25" s="292" t="s">
        <v>2686</v>
      </c>
      <c r="E25" s="291" t="s">
        <v>214</v>
      </c>
      <c r="F25" s="292" t="s">
        <v>60</v>
      </c>
      <c r="G25" s="315" t="s">
        <v>2144</v>
      </c>
      <c r="H25" s="294">
        <v>9845737295</v>
      </c>
      <c r="I25" s="295"/>
      <c r="J25" s="294" t="s">
        <v>122</v>
      </c>
      <c r="K25" s="315" t="s">
        <v>2687</v>
      </c>
      <c r="L25" s="292" t="s">
        <v>49</v>
      </c>
      <c r="M25" s="292"/>
      <c r="N25" s="292"/>
      <c r="O25" s="296"/>
      <c r="P25" s="312"/>
      <c r="Q25" s="294"/>
      <c r="R25" s="298"/>
      <c r="S25" s="8"/>
      <c r="T25" s="9"/>
      <c r="U25" s="9"/>
    </row>
    <row r="26" spans="1:21" ht="30.75" hidden="1" thickTop="1">
      <c r="A26" s="299">
        <f t="shared" si="0"/>
        <v>25</v>
      </c>
      <c r="B26" s="300">
        <v>46026</v>
      </c>
      <c r="C26" s="303" t="s">
        <v>2688</v>
      </c>
      <c r="D26" s="303" t="s">
        <v>2689</v>
      </c>
      <c r="E26" s="302" t="s">
        <v>1545</v>
      </c>
      <c r="F26" s="303" t="s">
        <v>73</v>
      </c>
      <c r="G26" s="316" t="s">
        <v>2147</v>
      </c>
      <c r="H26" s="305">
        <v>7022228073</v>
      </c>
      <c r="I26" s="314" t="s">
        <v>2690</v>
      </c>
      <c r="J26" s="305" t="s">
        <v>122</v>
      </c>
      <c r="K26" s="316" t="s">
        <v>2691</v>
      </c>
      <c r="L26" s="303" t="s">
        <v>49</v>
      </c>
      <c r="M26" s="303"/>
      <c r="N26" s="303"/>
      <c r="O26" s="307"/>
      <c r="P26" s="317"/>
      <c r="Q26" s="305"/>
      <c r="R26" s="309"/>
      <c r="S26" s="12"/>
      <c r="T26" s="13"/>
      <c r="U26" s="13"/>
    </row>
    <row r="27" spans="1:21" ht="30.75" hidden="1" thickTop="1">
      <c r="A27" s="288">
        <f t="shared" si="0"/>
        <v>26</v>
      </c>
      <c r="B27" s="289">
        <v>46026</v>
      </c>
      <c r="C27" s="292" t="s">
        <v>2692</v>
      </c>
      <c r="D27" s="292" t="s">
        <v>2693</v>
      </c>
      <c r="E27" s="291" t="s">
        <v>126</v>
      </c>
      <c r="F27" s="292" t="s">
        <v>73</v>
      </c>
      <c r="G27" s="315" t="s">
        <v>901</v>
      </c>
      <c r="H27" s="294">
        <v>9910016500</v>
      </c>
      <c r="I27" s="295" t="s">
        <v>2694</v>
      </c>
      <c r="J27" s="294" t="s">
        <v>122</v>
      </c>
      <c r="K27" s="315" t="s">
        <v>2153</v>
      </c>
      <c r="L27" s="292" t="s">
        <v>49</v>
      </c>
      <c r="M27" s="292"/>
      <c r="N27" s="292"/>
      <c r="O27" s="296"/>
      <c r="P27" s="312"/>
      <c r="Q27" s="294"/>
      <c r="R27" s="298"/>
      <c r="S27" s="8"/>
      <c r="T27" s="9"/>
      <c r="U27" s="9"/>
    </row>
    <row r="28" spans="1:21" ht="30.75" hidden="1" thickTop="1">
      <c r="A28" s="299">
        <f t="shared" si="0"/>
        <v>27</v>
      </c>
      <c r="B28" s="300">
        <v>46026</v>
      </c>
      <c r="C28" s="303" t="s">
        <v>2695</v>
      </c>
      <c r="D28" s="303" t="s">
        <v>1042</v>
      </c>
      <c r="E28" s="302" t="s">
        <v>22</v>
      </c>
      <c r="F28" s="303" t="s">
        <v>60</v>
      </c>
      <c r="G28" s="316" t="s">
        <v>2696</v>
      </c>
      <c r="H28" s="305">
        <v>9930195031</v>
      </c>
      <c r="I28" s="314" t="s">
        <v>2697</v>
      </c>
      <c r="J28" s="305" t="s">
        <v>122</v>
      </c>
      <c r="K28" s="316" t="s">
        <v>2157</v>
      </c>
      <c r="L28" s="303" t="s">
        <v>49</v>
      </c>
      <c r="M28" s="303"/>
      <c r="N28" s="303"/>
      <c r="O28" s="307"/>
      <c r="P28" s="308"/>
      <c r="Q28" s="305"/>
      <c r="R28" s="309"/>
      <c r="S28" s="8"/>
      <c r="T28" s="9"/>
      <c r="U28" s="9"/>
    </row>
    <row r="29" spans="1:21" ht="30.75" hidden="1" thickTop="1">
      <c r="A29" s="288">
        <f t="shared" si="0"/>
        <v>28</v>
      </c>
      <c r="B29" s="289">
        <v>46026</v>
      </c>
      <c r="C29" s="292" t="s">
        <v>2698</v>
      </c>
      <c r="D29" s="292" t="s">
        <v>2699</v>
      </c>
      <c r="E29" s="291" t="s">
        <v>22</v>
      </c>
      <c r="F29" s="292" t="s">
        <v>73</v>
      </c>
      <c r="G29" s="315" t="s">
        <v>2700</v>
      </c>
      <c r="H29" s="294">
        <v>9421866770</v>
      </c>
      <c r="I29" s="295" t="s">
        <v>2701</v>
      </c>
      <c r="J29" s="294" t="s">
        <v>122</v>
      </c>
      <c r="K29" s="315" t="s">
        <v>2702</v>
      </c>
      <c r="L29" s="292" t="s">
        <v>49</v>
      </c>
      <c r="M29" s="292"/>
      <c r="N29" s="292"/>
      <c r="O29" s="296"/>
      <c r="P29" s="312"/>
      <c r="Q29" s="294"/>
      <c r="R29" s="298"/>
      <c r="S29" s="8"/>
      <c r="T29" s="9"/>
      <c r="U29" s="9"/>
    </row>
    <row r="30" spans="1:21" ht="45.75" hidden="1" thickTop="1">
      <c r="A30" s="299">
        <f t="shared" si="0"/>
        <v>29</v>
      </c>
      <c r="B30" s="300">
        <v>46026</v>
      </c>
      <c r="C30" s="303" t="s">
        <v>2703</v>
      </c>
      <c r="D30" s="303" t="s">
        <v>2704</v>
      </c>
      <c r="E30" s="302" t="s">
        <v>22</v>
      </c>
      <c r="F30" s="303" t="s">
        <v>59</v>
      </c>
      <c r="G30" s="316" t="s">
        <v>2164</v>
      </c>
      <c r="H30" s="305">
        <v>9823205298</v>
      </c>
      <c r="I30" s="314" t="s">
        <v>2705</v>
      </c>
      <c r="J30" s="305" t="s">
        <v>122</v>
      </c>
      <c r="K30" s="316" t="s">
        <v>2706</v>
      </c>
      <c r="L30" s="303" t="s">
        <v>49</v>
      </c>
      <c r="M30" s="303"/>
      <c r="N30" s="303"/>
      <c r="O30" s="307"/>
      <c r="P30" s="317"/>
      <c r="Q30" s="305"/>
      <c r="R30" s="309"/>
      <c r="S30" s="8"/>
      <c r="T30" s="9"/>
      <c r="U30" s="9"/>
    </row>
    <row r="31" spans="1:21" ht="45.75" hidden="1" thickTop="1">
      <c r="A31" s="288">
        <f t="shared" si="0"/>
        <v>30</v>
      </c>
      <c r="B31" s="289">
        <v>46027</v>
      </c>
      <c r="C31" s="292" t="s">
        <v>42</v>
      </c>
      <c r="D31" s="292" t="s">
        <v>2707</v>
      </c>
      <c r="E31" s="291" t="s">
        <v>1421</v>
      </c>
      <c r="F31" s="292" t="s">
        <v>73</v>
      </c>
      <c r="G31" s="315" t="s">
        <v>901</v>
      </c>
      <c r="H31" s="294">
        <v>9438434636</v>
      </c>
      <c r="I31" s="295" t="s">
        <v>2168</v>
      </c>
      <c r="J31" s="294" t="s">
        <v>122</v>
      </c>
      <c r="K31" s="315" t="s">
        <v>2708</v>
      </c>
      <c r="L31" s="292" t="s">
        <v>49</v>
      </c>
      <c r="M31" s="292"/>
      <c r="N31" s="292"/>
      <c r="O31" s="296"/>
      <c r="P31" s="297"/>
      <c r="Q31" s="294"/>
      <c r="R31" s="298"/>
      <c r="S31" s="8"/>
      <c r="T31" s="9"/>
      <c r="U31" s="9"/>
    </row>
    <row r="32" spans="1:21" ht="45.75" hidden="1" thickTop="1">
      <c r="A32" s="299">
        <f t="shared" si="0"/>
        <v>31</v>
      </c>
      <c r="B32" s="300">
        <v>46027</v>
      </c>
      <c r="C32" s="303" t="s">
        <v>2709</v>
      </c>
      <c r="D32" s="303" t="s">
        <v>2710</v>
      </c>
      <c r="E32" s="302" t="s">
        <v>82</v>
      </c>
      <c r="F32" s="303" t="s">
        <v>59</v>
      </c>
      <c r="G32" s="316" t="s">
        <v>2711</v>
      </c>
      <c r="H32" s="305">
        <v>9842325153</v>
      </c>
      <c r="I32" s="314" t="s">
        <v>2712</v>
      </c>
      <c r="J32" s="305" t="s">
        <v>122</v>
      </c>
      <c r="K32" s="316" t="s">
        <v>2713</v>
      </c>
      <c r="L32" s="303" t="s">
        <v>49</v>
      </c>
      <c r="M32" s="303"/>
      <c r="N32" s="303"/>
      <c r="O32" s="307"/>
      <c r="P32" s="317"/>
      <c r="Q32" s="305"/>
      <c r="R32" s="309"/>
      <c r="S32" s="8"/>
      <c r="T32" s="9"/>
      <c r="U32" s="9"/>
    </row>
    <row r="33" spans="1:21" ht="15.75" hidden="1" thickTop="1">
      <c r="A33" s="288">
        <f t="shared" si="0"/>
        <v>32</v>
      </c>
      <c r="B33" s="289">
        <v>46027</v>
      </c>
      <c r="C33" s="292" t="s">
        <v>2714</v>
      </c>
      <c r="D33" s="292" t="s">
        <v>2715</v>
      </c>
      <c r="E33" s="291" t="s">
        <v>82</v>
      </c>
      <c r="F33" s="292" t="s">
        <v>83</v>
      </c>
      <c r="G33" s="315" t="s">
        <v>852</v>
      </c>
      <c r="H33" s="294">
        <v>8637406968</v>
      </c>
      <c r="I33" s="295"/>
      <c r="J33" s="294" t="s">
        <v>1113</v>
      </c>
      <c r="K33" s="315" t="s">
        <v>2716</v>
      </c>
      <c r="L33" s="292" t="s">
        <v>49</v>
      </c>
      <c r="M33" s="292"/>
      <c r="N33" s="292"/>
      <c r="O33" s="296"/>
      <c r="P33" s="312"/>
      <c r="Q33" s="294"/>
      <c r="R33" s="298"/>
      <c r="S33" s="8"/>
      <c r="T33" s="9"/>
      <c r="U33" s="9"/>
    </row>
    <row r="34" spans="1:21" ht="30.75" hidden="1" thickTop="1">
      <c r="A34" s="299">
        <f t="shared" si="0"/>
        <v>33</v>
      </c>
      <c r="B34" s="300">
        <v>46027</v>
      </c>
      <c r="C34" s="303" t="s">
        <v>2717</v>
      </c>
      <c r="D34" s="303" t="s">
        <v>2718</v>
      </c>
      <c r="E34" s="302" t="s">
        <v>143</v>
      </c>
      <c r="F34" s="303" t="s">
        <v>73</v>
      </c>
      <c r="G34" s="316" t="s">
        <v>2179</v>
      </c>
      <c r="H34" s="305">
        <v>9319067400</v>
      </c>
      <c r="I34" s="314" t="s">
        <v>2719</v>
      </c>
      <c r="J34" s="305" t="s">
        <v>56</v>
      </c>
      <c r="K34" s="316" t="s">
        <v>2720</v>
      </c>
      <c r="L34" s="303" t="s">
        <v>49</v>
      </c>
      <c r="M34" s="303"/>
      <c r="N34" s="303"/>
      <c r="O34" s="307"/>
      <c r="P34" s="317"/>
      <c r="Q34" s="305"/>
      <c r="R34" s="309"/>
      <c r="S34" s="8"/>
      <c r="T34" s="9"/>
      <c r="U34" s="9"/>
    </row>
    <row r="35" spans="1:21" ht="15.75" hidden="1" thickTop="1">
      <c r="A35" s="288">
        <f t="shared" si="0"/>
        <v>34</v>
      </c>
      <c r="B35" s="289">
        <v>46027</v>
      </c>
      <c r="C35" s="292" t="s">
        <v>2721</v>
      </c>
      <c r="D35" s="292" t="s">
        <v>2722</v>
      </c>
      <c r="E35" s="291" t="s">
        <v>22</v>
      </c>
      <c r="F35" s="292" t="s">
        <v>60</v>
      </c>
      <c r="G35" s="315" t="s">
        <v>180</v>
      </c>
      <c r="H35" s="294">
        <v>9011221000</v>
      </c>
      <c r="I35" s="292" t="s">
        <v>2723</v>
      </c>
      <c r="J35" s="294" t="s">
        <v>56</v>
      </c>
      <c r="K35" s="315" t="s">
        <v>2724</v>
      </c>
      <c r="L35" s="292" t="s">
        <v>49</v>
      </c>
      <c r="M35" s="292" t="s">
        <v>40</v>
      </c>
      <c r="N35" s="292" t="s">
        <v>2725</v>
      </c>
      <c r="O35" s="296">
        <v>46028</v>
      </c>
      <c r="P35" s="312">
        <v>250000</v>
      </c>
      <c r="Q35" s="294" t="s">
        <v>98</v>
      </c>
      <c r="R35" s="298"/>
      <c r="S35" s="8"/>
      <c r="T35" s="9"/>
      <c r="U35" s="9"/>
    </row>
    <row r="36" spans="1:21" ht="15.75" hidden="1" thickTop="1">
      <c r="A36" s="299">
        <f t="shared" si="0"/>
        <v>35</v>
      </c>
      <c r="B36" s="300">
        <v>46027</v>
      </c>
      <c r="C36" s="303" t="s">
        <v>42</v>
      </c>
      <c r="D36" s="303" t="s">
        <v>2185</v>
      </c>
      <c r="E36" s="302" t="s">
        <v>193</v>
      </c>
      <c r="F36" s="303" t="s">
        <v>60</v>
      </c>
      <c r="G36" s="316" t="s">
        <v>2726</v>
      </c>
      <c r="H36" s="305">
        <v>9199714691</v>
      </c>
      <c r="I36" s="314"/>
      <c r="J36" s="305" t="s">
        <v>1113</v>
      </c>
      <c r="K36" s="316" t="s">
        <v>2187</v>
      </c>
      <c r="L36" s="303" t="s">
        <v>49</v>
      </c>
      <c r="M36" s="303" t="s">
        <v>40</v>
      </c>
      <c r="N36" s="303"/>
      <c r="O36" s="307"/>
      <c r="P36" s="317"/>
      <c r="Q36" s="305"/>
      <c r="R36" s="309"/>
      <c r="S36" s="8"/>
      <c r="T36" s="9"/>
      <c r="U36" s="9"/>
    </row>
    <row r="37" spans="1:21" ht="30.75" hidden="1" thickTop="1">
      <c r="A37" s="288">
        <f t="shared" si="0"/>
        <v>36</v>
      </c>
      <c r="B37" s="289">
        <v>46027</v>
      </c>
      <c r="C37" s="292" t="s">
        <v>2727</v>
      </c>
      <c r="D37" s="292" t="s">
        <v>749</v>
      </c>
      <c r="E37" s="291" t="s">
        <v>214</v>
      </c>
      <c r="F37" s="292" t="s">
        <v>60</v>
      </c>
      <c r="G37" s="315" t="s">
        <v>2105</v>
      </c>
      <c r="H37" s="294">
        <v>9553546688</v>
      </c>
      <c r="I37" s="295" t="s">
        <v>2728</v>
      </c>
      <c r="J37" s="294" t="s">
        <v>122</v>
      </c>
      <c r="K37" s="315" t="s">
        <v>2729</v>
      </c>
      <c r="L37" s="292" t="s">
        <v>58</v>
      </c>
      <c r="M37" s="292" t="s">
        <v>2623</v>
      </c>
      <c r="N37" s="292"/>
      <c r="O37" s="296"/>
      <c r="P37" s="312"/>
      <c r="Q37" s="294"/>
      <c r="R37" s="298"/>
      <c r="S37" s="8"/>
      <c r="T37" s="9"/>
      <c r="U37" s="9"/>
    </row>
    <row r="38" spans="1:21" ht="45.75" hidden="1" thickTop="1">
      <c r="A38" s="299">
        <f t="shared" si="0"/>
        <v>37</v>
      </c>
      <c r="B38" s="300">
        <v>46028</v>
      </c>
      <c r="C38" s="303" t="s">
        <v>2190</v>
      </c>
      <c r="D38" s="303" t="s">
        <v>2730</v>
      </c>
      <c r="E38" s="302" t="s">
        <v>82</v>
      </c>
      <c r="F38" s="303" t="s">
        <v>23</v>
      </c>
      <c r="G38" s="316" t="s">
        <v>2731</v>
      </c>
      <c r="H38" s="305">
        <v>9600783068</v>
      </c>
      <c r="I38" s="314" t="s">
        <v>2192</v>
      </c>
      <c r="J38" s="305" t="s">
        <v>56</v>
      </c>
      <c r="K38" s="316" t="s">
        <v>2732</v>
      </c>
      <c r="L38" s="303" t="s">
        <v>49</v>
      </c>
      <c r="M38" s="303" t="s">
        <v>2623</v>
      </c>
      <c r="N38" s="303"/>
      <c r="O38" s="307"/>
      <c r="P38" s="317"/>
      <c r="Q38" s="305"/>
      <c r="R38" s="309"/>
      <c r="S38" s="8"/>
      <c r="T38" s="9"/>
      <c r="U38" s="9"/>
    </row>
    <row r="39" spans="1:21" ht="45.75" hidden="1" thickTop="1">
      <c r="A39" s="288">
        <f t="shared" si="0"/>
        <v>38</v>
      </c>
      <c r="B39" s="289">
        <v>46028</v>
      </c>
      <c r="C39" s="292" t="s">
        <v>2733</v>
      </c>
      <c r="D39" s="292" t="s">
        <v>1042</v>
      </c>
      <c r="E39" s="291" t="s">
        <v>22</v>
      </c>
      <c r="F39" s="292" t="s">
        <v>59</v>
      </c>
      <c r="G39" s="315" t="s">
        <v>1788</v>
      </c>
      <c r="H39" s="294">
        <v>7400485286</v>
      </c>
      <c r="I39" s="295" t="s">
        <v>2734</v>
      </c>
      <c r="J39" s="294" t="s">
        <v>56</v>
      </c>
      <c r="K39" s="315" t="s">
        <v>2735</v>
      </c>
      <c r="L39" s="292" t="s">
        <v>49</v>
      </c>
      <c r="M39" s="292" t="s">
        <v>2623</v>
      </c>
      <c r="N39" s="292"/>
      <c r="O39" s="296"/>
      <c r="P39" s="312"/>
      <c r="Q39" s="294" t="s">
        <v>30</v>
      </c>
      <c r="R39" s="298"/>
      <c r="S39" s="8"/>
      <c r="T39" s="9"/>
      <c r="U39" s="9"/>
    </row>
    <row r="40" spans="1:21" ht="30.75" hidden="1" thickTop="1">
      <c r="A40" s="299">
        <f t="shared" si="0"/>
        <v>39</v>
      </c>
      <c r="B40" s="300">
        <v>46028</v>
      </c>
      <c r="C40" s="303" t="s">
        <v>2736</v>
      </c>
      <c r="D40" s="303" t="s">
        <v>1458</v>
      </c>
      <c r="E40" s="302" t="s">
        <v>126</v>
      </c>
      <c r="F40" s="303" t="s">
        <v>59</v>
      </c>
      <c r="G40" s="316" t="s">
        <v>2737</v>
      </c>
      <c r="H40" s="305">
        <v>9217020493</v>
      </c>
      <c r="I40" s="314" t="s">
        <v>2738</v>
      </c>
      <c r="J40" s="305" t="s">
        <v>122</v>
      </c>
      <c r="K40" s="316" t="s">
        <v>2197</v>
      </c>
      <c r="L40" s="303" t="s">
        <v>49</v>
      </c>
      <c r="M40" s="303" t="s">
        <v>2623</v>
      </c>
      <c r="N40" s="303"/>
      <c r="O40" s="307"/>
      <c r="P40" s="317"/>
      <c r="Q40" s="305"/>
      <c r="R40" s="309"/>
      <c r="S40" s="8"/>
      <c r="T40" s="9"/>
      <c r="U40" s="9"/>
    </row>
    <row r="41" spans="1:21" ht="30.75" hidden="1" thickTop="1">
      <c r="A41" s="288">
        <f t="shared" si="0"/>
        <v>40</v>
      </c>
      <c r="B41" s="289">
        <v>46028</v>
      </c>
      <c r="C41" s="292" t="s">
        <v>2739</v>
      </c>
      <c r="D41" s="292" t="s">
        <v>2740</v>
      </c>
      <c r="E41" s="291" t="s">
        <v>214</v>
      </c>
      <c r="F41" s="292" t="s">
        <v>73</v>
      </c>
      <c r="G41" s="315" t="s">
        <v>73</v>
      </c>
      <c r="H41" s="294">
        <v>8008801969</v>
      </c>
      <c r="I41" s="295" t="s">
        <v>2741</v>
      </c>
      <c r="J41" s="294" t="s">
        <v>122</v>
      </c>
      <c r="K41" s="315" t="s">
        <v>2742</v>
      </c>
      <c r="L41" s="292" t="s">
        <v>49</v>
      </c>
      <c r="M41" s="292" t="s">
        <v>2623</v>
      </c>
      <c r="N41" s="292"/>
      <c r="O41" s="296"/>
      <c r="P41" s="312"/>
      <c r="Q41" s="294"/>
      <c r="R41" s="298"/>
      <c r="S41" s="8"/>
      <c r="T41" s="9"/>
      <c r="U41" s="9"/>
    </row>
    <row r="42" spans="1:21" ht="15.75" hidden="1" thickTop="1">
      <c r="A42" s="299">
        <f t="shared" si="0"/>
        <v>41</v>
      </c>
      <c r="B42" s="300">
        <v>46028</v>
      </c>
      <c r="C42" s="303" t="s">
        <v>42</v>
      </c>
      <c r="D42" s="303" t="s">
        <v>2743</v>
      </c>
      <c r="E42" s="302" t="s">
        <v>193</v>
      </c>
      <c r="F42" s="303" t="s">
        <v>60</v>
      </c>
      <c r="G42" s="316" t="s">
        <v>2744</v>
      </c>
      <c r="H42" s="305">
        <v>9274248553</v>
      </c>
      <c r="I42" s="314"/>
      <c r="J42" s="305" t="s">
        <v>122</v>
      </c>
      <c r="K42" s="316" t="s">
        <v>2745</v>
      </c>
      <c r="L42" s="303" t="s">
        <v>49</v>
      </c>
      <c r="M42" s="303" t="s">
        <v>40</v>
      </c>
      <c r="N42" s="303"/>
      <c r="O42" s="307"/>
      <c r="P42" s="317"/>
      <c r="Q42" s="305"/>
      <c r="R42" s="309"/>
      <c r="S42" s="8"/>
      <c r="T42" s="9"/>
      <c r="U42" s="9"/>
    </row>
    <row r="43" spans="1:21" ht="45.75" hidden="1" thickTop="1">
      <c r="A43" s="288">
        <f t="shared" si="0"/>
        <v>42</v>
      </c>
      <c r="B43" s="289">
        <v>46028</v>
      </c>
      <c r="C43" s="292" t="s">
        <v>42</v>
      </c>
      <c r="D43" s="292" t="s">
        <v>2746</v>
      </c>
      <c r="E43" s="291" t="s">
        <v>741</v>
      </c>
      <c r="F43" s="292" t="s">
        <v>73</v>
      </c>
      <c r="G43" s="315" t="s">
        <v>2203</v>
      </c>
      <c r="H43" s="294">
        <v>9026480547</v>
      </c>
      <c r="I43" s="295" t="s">
        <v>2747</v>
      </c>
      <c r="J43" s="294" t="s">
        <v>122</v>
      </c>
      <c r="K43" s="315" t="s">
        <v>2748</v>
      </c>
      <c r="L43" s="292" t="s">
        <v>49</v>
      </c>
      <c r="M43" s="292" t="s">
        <v>2623</v>
      </c>
      <c r="N43" s="292"/>
      <c r="O43" s="296"/>
      <c r="P43" s="312"/>
      <c r="Q43" s="294"/>
      <c r="R43" s="298"/>
      <c r="S43" s="8"/>
      <c r="T43" s="9"/>
      <c r="U43" s="9"/>
    </row>
    <row r="44" spans="1:21" ht="15.75" hidden="1" thickTop="1">
      <c r="A44" s="299">
        <f t="shared" si="0"/>
        <v>43</v>
      </c>
      <c r="B44" s="300">
        <v>46028</v>
      </c>
      <c r="C44" s="303" t="s">
        <v>42</v>
      </c>
      <c r="D44" s="303" t="s">
        <v>2743</v>
      </c>
      <c r="E44" s="302" t="s">
        <v>193</v>
      </c>
      <c r="F44" s="303" t="s">
        <v>59</v>
      </c>
      <c r="G44" s="316" t="s">
        <v>2749</v>
      </c>
      <c r="H44" s="305">
        <v>8200861993</v>
      </c>
      <c r="I44" s="314"/>
      <c r="J44" s="305" t="s">
        <v>63</v>
      </c>
      <c r="K44" s="316" t="s">
        <v>2750</v>
      </c>
      <c r="L44" s="303" t="s">
        <v>49</v>
      </c>
      <c r="M44" s="303" t="s">
        <v>2623</v>
      </c>
      <c r="N44" s="303"/>
      <c r="O44" s="307"/>
      <c r="P44" s="317"/>
      <c r="Q44" s="305"/>
      <c r="R44" s="309"/>
      <c r="S44" s="8"/>
      <c r="T44" s="9"/>
      <c r="U44" s="9"/>
    </row>
    <row r="45" spans="1:21" ht="45.75" hidden="1" thickTop="1">
      <c r="A45" s="288">
        <f t="shared" si="0"/>
        <v>44</v>
      </c>
      <c r="B45" s="289">
        <v>46028</v>
      </c>
      <c r="C45" s="292" t="s">
        <v>2751</v>
      </c>
      <c r="D45" s="292" t="s">
        <v>2752</v>
      </c>
      <c r="E45" s="291" t="s">
        <v>126</v>
      </c>
      <c r="F45" s="292" t="s">
        <v>73</v>
      </c>
      <c r="G45" s="315" t="s">
        <v>2753</v>
      </c>
      <c r="H45" s="294">
        <v>8851348366</v>
      </c>
      <c r="I45" s="295" t="s">
        <v>2754</v>
      </c>
      <c r="J45" s="294" t="s">
        <v>56</v>
      </c>
      <c r="K45" s="315" t="s">
        <v>2755</v>
      </c>
      <c r="L45" s="292" t="s">
        <v>49</v>
      </c>
      <c r="M45" s="292" t="s">
        <v>2623</v>
      </c>
      <c r="N45" s="292"/>
      <c r="O45" s="296"/>
      <c r="P45" s="312"/>
      <c r="Q45" s="294"/>
      <c r="R45" s="298"/>
      <c r="S45" s="8"/>
      <c r="T45" s="9"/>
      <c r="U45" s="9"/>
    </row>
    <row r="46" spans="1:21" ht="30.75" hidden="1" thickTop="1">
      <c r="A46" s="299">
        <f t="shared" si="0"/>
        <v>45</v>
      </c>
      <c r="B46" s="300">
        <v>46028</v>
      </c>
      <c r="C46" s="303" t="s">
        <v>2756</v>
      </c>
      <c r="D46" s="303"/>
      <c r="E46" s="303"/>
      <c r="F46" s="303" t="s">
        <v>73</v>
      </c>
      <c r="G46" s="316" t="s">
        <v>449</v>
      </c>
      <c r="H46" s="305">
        <v>9113980902</v>
      </c>
      <c r="I46" s="314" t="s">
        <v>2757</v>
      </c>
      <c r="J46" s="305" t="s">
        <v>122</v>
      </c>
      <c r="K46" s="316" t="s">
        <v>2213</v>
      </c>
      <c r="L46" s="303" t="s">
        <v>58</v>
      </c>
      <c r="M46" s="303" t="s">
        <v>2623</v>
      </c>
      <c r="N46" s="303"/>
      <c r="O46" s="307"/>
      <c r="P46" s="317"/>
      <c r="Q46" s="305"/>
      <c r="R46" s="309"/>
      <c r="S46" s="8"/>
      <c r="T46" s="9"/>
      <c r="U46" s="9"/>
    </row>
    <row r="47" spans="1:21" ht="45.75" hidden="1" thickTop="1">
      <c r="A47" s="288">
        <f t="shared" si="0"/>
        <v>46</v>
      </c>
      <c r="B47" s="289">
        <v>46029</v>
      </c>
      <c r="C47" s="292" t="s">
        <v>2758</v>
      </c>
      <c r="D47" s="292" t="s">
        <v>2759</v>
      </c>
      <c r="E47" s="291" t="s">
        <v>22</v>
      </c>
      <c r="F47" s="292" t="s">
        <v>23</v>
      </c>
      <c r="G47" s="315" t="s">
        <v>127</v>
      </c>
      <c r="H47" s="294">
        <v>8080347767</v>
      </c>
      <c r="I47" s="295" t="s">
        <v>2760</v>
      </c>
      <c r="J47" s="294" t="s">
        <v>63</v>
      </c>
      <c r="K47" s="315" t="s">
        <v>2761</v>
      </c>
      <c r="L47" s="292" t="s">
        <v>49</v>
      </c>
      <c r="M47" s="292" t="s">
        <v>2623</v>
      </c>
      <c r="N47" s="292"/>
      <c r="O47" s="296"/>
      <c r="P47" s="312"/>
      <c r="Q47" s="294"/>
      <c r="R47" s="298"/>
      <c r="S47" s="8"/>
      <c r="T47" s="9"/>
      <c r="U47" s="9"/>
    </row>
    <row r="48" spans="1:21" ht="30.75" hidden="1" thickTop="1">
      <c r="A48" s="299">
        <f t="shared" si="0"/>
        <v>47</v>
      </c>
      <c r="B48" s="300">
        <v>46029</v>
      </c>
      <c r="C48" s="303" t="s">
        <v>2217</v>
      </c>
      <c r="D48" s="303" t="s">
        <v>2762</v>
      </c>
      <c r="E48" s="302" t="s">
        <v>22</v>
      </c>
      <c r="F48" s="303" t="s">
        <v>73</v>
      </c>
      <c r="G48" s="316" t="s">
        <v>2763</v>
      </c>
      <c r="H48" s="305">
        <v>9890991147</v>
      </c>
      <c r="I48" s="314" t="s">
        <v>2764</v>
      </c>
      <c r="J48" s="305" t="s">
        <v>122</v>
      </c>
      <c r="K48" s="316" t="s">
        <v>2765</v>
      </c>
      <c r="L48" s="303" t="s">
        <v>49</v>
      </c>
      <c r="M48" s="303" t="s">
        <v>2623</v>
      </c>
      <c r="N48" s="303"/>
      <c r="O48" s="307"/>
      <c r="P48" s="317"/>
      <c r="Q48" s="305"/>
      <c r="R48" s="309"/>
      <c r="S48" s="8"/>
      <c r="T48" s="9"/>
      <c r="U48" s="9"/>
    </row>
    <row r="49" spans="1:21" ht="30.75" hidden="1" thickTop="1">
      <c r="A49" s="288">
        <f t="shared" si="0"/>
        <v>48</v>
      </c>
      <c r="B49" s="289">
        <v>46029</v>
      </c>
      <c r="C49" s="292" t="s">
        <v>2221</v>
      </c>
      <c r="D49" s="292" t="s">
        <v>2766</v>
      </c>
      <c r="E49" s="292" t="s">
        <v>162</v>
      </c>
      <c r="F49" s="292" t="s">
        <v>32</v>
      </c>
      <c r="G49" s="315" t="s">
        <v>2767</v>
      </c>
      <c r="H49" s="294">
        <v>9340070354</v>
      </c>
      <c r="I49" s="295" t="s">
        <v>2768</v>
      </c>
      <c r="J49" s="294" t="s">
        <v>567</v>
      </c>
      <c r="K49" s="315" t="s">
        <v>2221</v>
      </c>
      <c r="L49" s="292" t="s">
        <v>49</v>
      </c>
      <c r="M49" s="292" t="s">
        <v>2623</v>
      </c>
      <c r="N49" s="292"/>
      <c r="O49" s="296"/>
      <c r="P49" s="312"/>
      <c r="Q49" s="294"/>
      <c r="R49" s="298"/>
      <c r="S49" s="8"/>
      <c r="T49" s="9"/>
      <c r="U49" s="9"/>
    </row>
    <row r="50" spans="1:21" ht="30.75" hidden="1" thickTop="1">
      <c r="A50" s="299">
        <f t="shared" si="0"/>
        <v>49</v>
      </c>
      <c r="B50" s="300">
        <v>46029</v>
      </c>
      <c r="C50" s="303" t="s">
        <v>2769</v>
      </c>
      <c r="D50" s="303" t="s">
        <v>1226</v>
      </c>
      <c r="E50" s="303" t="s">
        <v>193</v>
      </c>
      <c r="F50" s="303" t="s">
        <v>32</v>
      </c>
      <c r="G50" s="316" t="s">
        <v>2226</v>
      </c>
      <c r="H50" s="305">
        <v>9429314211</v>
      </c>
      <c r="I50" s="314" t="s">
        <v>2770</v>
      </c>
      <c r="J50" s="305" t="s">
        <v>567</v>
      </c>
      <c r="K50" s="316" t="s">
        <v>2771</v>
      </c>
      <c r="L50" s="303" t="s">
        <v>49</v>
      </c>
      <c r="M50" s="303" t="s">
        <v>2623</v>
      </c>
      <c r="N50" s="303"/>
      <c r="O50" s="307"/>
      <c r="P50" s="317"/>
      <c r="Q50" s="305"/>
      <c r="R50" s="309"/>
      <c r="S50" s="8"/>
      <c r="T50" s="9"/>
      <c r="U50" s="9"/>
    </row>
    <row r="51" spans="1:21" ht="30.75" hidden="1" thickTop="1">
      <c r="A51" s="288">
        <f t="shared" si="0"/>
        <v>50</v>
      </c>
      <c r="B51" s="289">
        <v>46029</v>
      </c>
      <c r="C51" s="292" t="s">
        <v>2772</v>
      </c>
      <c r="D51" s="292" t="s">
        <v>2230</v>
      </c>
      <c r="E51" s="292" t="s">
        <v>193</v>
      </c>
      <c r="F51" s="292" t="s">
        <v>73</v>
      </c>
      <c r="G51" s="315" t="s">
        <v>1736</v>
      </c>
      <c r="H51" s="294">
        <v>9898036799</v>
      </c>
      <c r="I51" s="295" t="s">
        <v>2773</v>
      </c>
      <c r="J51" s="294" t="s">
        <v>63</v>
      </c>
      <c r="K51" s="293" t="s">
        <v>2774</v>
      </c>
      <c r="L51" s="292" t="s">
        <v>49</v>
      </c>
      <c r="M51" s="292" t="s">
        <v>2623</v>
      </c>
      <c r="N51" s="292"/>
      <c r="O51" s="296"/>
      <c r="P51" s="312"/>
      <c r="Q51" s="294"/>
      <c r="R51" s="298"/>
      <c r="S51" s="8"/>
      <c r="T51" s="9"/>
      <c r="U51" s="9"/>
    </row>
    <row r="52" spans="1:21" ht="30.75" hidden="1" thickTop="1">
      <c r="A52" s="299">
        <f t="shared" si="0"/>
        <v>51</v>
      </c>
      <c r="B52" s="300">
        <v>46029</v>
      </c>
      <c r="C52" s="303" t="s">
        <v>2775</v>
      </c>
      <c r="D52" s="303" t="s">
        <v>2776</v>
      </c>
      <c r="E52" s="302" t="s">
        <v>22</v>
      </c>
      <c r="F52" s="303" t="s">
        <v>73</v>
      </c>
      <c r="G52" s="316" t="s">
        <v>2777</v>
      </c>
      <c r="H52" s="305">
        <v>9892324713</v>
      </c>
      <c r="I52" s="314" t="s">
        <v>2236</v>
      </c>
      <c r="J52" s="305" t="s">
        <v>567</v>
      </c>
      <c r="K52" s="304" t="s">
        <v>2778</v>
      </c>
      <c r="L52" s="303" t="s">
        <v>49</v>
      </c>
      <c r="M52" s="303" t="s">
        <v>2623</v>
      </c>
      <c r="N52" s="303"/>
      <c r="O52" s="307"/>
      <c r="P52" s="317"/>
      <c r="Q52" s="305"/>
      <c r="R52" s="309"/>
      <c r="S52" s="8"/>
      <c r="T52" s="9"/>
      <c r="U52" s="9"/>
    </row>
    <row r="53" spans="1:21" ht="15.75" hidden="1" thickTop="1">
      <c r="A53" s="288">
        <f t="shared" si="0"/>
        <v>52</v>
      </c>
      <c r="B53" s="289">
        <v>46029</v>
      </c>
      <c r="C53" s="320" t="s">
        <v>2779</v>
      </c>
      <c r="D53" s="292" t="s">
        <v>2780</v>
      </c>
      <c r="E53" s="291" t="s">
        <v>22</v>
      </c>
      <c r="F53" s="292" t="s">
        <v>60</v>
      </c>
      <c r="G53" s="315" t="s">
        <v>2781</v>
      </c>
      <c r="H53" s="294">
        <v>8888060751</v>
      </c>
      <c r="I53" s="321" t="s">
        <v>2782</v>
      </c>
      <c r="J53" s="294" t="s">
        <v>56</v>
      </c>
      <c r="K53" s="315" t="s">
        <v>27</v>
      </c>
      <c r="L53" s="292" t="s">
        <v>27</v>
      </c>
      <c r="M53" s="292" t="s">
        <v>40</v>
      </c>
      <c r="N53" s="292" t="s">
        <v>2783</v>
      </c>
      <c r="O53" s="296">
        <v>46029</v>
      </c>
      <c r="P53" s="297">
        <v>365268</v>
      </c>
      <c r="Q53" s="294" t="s">
        <v>98</v>
      </c>
      <c r="R53" s="298"/>
      <c r="S53" s="8"/>
      <c r="T53" s="9"/>
      <c r="U53" s="9"/>
    </row>
    <row r="54" spans="1:21" ht="30.75" hidden="1" thickTop="1">
      <c r="A54" s="299">
        <f t="shared" si="0"/>
        <v>53</v>
      </c>
      <c r="B54" s="300">
        <v>46029</v>
      </c>
      <c r="C54" s="303" t="s">
        <v>2784</v>
      </c>
      <c r="D54" s="303" t="s">
        <v>2785</v>
      </c>
      <c r="E54" s="302" t="s">
        <v>22</v>
      </c>
      <c r="F54" s="303" t="s">
        <v>59</v>
      </c>
      <c r="G54" s="316"/>
      <c r="H54" s="305">
        <v>9860710951</v>
      </c>
      <c r="I54" s="314" t="s">
        <v>2786</v>
      </c>
      <c r="J54" s="305" t="s">
        <v>63</v>
      </c>
      <c r="K54" s="304" t="s">
        <v>2787</v>
      </c>
      <c r="L54" s="303" t="s">
        <v>49</v>
      </c>
      <c r="M54" s="303"/>
      <c r="N54" s="303"/>
      <c r="O54" s="307"/>
      <c r="P54" s="317"/>
      <c r="Q54" s="305"/>
      <c r="R54" s="309"/>
      <c r="S54" s="8"/>
      <c r="T54" s="9"/>
      <c r="U54" s="9"/>
    </row>
    <row r="55" spans="1:21" ht="15.75" hidden="1" thickTop="1">
      <c r="A55" s="288">
        <f t="shared" si="0"/>
        <v>54</v>
      </c>
      <c r="B55" s="289">
        <v>46029</v>
      </c>
      <c r="C55" s="292" t="s">
        <v>2245</v>
      </c>
      <c r="D55" s="292" t="s">
        <v>2788</v>
      </c>
      <c r="E55" s="291" t="s">
        <v>22</v>
      </c>
      <c r="F55" s="292" t="s">
        <v>23</v>
      </c>
      <c r="G55" s="315" t="s">
        <v>188</v>
      </c>
      <c r="H55" s="294">
        <v>9765937379</v>
      </c>
      <c r="I55" s="295"/>
      <c r="J55" s="294" t="s">
        <v>567</v>
      </c>
      <c r="K55" s="293" t="s">
        <v>2789</v>
      </c>
      <c r="L55" s="292" t="s">
        <v>49</v>
      </c>
      <c r="M55" s="292" t="s">
        <v>2623</v>
      </c>
      <c r="N55" s="292"/>
      <c r="O55" s="296"/>
      <c r="P55" s="312"/>
      <c r="Q55" s="294"/>
      <c r="R55" s="298"/>
      <c r="S55" s="8"/>
      <c r="T55" s="9"/>
      <c r="U55" s="9"/>
    </row>
    <row r="56" spans="1:21" ht="30.75" hidden="1" thickTop="1">
      <c r="A56" s="299">
        <f t="shared" si="0"/>
        <v>55</v>
      </c>
      <c r="B56" s="300">
        <v>46029</v>
      </c>
      <c r="C56" s="303" t="s">
        <v>2790</v>
      </c>
      <c r="D56" s="303" t="s">
        <v>2762</v>
      </c>
      <c r="E56" s="303" t="s">
        <v>22</v>
      </c>
      <c r="F56" s="303" t="s">
        <v>44</v>
      </c>
      <c r="G56" s="316" t="s">
        <v>2791</v>
      </c>
      <c r="H56" s="305">
        <v>9156273029</v>
      </c>
      <c r="I56" s="314" t="s">
        <v>2792</v>
      </c>
      <c r="J56" s="305" t="s">
        <v>567</v>
      </c>
      <c r="K56" s="304" t="s">
        <v>2793</v>
      </c>
      <c r="L56" s="303" t="s">
        <v>49</v>
      </c>
      <c r="M56" s="303" t="s">
        <v>2623</v>
      </c>
      <c r="N56" s="303"/>
      <c r="O56" s="307"/>
      <c r="P56" s="317"/>
      <c r="Q56" s="305"/>
      <c r="R56" s="309"/>
      <c r="S56" s="8"/>
      <c r="T56" s="9"/>
      <c r="U56" s="9"/>
    </row>
    <row r="57" spans="1:21" ht="30.75" hidden="1" thickTop="1">
      <c r="A57" s="288">
        <f t="shared" si="0"/>
        <v>56</v>
      </c>
      <c r="B57" s="289">
        <v>46029</v>
      </c>
      <c r="C57" s="292" t="s">
        <v>2794</v>
      </c>
      <c r="D57" s="292" t="s">
        <v>2795</v>
      </c>
      <c r="E57" s="292" t="s">
        <v>199</v>
      </c>
      <c r="F57" s="292" t="s">
        <v>83</v>
      </c>
      <c r="G57" s="315" t="s">
        <v>852</v>
      </c>
      <c r="H57" s="294">
        <v>9983556485</v>
      </c>
      <c r="I57" s="295" t="s">
        <v>2796</v>
      </c>
      <c r="J57" s="294" t="s">
        <v>63</v>
      </c>
      <c r="K57" s="293" t="s">
        <v>2797</v>
      </c>
      <c r="L57" s="292" t="s">
        <v>49</v>
      </c>
      <c r="M57" s="292" t="s">
        <v>2623</v>
      </c>
      <c r="N57" s="292"/>
      <c r="O57" s="296"/>
      <c r="P57" s="312"/>
      <c r="Q57" s="294"/>
      <c r="R57" s="298"/>
      <c r="S57" s="8"/>
      <c r="T57" s="9"/>
      <c r="U57" s="9"/>
    </row>
    <row r="58" spans="1:21" ht="45.75" hidden="1" thickTop="1">
      <c r="A58" s="299">
        <f t="shared" si="0"/>
        <v>57</v>
      </c>
      <c r="B58" s="300">
        <v>46029</v>
      </c>
      <c r="C58" s="303" t="s">
        <v>2217</v>
      </c>
      <c r="D58" s="303"/>
      <c r="E58" s="303" t="s">
        <v>126</v>
      </c>
      <c r="F58" s="303" t="s">
        <v>73</v>
      </c>
      <c r="G58" s="316"/>
      <c r="H58" s="305">
        <v>6379537625</v>
      </c>
      <c r="I58" s="314" t="s">
        <v>2798</v>
      </c>
      <c r="J58" s="305" t="s">
        <v>567</v>
      </c>
      <c r="K58" s="316" t="s">
        <v>2255</v>
      </c>
      <c r="L58" s="303" t="s">
        <v>49</v>
      </c>
      <c r="M58" s="303" t="s">
        <v>50</v>
      </c>
      <c r="N58" s="303"/>
      <c r="O58" s="307"/>
      <c r="P58" s="317"/>
      <c r="Q58" s="305"/>
      <c r="R58" s="309"/>
      <c r="S58" s="8"/>
      <c r="T58" s="9"/>
      <c r="U58" s="9"/>
    </row>
    <row r="59" spans="1:21" ht="15.75" hidden="1" thickTop="1">
      <c r="A59" s="288">
        <f t="shared" si="0"/>
        <v>58</v>
      </c>
      <c r="B59" s="289">
        <v>46029</v>
      </c>
      <c r="C59" s="292" t="s">
        <v>2799</v>
      </c>
      <c r="D59" s="292" t="s">
        <v>2800</v>
      </c>
      <c r="E59" s="292" t="s">
        <v>22</v>
      </c>
      <c r="F59" s="292" t="s">
        <v>60</v>
      </c>
      <c r="G59" s="315" t="s">
        <v>2801</v>
      </c>
      <c r="H59" s="294">
        <v>8828326358</v>
      </c>
      <c r="I59" s="292" t="s">
        <v>2259</v>
      </c>
      <c r="J59" s="294" t="s">
        <v>1698</v>
      </c>
      <c r="K59" s="315" t="s">
        <v>2802</v>
      </c>
      <c r="L59" s="292" t="s">
        <v>27</v>
      </c>
      <c r="M59" s="292" t="s">
        <v>40</v>
      </c>
      <c r="N59" s="292" t="s">
        <v>2803</v>
      </c>
      <c r="O59" s="296">
        <v>46029</v>
      </c>
      <c r="P59" s="319">
        <v>80520</v>
      </c>
      <c r="Q59" s="294" t="s">
        <v>119</v>
      </c>
      <c r="R59" s="298"/>
      <c r="S59" s="8"/>
      <c r="T59" s="9"/>
      <c r="U59" s="9"/>
    </row>
    <row r="60" spans="1:21" ht="45.75" hidden="1" thickTop="1">
      <c r="A60" s="299">
        <f t="shared" si="0"/>
        <v>59</v>
      </c>
      <c r="B60" s="300">
        <v>46029</v>
      </c>
      <c r="C60" s="303" t="s">
        <v>42</v>
      </c>
      <c r="D60" s="303" t="s">
        <v>2804</v>
      </c>
      <c r="E60" s="303" t="s">
        <v>514</v>
      </c>
      <c r="F60" s="303" t="s">
        <v>73</v>
      </c>
      <c r="G60" s="316" t="s">
        <v>449</v>
      </c>
      <c r="H60" s="305">
        <v>9006006960</v>
      </c>
      <c r="I60" s="314" t="s">
        <v>2805</v>
      </c>
      <c r="J60" s="305" t="s">
        <v>122</v>
      </c>
      <c r="K60" s="316" t="s">
        <v>2806</v>
      </c>
      <c r="L60" s="303" t="s">
        <v>58</v>
      </c>
      <c r="M60" s="303" t="s">
        <v>50</v>
      </c>
      <c r="N60" s="303"/>
      <c r="O60" s="307"/>
      <c r="P60" s="317"/>
      <c r="Q60" s="305"/>
      <c r="R60" s="309"/>
      <c r="S60" s="8"/>
      <c r="T60" s="9"/>
      <c r="U60" s="9"/>
    </row>
    <row r="61" spans="1:21" ht="15.75" hidden="1" thickTop="1">
      <c r="A61" s="288">
        <f t="shared" si="0"/>
        <v>60</v>
      </c>
      <c r="B61" s="289">
        <v>46029</v>
      </c>
      <c r="C61" s="292" t="s">
        <v>42</v>
      </c>
      <c r="D61" s="292" t="s">
        <v>1951</v>
      </c>
      <c r="E61" s="292" t="s">
        <v>22</v>
      </c>
      <c r="F61" s="292" t="s">
        <v>73</v>
      </c>
      <c r="G61" s="315" t="s">
        <v>449</v>
      </c>
      <c r="H61" s="294">
        <v>9225658662</v>
      </c>
      <c r="I61" s="295"/>
      <c r="J61" s="294" t="s">
        <v>122</v>
      </c>
      <c r="K61" s="315" t="s">
        <v>2807</v>
      </c>
      <c r="L61" s="292" t="s">
        <v>58</v>
      </c>
      <c r="M61" s="292" t="s">
        <v>50</v>
      </c>
      <c r="N61" s="292"/>
      <c r="O61" s="296"/>
      <c r="P61" s="312"/>
      <c r="Q61" s="294"/>
      <c r="R61" s="298"/>
      <c r="S61" s="8"/>
      <c r="T61" s="9"/>
      <c r="U61" s="9"/>
    </row>
    <row r="62" spans="1:21" ht="30.75" hidden="1" thickTop="1">
      <c r="A62" s="299">
        <f t="shared" si="0"/>
        <v>61</v>
      </c>
      <c r="B62" s="300">
        <v>46029</v>
      </c>
      <c r="C62" s="303" t="s">
        <v>42</v>
      </c>
      <c r="D62" s="303" t="s">
        <v>582</v>
      </c>
      <c r="E62" s="303" t="s">
        <v>22</v>
      </c>
      <c r="F62" s="303" t="s">
        <v>32</v>
      </c>
      <c r="G62" s="316" t="s">
        <v>2808</v>
      </c>
      <c r="H62" s="305">
        <v>7774044007</v>
      </c>
      <c r="I62" s="314" t="s">
        <v>2809</v>
      </c>
      <c r="J62" s="305" t="s">
        <v>122</v>
      </c>
      <c r="K62" s="316" t="s">
        <v>2810</v>
      </c>
      <c r="L62" s="303" t="s">
        <v>58</v>
      </c>
      <c r="M62" s="303" t="s">
        <v>2623</v>
      </c>
      <c r="N62" s="303"/>
      <c r="O62" s="307"/>
      <c r="P62" s="317"/>
      <c r="Q62" s="305"/>
      <c r="R62" s="309"/>
      <c r="S62" s="8"/>
      <c r="T62" s="9"/>
      <c r="U62" s="9"/>
    </row>
    <row r="63" spans="1:21" ht="15.75" hidden="1" thickTop="1">
      <c r="A63" s="288">
        <f t="shared" si="0"/>
        <v>62</v>
      </c>
      <c r="B63" s="289">
        <v>46030</v>
      </c>
      <c r="C63" s="292" t="s">
        <v>2811</v>
      </c>
      <c r="D63" s="292" t="s">
        <v>2429</v>
      </c>
      <c r="E63" s="292" t="s">
        <v>22</v>
      </c>
      <c r="F63" s="292" t="s">
        <v>60</v>
      </c>
      <c r="G63" s="315" t="s">
        <v>2812</v>
      </c>
      <c r="H63" s="294" t="s">
        <v>2268</v>
      </c>
      <c r="I63" s="292" t="s">
        <v>2813</v>
      </c>
      <c r="J63" s="294" t="s">
        <v>1698</v>
      </c>
      <c r="K63" s="315" t="s">
        <v>117</v>
      </c>
      <c r="L63" s="292" t="s">
        <v>27</v>
      </c>
      <c r="M63" s="292" t="s">
        <v>28</v>
      </c>
      <c r="N63" s="292" t="s">
        <v>2814</v>
      </c>
      <c r="O63" s="296">
        <v>46030</v>
      </c>
      <c r="P63" s="319">
        <v>518221</v>
      </c>
      <c r="Q63" s="292" t="s">
        <v>70</v>
      </c>
      <c r="R63" s="298"/>
      <c r="S63" s="8" t="s">
        <v>2815</v>
      </c>
      <c r="T63" s="9"/>
      <c r="U63" s="9"/>
    </row>
    <row r="64" spans="1:21" ht="30.75" hidden="1" thickTop="1">
      <c r="A64" s="299">
        <f t="shared" si="0"/>
        <v>63</v>
      </c>
      <c r="B64" s="300">
        <v>46030</v>
      </c>
      <c r="C64" s="303" t="s">
        <v>42</v>
      </c>
      <c r="D64" s="303" t="s">
        <v>183</v>
      </c>
      <c r="E64" s="303" t="s">
        <v>22</v>
      </c>
      <c r="F64" s="303" t="s">
        <v>73</v>
      </c>
      <c r="G64" s="316" t="s">
        <v>2816</v>
      </c>
      <c r="H64" s="305">
        <v>9820007885</v>
      </c>
      <c r="I64" s="314" t="s">
        <v>2817</v>
      </c>
      <c r="J64" s="305" t="s">
        <v>122</v>
      </c>
      <c r="K64" s="316" t="s">
        <v>2818</v>
      </c>
      <c r="L64" s="303" t="s">
        <v>58</v>
      </c>
      <c r="M64" s="303" t="s">
        <v>2623</v>
      </c>
      <c r="N64" s="303"/>
      <c r="O64" s="307"/>
      <c r="P64" s="317"/>
      <c r="Q64" s="305"/>
      <c r="R64" s="309"/>
      <c r="S64" s="8"/>
      <c r="T64" s="9"/>
      <c r="U64" s="9"/>
    </row>
    <row r="65" spans="1:21" ht="45.75" hidden="1" thickTop="1">
      <c r="A65" s="288">
        <f t="shared" si="0"/>
        <v>64</v>
      </c>
      <c r="B65" s="289">
        <v>46032</v>
      </c>
      <c r="C65" s="292" t="s">
        <v>2819</v>
      </c>
      <c r="D65" s="292" t="s">
        <v>2275</v>
      </c>
      <c r="E65" s="292" t="s">
        <v>22</v>
      </c>
      <c r="F65" s="292" t="s">
        <v>73</v>
      </c>
      <c r="G65" s="315" t="s">
        <v>2272</v>
      </c>
      <c r="H65" s="294">
        <v>9975188155</v>
      </c>
      <c r="I65" s="295" t="s">
        <v>2820</v>
      </c>
      <c r="J65" s="294" t="s">
        <v>122</v>
      </c>
      <c r="K65" s="315" t="s">
        <v>2821</v>
      </c>
      <c r="L65" s="292" t="s">
        <v>58</v>
      </c>
      <c r="M65" s="292"/>
      <c r="N65" s="292"/>
      <c r="O65" s="296"/>
      <c r="P65" s="312"/>
      <c r="Q65" s="294"/>
      <c r="R65" s="298"/>
      <c r="S65" s="8"/>
      <c r="T65" s="9"/>
      <c r="U65" s="9"/>
    </row>
    <row r="66" spans="1:21" ht="30.75" hidden="1" thickTop="1">
      <c r="A66" s="299">
        <f t="shared" ref="A66:A129" si="1">ROW()-1</f>
        <v>65</v>
      </c>
      <c r="B66" s="300">
        <v>46032</v>
      </c>
      <c r="C66" s="303" t="s">
        <v>2278</v>
      </c>
      <c r="D66" s="303" t="s">
        <v>582</v>
      </c>
      <c r="E66" s="303" t="s">
        <v>22</v>
      </c>
      <c r="F66" s="303" t="s">
        <v>23</v>
      </c>
      <c r="G66" s="316" t="s">
        <v>127</v>
      </c>
      <c r="H66" s="305">
        <v>9372395427</v>
      </c>
      <c r="I66" s="314" t="s">
        <v>2822</v>
      </c>
      <c r="J66" s="305" t="s">
        <v>122</v>
      </c>
      <c r="K66" s="316" t="s">
        <v>2280</v>
      </c>
      <c r="L66" s="303" t="s">
        <v>58</v>
      </c>
      <c r="M66" s="303" t="s">
        <v>40</v>
      </c>
      <c r="N66" s="303"/>
      <c r="O66" s="307"/>
      <c r="P66" s="317"/>
      <c r="Q66" s="305"/>
      <c r="R66" s="309"/>
      <c r="S66" s="8"/>
      <c r="T66" s="9"/>
      <c r="U66" s="9"/>
    </row>
    <row r="67" spans="1:21" ht="15.75" hidden="1" thickTop="1">
      <c r="A67" s="288">
        <f t="shared" si="1"/>
        <v>66</v>
      </c>
      <c r="B67" s="322">
        <v>46032</v>
      </c>
      <c r="C67" s="292" t="s">
        <v>2823</v>
      </c>
      <c r="D67" s="292" t="s">
        <v>131</v>
      </c>
      <c r="E67" s="292" t="s">
        <v>22</v>
      </c>
      <c r="F67" s="292" t="s">
        <v>23</v>
      </c>
      <c r="G67" s="315" t="s">
        <v>2824</v>
      </c>
      <c r="H67" s="294" t="s">
        <v>2282</v>
      </c>
      <c r="I67" s="292" t="s">
        <v>2825</v>
      </c>
      <c r="J67" s="294" t="s">
        <v>1698</v>
      </c>
      <c r="K67" s="292" t="s">
        <v>2826</v>
      </c>
      <c r="L67" s="292" t="s">
        <v>27</v>
      </c>
      <c r="M67" s="292" t="s">
        <v>40</v>
      </c>
      <c r="N67" s="292" t="s">
        <v>2827</v>
      </c>
      <c r="O67" s="296">
        <v>46032</v>
      </c>
      <c r="P67" s="319">
        <v>322916</v>
      </c>
      <c r="Q67" s="294" t="s">
        <v>79</v>
      </c>
      <c r="R67" s="298"/>
      <c r="S67" s="8"/>
      <c r="T67" s="9"/>
      <c r="U67" s="9"/>
    </row>
    <row r="68" spans="1:21" ht="15.75" hidden="1" thickTop="1">
      <c r="A68" s="299">
        <f t="shared" si="1"/>
        <v>67</v>
      </c>
      <c r="B68" s="323">
        <v>46032</v>
      </c>
      <c r="C68" s="303" t="s">
        <v>2828</v>
      </c>
      <c r="D68" s="303" t="s">
        <v>1929</v>
      </c>
      <c r="E68" s="303" t="s">
        <v>214</v>
      </c>
      <c r="F68" s="303" t="s">
        <v>23</v>
      </c>
      <c r="G68" s="316" t="s">
        <v>2829</v>
      </c>
      <c r="H68" s="305">
        <v>9494261947</v>
      </c>
      <c r="I68" s="303" t="s">
        <v>2631</v>
      </c>
      <c r="J68" s="305" t="s">
        <v>25</v>
      </c>
      <c r="K68" s="303" t="s">
        <v>2830</v>
      </c>
      <c r="L68" s="303" t="s">
        <v>27</v>
      </c>
      <c r="M68" s="303" t="s">
        <v>2623</v>
      </c>
      <c r="N68" s="303" t="s">
        <v>2831</v>
      </c>
      <c r="O68" s="307">
        <v>46032</v>
      </c>
      <c r="P68" s="324">
        <v>1235000</v>
      </c>
      <c r="Q68" s="303" t="s">
        <v>302</v>
      </c>
      <c r="R68" s="309"/>
      <c r="S68" s="8"/>
      <c r="T68" s="9"/>
      <c r="U68" s="9"/>
    </row>
    <row r="69" spans="1:21" ht="15.75" hidden="1" thickTop="1">
      <c r="A69" s="288">
        <f t="shared" si="1"/>
        <v>68</v>
      </c>
      <c r="B69" s="322">
        <v>46032</v>
      </c>
      <c r="C69" s="292" t="s">
        <v>2832</v>
      </c>
      <c r="D69" s="292" t="s">
        <v>131</v>
      </c>
      <c r="E69" s="292" t="s">
        <v>22</v>
      </c>
      <c r="F69" s="292" t="s">
        <v>23</v>
      </c>
      <c r="G69" s="315" t="s">
        <v>2833</v>
      </c>
      <c r="H69" s="294">
        <v>8600120115</v>
      </c>
      <c r="I69" s="292" t="s">
        <v>2834</v>
      </c>
      <c r="J69" s="294" t="s">
        <v>25</v>
      </c>
      <c r="K69" s="292" t="s">
        <v>2835</v>
      </c>
      <c r="L69" s="292" t="s">
        <v>27</v>
      </c>
      <c r="M69" s="292" t="s">
        <v>28</v>
      </c>
      <c r="N69" s="292" t="s">
        <v>2836</v>
      </c>
      <c r="O69" s="296">
        <v>46033</v>
      </c>
      <c r="P69" s="325">
        <v>375000</v>
      </c>
      <c r="Q69" s="294" t="s">
        <v>30</v>
      </c>
      <c r="R69" s="298"/>
      <c r="S69" s="8"/>
      <c r="T69" s="9"/>
      <c r="U69" s="9"/>
    </row>
    <row r="70" spans="1:21" ht="75.75" hidden="1" thickTop="1">
      <c r="A70" s="299">
        <f t="shared" si="1"/>
        <v>69</v>
      </c>
      <c r="B70" s="323">
        <v>46033</v>
      </c>
      <c r="C70" s="303" t="s">
        <v>2837</v>
      </c>
      <c r="D70" s="303" t="s">
        <v>2429</v>
      </c>
      <c r="E70" s="303" t="s">
        <v>22</v>
      </c>
      <c r="F70" s="303" t="s">
        <v>73</v>
      </c>
      <c r="G70" s="316" t="s">
        <v>2838</v>
      </c>
      <c r="H70" s="305">
        <v>9975604234</v>
      </c>
      <c r="I70" s="314" t="s">
        <v>2839</v>
      </c>
      <c r="J70" s="305" t="s">
        <v>1698</v>
      </c>
      <c r="K70" s="326" t="s">
        <v>2840</v>
      </c>
      <c r="L70" s="303" t="s">
        <v>27</v>
      </c>
      <c r="M70" s="303" t="s">
        <v>77</v>
      </c>
      <c r="N70" s="303" t="s">
        <v>2841</v>
      </c>
      <c r="O70" s="307">
        <v>46033</v>
      </c>
      <c r="P70" s="313">
        <v>1600000</v>
      </c>
      <c r="Q70" s="305" t="s">
        <v>302</v>
      </c>
      <c r="R70" s="309"/>
      <c r="S70" s="8" t="s">
        <v>2296</v>
      </c>
      <c r="T70" s="9"/>
      <c r="U70" s="9"/>
    </row>
    <row r="71" spans="1:21" ht="30.75" hidden="1" thickTop="1">
      <c r="A71" s="288">
        <f t="shared" si="1"/>
        <v>70</v>
      </c>
      <c r="B71" s="289">
        <v>46032</v>
      </c>
      <c r="C71" s="292" t="s">
        <v>2842</v>
      </c>
      <c r="D71" s="292" t="s">
        <v>2843</v>
      </c>
      <c r="E71" s="292" t="s">
        <v>22</v>
      </c>
      <c r="F71" s="292" t="s">
        <v>60</v>
      </c>
      <c r="G71" s="315" t="s">
        <v>2726</v>
      </c>
      <c r="H71" s="294">
        <v>8208307641</v>
      </c>
      <c r="I71" s="295" t="s">
        <v>2299</v>
      </c>
      <c r="J71" s="294" t="s">
        <v>122</v>
      </c>
      <c r="K71" s="292" t="s">
        <v>2844</v>
      </c>
      <c r="L71" s="292" t="s">
        <v>58</v>
      </c>
      <c r="M71" s="292" t="s">
        <v>40</v>
      </c>
      <c r="N71" s="292"/>
      <c r="O71" s="296"/>
      <c r="P71" s="312"/>
      <c r="Q71" s="294"/>
      <c r="R71" s="298"/>
      <c r="S71" s="8"/>
      <c r="T71" s="9"/>
      <c r="U71" s="9"/>
    </row>
    <row r="72" spans="1:21" ht="45.75" hidden="1" thickTop="1">
      <c r="A72" s="299">
        <f t="shared" si="1"/>
        <v>71</v>
      </c>
      <c r="B72" s="300">
        <v>46033</v>
      </c>
      <c r="C72" s="303" t="s">
        <v>2301</v>
      </c>
      <c r="D72" s="303" t="s">
        <v>2845</v>
      </c>
      <c r="E72" s="303" t="s">
        <v>1545</v>
      </c>
      <c r="F72" s="303" t="s">
        <v>83</v>
      </c>
      <c r="G72" s="316" t="s">
        <v>559</v>
      </c>
      <c r="H72" s="305">
        <v>9068699113</v>
      </c>
      <c r="I72" s="314" t="s">
        <v>2846</v>
      </c>
      <c r="J72" s="305" t="s">
        <v>63</v>
      </c>
      <c r="K72" s="303" t="s">
        <v>2303</v>
      </c>
      <c r="L72" s="303" t="s">
        <v>49</v>
      </c>
      <c r="M72" s="303" t="s">
        <v>2623</v>
      </c>
      <c r="N72" s="303"/>
      <c r="O72" s="307"/>
      <c r="P72" s="317"/>
      <c r="Q72" s="305"/>
      <c r="R72" s="309"/>
      <c r="S72" s="8"/>
      <c r="T72" s="9"/>
      <c r="U72" s="9"/>
    </row>
    <row r="73" spans="1:21" ht="45.75" hidden="1" thickTop="1">
      <c r="A73" s="288">
        <f t="shared" si="1"/>
        <v>72</v>
      </c>
      <c r="B73" s="289">
        <v>46033</v>
      </c>
      <c r="C73" s="292" t="s">
        <v>42</v>
      </c>
      <c r="D73" s="292" t="s">
        <v>2847</v>
      </c>
      <c r="E73" s="292" t="s">
        <v>193</v>
      </c>
      <c r="F73" s="292" t="s">
        <v>60</v>
      </c>
      <c r="G73" s="315" t="s">
        <v>2848</v>
      </c>
      <c r="H73" s="294">
        <v>9574950253</v>
      </c>
      <c r="I73" s="295" t="s">
        <v>2306</v>
      </c>
      <c r="J73" s="294" t="s">
        <v>122</v>
      </c>
      <c r="K73" s="292" t="s">
        <v>2849</v>
      </c>
      <c r="L73" s="292" t="s">
        <v>49</v>
      </c>
      <c r="M73" s="292" t="s">
        <v>40</v>
      </c>
      <c r="N73" s="292"/>
      <c r="O73" s="296"/>
      <c r="P73" s="312"/>
      <c r="Q73" s="294"/>
      <c r="R73" s="298"/>
      <c r="S73" s="8"/>
      <c r="T73" s="9"/>
      <c r="U73" s="9"/>
    </row>
    <row r="74" spans="1:21" ht="30.75" hidden="1" thickTop="1">
      <c r="A74" s="299">
        <f t="shared" si="1"/>
        <v>73</v>
      </c>
      <c r="B74" s="300">
        <v>46034</v>
      </c>
      <c r="C74" s="303" t="s">
        <v>2850</v>
      </c>
      <c r="D74" s="303" t="s">
        <v>2851</v>
      </c>
      <c r="E74" s="303" t="s">
        <v>193</v>
      </c>
      <c r="F74" s="303" t="s">
        <v>23</v>
      </c>
      <c r="G74" s="316"/>
      <c r="H74" s="305">
        <v>9227130762</v>
      </c>
      <c r="I74" s="314" t="s">
        <v>2852</v>
      </c>
      <c r="J74" s="305" t="s">
        <v>122</v>
      </c>
      <c r="K74" s="303" t="s">
        <v>2853</v>
      </c>
      <c r="L74" s="303" t="s">
        <v>58</v>
      </c>
      <c r="M74" s="303" t="s">
        <v>2623</v>
      </c>
      <c r="N74" s="303"/>
      <c r="O74" s="307"/>
      <c r="P74" s="317"/>
      <c r="Q74" s="305"/>
      <c r="R74" s="309"/>
      <c r="S74" s="8"/>
      <c r="T74" s="9"/>
      <c r="U74" s="9"/>
    </row>
    <row r="75" spans="1:21" ht="15.75" hidden="1" thickTop="1">
      <c r="A75" s="288">
        <f t="shared" si="1"/>
        <v>74</v>
      </c>
      <c r="B75" s="289">
        <v>46034</v>
      </c>
      <c r="C75" s="292" t="s">
        <v>42</v>
      </c>
      <c r="D75" s="292" t="s">
        <v>2854</v>
      </c>
      <c r="E75" s="292" t="s">
        <v>82</v>
      </c>
      <c r="F75" s="292" t="s">
        <v>60</v>
      </c>
      <c r="G75" s="315" t="s">
        <v>2855</v>
      </c>
      <c r="H75" s="294">
        <v>9952128894</v>
      </c>
      <c r="I75" s="295"/>
      <c r="J75" s="294" t="s">
        <v>122</v>
      </c>
      <c r="K75" s="292" t="s">
        <v>2856</v>
      </c>
      <c r="L75" s="292" t="s">
        <v>58</v>
      </c>
      <c r="M75" s="292" t="s">
        <v>40</v>
      </c>
      <c r="N75" s="292"/>
      <c r="O75" s="296"/>
      <c r="P75" s="312"/>
      <c r="Q75" s="294"/>
      <c r="R75" s="298"/>
      <c r="S75" s="8"/>
      <c r="T75" s="9"/>
      <c r="U75" s="9"/>
    </row>
    <row r="76" spans="1:21" ht="45.75" hidden="1" thickTop="1">
      <c r="A76" s="299">
        <f t="shared" si="1"/>
        <v>75</v>
      </c>
      <c r="B76" s="300">
        <v>46034</v>
      </c>
      <c r="C76" s="303" t="s">
        <v>2857</v>
      </c>
      <c r="D76" s="303" t="s">
        <v>2762</v>
      </c>
      <c r="E76" s="303" t="s">
        <v>22</v>
      </c>
      <c r="F76" s="303" t="s">
        <v>1561</v>
      </c>
      <c r="G76" s="316" t="s">
        <v>2858</v>
      </c>
      <c r="H76" s="305">
        <v>8484094521</v>
      </c>
      <c r="I76" s="314" t="s">
        <v>2859</v>
      </c>
      <c r="J76" s="305" t="s">
        <v>122</v>
      </c>
      <c r="K76" s="303" t="s">
        <v>2860</v>
      </c>
      <c r="L76" s="303" t="s">
        <v>49</v>
      </c>
      <c r="M76" s="303" t="s">
        <v>50</v>
      </c>
      <c r="N76" s="303"/>
      <c r="O76" s="307"/>
      <c r="P76" s="317"/>
      <c r="Q76" s="305"/>
      <c r="R76" s="309"/>
      <c r="S76" s="8"/>
      <c r="T76" s="9"/>
      <c r="U76" s="9"/>
    </row>
    <row r="77" spans="1:21" ht="45.75" hidden="1" thickTop="1">
      <c r="A77" s="288">
        <f t="shared" si="1"/>
        <v>76</v>
      </c>
      <c r="B77" s="289">
        <v>46034</v>
      </c>
      <c r="C77" s="292" t="s">
        <v>2861</v>
      </c>
      <c r="D77" s="292" t="s">
        <v>2862</v>
      </c>
      <c r="E77" s="292"/>
      <c r="F77" s="292" t="s">
        <v>60</v>
      </c>
      <c r="G77" s="315" t="s">
        <v>852</v>
      </c>
      <c r="H77" s="294">
        <v>9978445856</v>
      </c>
      <c r="I77" s="295" t="s">
        <v>2863</v>
      </c>
      <c r="J77" s="294" t="s">
        <v>1113</v>
      </c>
      <c r="K77" s="292" t="s">
        <v>2864</v>
      </c>
      <c r="L77" s="292" t="s">
        <v>49</v>
      </c>
      <c r="M77" s="292" t="s">
        <v>50</v>
      </c>
      <c r="N77" s="292"/>
      <c r="O77" s="296"/>
      <c r="P77" s="312"/>
      <c r="Q77" s="294"/>
      <c r="R77" s="298"/>
      <c r="S77" s="8"/>
      <c r="T77" s="9"/>
      <c r="U77" s="9"/>
    </row>
    <row r="78" spans="1:21" ht="30.75" hidden="1" thickTop="1">
      <c r="A78" s="299">
        <f t="shared" si="1"/>
        <v>77</v>
      </c>
      <c r="B78" s="300">
        <v>46034</v>
      </c>
      <c r="C78" s="303" t="s">
        <v>2865</v>
      </c>
      <c r="D78" s="303" t="s">
        <v>2866</v>
      </c>
      <c r="E78" s="303" t="s">
        <v>22</v>
      </c>
      <c r="F78" s="303" t="s">
        <v>60</v>
      </c>
      <c r="G78" s="316" t="s">
        <v>180</v>
      </c>
      <c r="H78" s="305">
        <v>9860710813</v>
      </c>
      <c r="I78" s="314" t="s">
        <v>2867</v>
      </c>
      <c r="J78" s="305" t="s">
        <v>122</v>
      </c>
      <c r="K78" s="303" t="s">
        <v>2868</v>
      </c>
      <c r="L78" s="303" t="s">
        <v>49</v>
      </c>
      <c r="M78" s="303" t="s">
        <v>40</v>
      </c>
      <c r="N78" s="303"/>
      <c r="O78" s="307"/>
      <c r="P78" s="317"/>
      <c r="Q78" s="305"/>
      <c r="R78" s="309"/>
      <c r="S78" s="8"/>
      <c r="T78" s="9"/>
      <c r="U78" s="9"/>
    </row>
    <row r="79" spans="1:21" ht="30.75" hidden="1" thickTop="1">
      <c r="A79" s="288">
        <f t="shared" si="1"/>
        <v>78</v>
      </c>
      <c r="B79" s="289">
        <v>46034</v>
      </c>
      <c r="C79" s="292" t="s">
        <v>2325</v>
      </c>
      <c r="D79" s="292" t="s">
        <v>2869</v>
      </c>
      <c r="E79" s="292" t="s">
        <v>22</v>
      </c>
      <c r="F79" s="292" t="s">
        <v>60</v>
      </c>
      <c r="G79" s="315"/>
      <c r="H79" s="294">
        <v>9969388306</v>
      </c>
      <c r="I79" s="295" t="s">
        <v>2870</v>
      </c>
      <c r="J79" s="294" t="s">
        <v>122</v>
      </c>
      <c r="K79" s="292" t="s">
        <v>2871</v>
      </c>
      <c r="L79" s="292" t="s">
        <v>49</v>
      </c>
      <c r="M79" s="292" t="s">
        <v>40</v>
      </c>
      <c r="N79" s="292"/>
      <c r="O79" s="296"/>
      <c r="P79" s="312"/>
      <c r="Q79" s="294"/>
      <c r="R79" s="298"/>
      <c r="S79" s="14"/>
      <c r="T79" s="15"/>
      <c r="U79" s="15"/>
    </row>
    <row r="80" spans="1:21" ht="45.75" hidden="1" thickTop="1">
      <c r="A80" s="299">
        <f t="shared" si="1"/>
        <v>79</v>
      </c>
      <c r="B80" s="300">
        <v>46035</v>
      </c>
      <c r="C80" s="303" t="s">
        <v>2872</v>
      </c>
      <c r="D80" s="303" t="s">
        <v>623</v>
      </c>
      <c r="E80" s="303" t="s">
        <v>193</v>
      </c>
      <c r="F80" s="303" t="s">
        <v>73</v>
      </c>
      <c r="G80" s="316" t="s">
        <v>73</v>
      </c>
      <c r="H80" s="305">
        <v>7622826951</v>
      </c>
      <c r="I80" s="314" t="s">
        <v>2873</v>
      </c>
      <c r="J80" s="305" t="s">
        <v>122</v>
      </c>
      <c r="K80" s="303" t="s">
        <v>2874</v>
      </c>
      <c r="L80" s="303" t="s">
        <v>58</v>
      </c>
      <c r="M80" s="303" t="s">
        <v>2623</v>
      </c>
      <c r="N80" s="303"/>
      <c r="O80" s="307"/>
      <c r="P80" s="317"/>
      <c r="Q80" s="305"/>
      <c r="R80" s="309"/>
      <c r="S80" s="8"/>
      <c r="T80" s="9"/>
      <c r="U80" s="9"/>
    </row>
    <row r="81" spans="1:21" ht="45.75" hidden="1" thickTop="1">
      <c r="A81" s="288">
        <f t="shared" si="1"/>
        <v>80</v>
      </c>
      <c r="B81" s="289">
        <v>46035</v>
      </c>
      <c r="C81" s="292" t="s">
        <v>2875</v>
      </c>
      <c r="D81" s="292" t="s">
        <v>183</v>
      </c>
      <c r="E81" s="292" t="s">
        <v>22</v>
      </c>
      <c r="F81" s="292" t="s">
        <v>73</v>
      </c>
      <c r="G81" s="315" t="s">
        <v>2331</v>
      </c>
      <c r="H81" s="294"/>
      <c r="I81" s="295" t="s">
        <v>2876</v>
      </c>
      <c r="J81" s="294" t="s">
        <v>122</v>
      </c>
      <c r="K81" s="292" t="s">
        <v>2877</v>
      </c>
      <c r="L81" s="292" t="s">
        <v>58</v>
      </c>
      <c r="M81" s="292" t="s">
        <v>2623</v>
      </c>
      <c r="N81" s="292"/>
      <c r="O81" s="296"/>
      <c r="P81" s="312"/>
      <c r="Q81" s="294"/>
      <c r="R81" s="298"/>
      <c r="S81" s="8"/>
      <c r="T81" s="9"/>
      <c r="U81" s="9"/>
    </row>
    <row r="82" spans="1:21" ht="15.75" hidden="1" thickTop="1">
      <c r="A82" s="299">
        <f t="shared" si="1"/>
        <v>81</v>
      </c>
      <c r="B82" s="300">
        <v>46035</v>
      </c>
      <c r="C82" s="303" t="s">
        <v>42</v>
      </c>
      <c r="D82" s="303" t="s">
        <v>2878</v>
      </c>
      <c r="E82" s="303" t="s">
        <v>390</v>
      </c>
      <c r="F82" s="303" t="s">
        <v>73</v>
      </c>
      <c r="G82" s="316" t="s">
        <v>449</v>
      </c>
      <c r="H82" s="305">
        <v>7218945619</v>
      </c>
      <c r="I82" s="314"/>
      <c r="J82" s="305" t="s">
        <v>1113</v>
      </c>
      <c r="K82" s="303" t="s">
        <v>2879</v>
      </c>
      <c r="L82" s="303" t="s">
        <v>58</v>
      </c>
      <c r="M82" s="303" t="s">
        <v>50</v>
      </c>
      <c r="N82" s="303"/>
      <c r="O82" s="307"/>
      <c r="P82" s="317"/>
      <c r="Q82" s="305"/>
      <c r="R82" s="309"/>
      <c r="S82" s="8"/>
      <c r="T82" s="9"/>
      <c r="U82" s="9"/>
    </row>
    <row r="83" spans="1:21" ht="30.75" hidden="1" thickTop="1">
      <c r="A83" s="288">
        <f t="shared" si="1"/>
        <v>82</v>
      </c>
      <c r="B83" s="289">
        <v>46035</v>
      </c>
      <c r="C83" s="292" t="s">
        <v>2336</v>
      </c>
      <c r="D83" s="292" t="s">
        <v>2880</v>
      </c>
      <c r="E83" s="292" t="s">
        <v>143</v>
      </c>
      <c r="F83" s="292" t="s">
        <v>83</v>
      </c>
      <c r="G83" s="315" t="s">
        <v>852</v>
      </c>
      <c r="H83" s="294">
        <v>7053827370</v>
      </c>
      <c r="I83" s="295" t="s">
        <v>2881</v>
      </c>
      <c r="J83" s="294" t="s">
        <v>1113</v>
      </c>
      <c r="K83" s="292" t="s">
        <v>2882</v>
      </c>
      <c r="L83" s="292" t="s">
        <v>49</v>
      </c>
      <c r="M83" s="292" t="s">
        <v>2623</v>
      </c>
      <c r="N83" s="292"/>
      <c r="O83" s="296"/>
      <c r="P83" s="312"/>
      <c r="Q83" s="294"/>
      <c r="R83" s="298"/>
      <c r="S83" s="8"/>
      <c r="T83" s="9"/>
      <c r="U83" s="9"/>
    </row>
    <row r="84" spans="1:21" ht="15.75" hidden="1" thickTop="1">
      <c r="A84" s="299">
        <f t="shared" si="1"/>
        <v>83</v>
      </c>
      <c r="B84" s="300">
        <v>46035</v>
      </c>
      <c r="C84" s="303" t="s">
        <v>2883</v>
      </c>
      <c r="D84" s="303" t="s">
        <v>2884</v>
      </c>
      <c r="E84" s="303" t="s">
        <v>22</v>
      </c>
      <c r="F84" s="303" t="s">
        <v>44</v>
      </c>
      <c r="G84" s="316" t="s">
        <v>45</v>
      </c>
      <c r="H84" s="305">
        <v>8381068403</v>
      </c>
      <c r="I84" s="314"/>
      <c r="J84" s="305" t="s">
        <v>122</v>
      </c>
      <c r="K84" s="303" t="s">
        <v>2885</v>
      </c>
      <c r="L84" s="303" t="s">
        <v>49</v>
      </c>
      <c r="M84" s="303" t="s">
        <v>50</v>
      </c>
      <c r="N84" s="303"/>
      <c r="O84" s="307"/>
      <c r="P84" s="317"/>
      <c r="Q84" s="305"/>
      <c r="R84" s="309"/>
      <c r="S84" s="8"/>
      <c r="T84" s="9"/>
      <c r="U84" s="9"/>
    </row>
    <row r="85" spans="1:21" ht="75.75" hidden="1" thickTop="1">
      <c r="A85" s="288">
        <f t="shared" si="1"/>
        <v>84</v>
      </c>
      <c r="B85" s="322">
        <v>46035</v>
      </c>
      <c r="C85" s="292" t="s">
        <v>2886</v>
      </c>
      <c r="D85" s="292" t="s">
        <v>2429</v>
      </c>
      <c r="E85" s="292" t="s">
        <v>22</v>
      </c>
      <c r="F85" s="292" t="s">
        <v>83</v>
      </c>
      <c r="G85" s="315" t="s">
        <v>2887</v>
      </c>
      <c r="H85" s="294">
        <v>7420910285</v>
      </c>
      <c r="I85" s="295" t="s">
        <v>2888</v>
      </c>
      <c r="J85" s="294" t="s">
        <v>25</v>
      </c>
      <c r="K85" s="292" t="s">
        <v>2889</v>
      </c>
      <c r="L85" s="292" t="s">
        <v>74</v>
      </c>
      <c r="M85" s="292" t="s">
        <v>2623</v>
      </c>
      <c r="N85" s="292" t="s">
        <v>2346</v>
      </c>
      <c r="O85" s="296">
        <v>46035</v>
      </c>
      <c r="P85" s="325">
        <v>1350000</v>
      </c>
      <c r="Q85" s="294" t="s">
        <v>30</v>
      </c>
      <c r="R85" s="298"/>
      <c r="S85" s="8" t="s">
        <v>2890</v>
      </c>
      <c r="T85" s="9"/>
      <c r="U85" s="9"/>
    </row>
    <row r="86" spans="1:21" ht="60.75" hidden="1" thickTop="1">
      <c r="A86" s="299">
        <f t="shared" si="1"/>
        <v>85</v>
      </c>
      <c r="B86" s="323">
        <v>46035</v>
      </c>
      <c r="C86" s="303" t="s">
        <v>2891</v>
      </c>
      <c r="D86" s="303" t="s">
        <v>2892</v>
      </c>
      <c r="E86" s="303" t="s">
        <v>22</v>
      </c>
      <c r="F86" s="303" t="s">
        <v>23</v>
      </c>
      <c r="G86" s="316" t="s">
        <v>2893</v>
      </c>
      <c r="H86" s="305">
        <v>7709189528</v>
      </c>
      <c r="I86" s="314" t="s">
        <v>2351</v>
      </c>
      <c r="J86" s="305" t="s">
        <v>1698</v>
      </c>
      <c r="K86" s="314" t="s">
        <v>2894</v>
      </c>
      <c r="L86" s="303" t="s">
        <v>27</v>
      </c>
      <c r="M86" s="303" t="s">
        <v>28</v>
      </c>
      <c r="N86" s="303" t="s">
        <v>2895</v>
      </c>
      <c r="O86" s="307">
        <v>46035</v>
      </c>
      <c r="P86" s="313">
        <v>1480000</v>
      </c>
      <c r="Q86" s="305" t="s">
        <v>292</v>
      </c>
      <c r="R86" s="309"/>
      <c r="S86" s="8"/>
      <c r="T86" s="9"/>
      <c r="U86" s="9"/>
    </row>
    <row r="87" spans="1:21" ht="30.75" hidden="1" thickTop="1">
      <c r="A87" s="288">
        <f t="shared" si="1"/>
        <v>86</v>
      </c>
      <c r="B87" s="322">
        <v>46035</v>
      </c>
      <c r="C87" s="292" t="s">
        <v>2354</v>
      </c>
      <c r="D87" s="292" t="s">
        <v>131</v>
      </c>
      <c r="E87" s="292" t="s">
        <v>22</v>
      </c>
      <c r="F87" s="292" t="s">
        <v>23</v>
      </c>
      <c r="G87" s="315" t="s">
        <v>2893</v>
      </c>
      <c r="H87" s="294">
        <v>9960692754</v>
      </c>
      <c r="I87" s="295" t="s">
        <v>2896</v>
      </c>
      <c r="J87" s="294" t="s">
        <v>1698</v>
      </c>
      <c r="K87" s="327" t="s">
        <v>1543</v>
      </c>
      <c r="L87" s="292" t="s">
        <v>27</v>
      </c>
      <c r="M87" s="292" t="s">
        <v>28</v>
      </c>
      <c r="N87" s="292" t="s">
        <v>2897</v>
      </c>
      <c r="O87" s="296">
        <v>46035</v>
      </c>
      <c r="P87" s="319">
        <v>1480000</v>
      </c>
      <c r="Q87" s="294" t="s">
        <v>2073</v>
      </c>
      <c r="R87" s="298"/>
      <c r="S87" s="8" t="s">
        <v>2898</v>
      </c>
      <c r="T87" s="9"/>
      <c r="U87" s="9"/>
    </row>
    <row r="88" spans="1:21" ht="45.75" hidden="1" thickTop="1">
      <c r="A88" s="299">
        <f t="shared" si="1"/>
        <v>87</v>
      </c>
      <c r="B88" s="323">
        <v>46035</v>
      </c>
      <c r="C88" s="303" t="s">
        <v>2357</v>
      </c>
      <c r="D88" s="303" t="s">
        <v>2899</v>
      </c>
      <c r="E88" s="303" t="s">
        <v>22</v>
      </c>
      <c r="F88" s="303" t="s">
        <v>60</v>
      </c>
      <c r="G88" s="316" t="s">
        <v>2359</v>
      </c>
      <c r="H88" s="305">
        <v>7720050063</v>
      </c>
      <c r="I88" s="314" t="s">
        <v>2360</v>
      </c>
      <c r="J88" s="305" t="s">
        <v>25</v>
      </c>
      <c r="K88" s="303" t="s">
        <v>2900</v>
      </c>
      <c r="L88" s="303" t="s">
        <v>117</v>
      </c>
      <c r="M88" s="303" t="s">
        <v>28</v>
      </c>
      <c r="N88" s="303" t="s">
        <v>2901</v>
      </c>
      <c r="O88" s="307">
        <v>46035</v>
      </c>
      <c r="P88" s="324">
        <v>83500</v>
      </c>
      <c r="Q88" s="305" t="s">
        <v>30</v>
      </c>
      <c r="R88" s="309"/>
      <c r="S88" s="8"/>
      <c r="T88" s="9"/>
      <c r="U88" s="9"/>
    </row>
    <row r="89" spans="1:21" ht="30.75" hidden="1" thickTop="1">
      <c r="A89" s="288">
        <f t="shared" si="1"/>
        <v>88</v>
      </c>
      <c r="B89" s="289">
        <v>46035</v>
      </c>
      <c r="C89" s="292" t="s">
        <v>2902</v>
      </c>
      <c r="D89" s="292" t="s">
        <v>2903</v>
      </c>
      <c r="E89" s="292" t="s">
        <v>22</v>
      </c>
      <c r="F89" s="292" t="s">
        <v>59</v>
      </c>
      <c r="G89" s="315" t="s">
        <v>2904</v>
      </c>
      <c r="H89" s="294">
        <v>9881929797</v>
      </c>
      <c r="I89" s="295" t="s">
        <v>2905</v>
      </c>
      <c r="J89" s="294" t="s">
        <v>122</v>
      </c>
      <c r="K89" s="292" t="s">
        <v>2906</v>
      </c>
      <c r="L89" s="292" t="s">
        <v>49</v>
      </c>
      <c r="M89" s="292" t="s">
        <v>50</v>
      </c>
      <c r="N89" s="292"/>
      <c r="O89" s="296"/>
      <c r="P89" s="312"/>
      <c r="Q89" s="294" t="s">
        <v>139</v>
      </c>
      <c r="R89" s="298"/>
      <c r="S89" s="8"/>
      <c r="T89" s="9"/>
      <c r="U89" s="9"/>
    </row>
    <row r="90" spans="1:21" ht="30.75" hidden="1" thickTop="1">
      <c r="A90" s="299">
        <f t="shared" si="1"/>
        <v>89</v>
      </c>
      <c r="B90" s="323">
        <v>46036</v>
      </c>
      <c r="C90" s="303" t="s">
        <v>2615</v>
      </c>
      <c r="D90" s="303" t="s">
        <v>2907</v>
      </c>
      <c r="E90" s="302" t="s">
        <v>621</v>
      </c>
      <c r="F90" s="303" t="s">
        <v>59</v>
      </c>
      <c r="G90" s="316" t="s">
        <v>2908</v>
      </c>
      <c r="H90" s="305"/>
      <c r="I90" s="314" t="s">
        <v>2909</v>
      </c>
      <c r="J90" s="305" t="s">
        <v>25</v>
      </c>
      <c r="K90" s="303" t="s">
        <v>1670</v>
      </c>
      <c r="L90" s="303" t="s">
        <v>27</v>
      </c>
      <c r="M90" s="303" t="s">
        <v>28</v>
      </c>
      <c r="N90" s="303" t="s">
        <v>2369</v>
      </c>
      <c r="O90" s="307">
        <v>46036</v>
      </c>
      <c r="P90" s="324">
        <f>500*91.69</f>
        <v>45845</v>
      </c>
      <c r="Q90" s="305" t="s">
        <v>30</v>
      </c>
      <c r="R90" s="309"/>
      <c r="S90" s="8"/>
      <c r="T90" s="9"/>
      <c r="U90" s="9"/>
    </row>
    <row r="91" spans="1:21" ht="30.75" hidden="1" thickTop="1">
      <c r="A91" s="288">
        <f t="shared" si="1"/>
        <v>90</v>
      </c>
      <c r="B91" s="322">
        <v>46036</v>
      </c>
      <c r="C91" s="295" t="s">
        <v>2910</v>
      </c>
      <c r="D91" s="292" t="s">
        <v>21</v>
      </c>
      <c r="E91" s="292" t="s">
        <v>22</v>
      </c>
      <c r="F91" s="292" t="s">
        <v>1561</v>
      </c>
      <c r="G91" s="315" t="s">
        <v>2911</v>
      </c>
      <c r="H91" s="294"/>
      <c r="I91" s="295" t="s">
        <v>2912</v>
      </c>
      <c r="J91" s="294" t="s">
        <v>25</v>
      </c>
      <c r="K91" s="292" t="s">
        <v>2913</v>
      </c>
      <c r="L91" s="292" t="s">
        <v>74</v>
      </c>
      <c r="M91" s="292" t="s">
        <v>2623</v>
      </c>
      <c r="N91" s="292" t="s">
        <v>2914</v>
      </c>
      <c r="O91" s="296">
        <v>46036</v>
      </c>
      <c r="P91" s="325">
        <v>120000</v>
      </c>
      <c r="Q91" s="294" t="s">
        <v>30</v>
      </c>
      <c r="R91" s="298"/>
      <c r="S91" s="8"/>
      <c r="T91" s="9"/>
      <c r="U91" s="9"/>
    </row>
    <row r="92" spans="1:21" ht="30.75" hidden="1" thickTop="1">
      <c r="A92" s="299">
        <f t="shared" si="1"/>
        <v>91</v>
      </c>
      <c r="B92" s="323">
        <v>46036</v>
      </c>
      <c r="C92" s="303" t="s">
        <v>2615</v>
      </c>
      <c r="D92" s="303" t="s">
        <v>2907</v>
      </c>
      <c r="E92" s="302" t="s">
        <v>621</v>
      </c>
      <c r="F92" s="303" t="s">
        <v>59</v>
      </c>
      <c r="G92" s="316" t="s">
        <v>2915</v>
      </c>
      <c r="H92" s="305"/>
      <c r="I92" s="314" t="s">
        <v>2909</v>
      </c>
      <c r="J92" s="305" t="s">
        <v>1698</v>
      </c>
      <c r="K92" s="303" t="s">
        <v>2916</v>
      </c>
      <c r="L92" s="303" t="s">
        <v>27</v>
      </c>
      <c r="M92" s="303" t="s">
        <v>28</v>
      </c>
      <c r="N92" s="303" t="s">
        <v>2917</v>
      </c>
      <c r="O92" s="307">
        <v>46036</v>
      </c>
      <c r="P92" s="313">
        <v>12820</v>
      </c>
      <c r="Q92" s="305" t="s">
        <v>2073</v>
      </c>
      <c r="R92" s="309"/>
      <c r="S92" s="8"/>
      <c r="T92" s="9"/>
      <c r="U92" s="9"/>
    </row>
    <row r="93" spans="1:21" ht="45.75" hidden="1" thickTop="1">
      <c r="A93" s="288">
        <f t="shared" si="1"/>
        <v>92</v>
      </c>
      <c r="B93" s="289">
        <v>46037</v>
      </c>
      <c r="C93" s="292" t="s">
        <v>42</v>
      </c>
      <c r="D93" s="292" t="s">
        <v>205</v>
      </c>
      <c r="E93" s="292" t="s">
        <v>214</v>
      </c>
      <c r="F93" s="292" t="s">
        <v>73</v>
      </c>
      <c r="G93" s="315" t="s">
        <v>449</v>
      </c>
      <c r="H93" s="294">
        <v>7874018055</v>
      </c>
      <c r="I93" s="295" t="s">
        <v>2918</v>
      </c>
      <c r="J93" s="294" t="s">
        <v>122</v>
      </c>
      <c r="K93" s="292" t="s">
        <v>2919</v>
      </c>
      <c r="L93" s="292" t="s">
        <v>58</v>
      </c>
      <c r="M93" s="292" t="s">
        <v>2623</v>
      </c>
      <c r="N93" s="292"/>
      <c r="O93" s="296"/>
      <c r="P93" s="312"/>
      <c r="Q93" s="294"/>
      <c r="R93" s="298"/>
      <c r="S93" s="8"/>
      <c r="T93" s="9"/>
      <c r="U93" s="9"/>
    </row>
    <row r="94" spans="1:21" ht="35.25" hidden="1" thickTop="1">
      <c r="A94" s="299">
        <f t="shared" si="1"/>
        <v>93</v>
      </c>
      <c r="B94" s="300">
        <v>46038</v>
      </c>
      <c r="C94" s="303" t="s">
        <v>2920</v>
      </c>
      <c r="D94" s="328" t="s">
        <v>582</v>
      </c>
      <c r="E94" s="303" t="s">
        <v>22</v>
      </c>
      <c r="F94" s="303" t="s">
        <v>73</v>
      </c>
      <c r="G94" s="316" t="s">
        <v>2921</v>
      </c>
      <c r="H94" s="305">
        <v>9372443264</v>
      </c>
      <c r="I94" s="314" t="s">
        <v>2922</v>
      </c>
      <c r="J94" s="305" t="s">
        <v>122</v>
      </c>
      <c r="K94" s="303" t="s">
        <v>2923</v>
      </c>
      <c r="L94" s="303" t="s">
        <v>58</v>
      </c>
      <c r="M94" s="303" t="s">
        <v>50</v>
      </c>
      <c r="N94" s="303"/>
      <c r="O94" s="307"/>
      <c r="P94" s="317"/>
      <c r="Q94" s="305"/>
      <c r="R94" s="309"/>
      <c r="S94" s="8"/>
      <c r="T94" s="9"/>
      <c r="U94" s="9"/>
    </row>
    <row r="95" spans="1:21" ht="50.25" hidden="1" thickTop="1">
      <c r="A95" s="288">
        <f t="shared" si="1"/>
        <v>94</v>
      </c>
      <c r="B95" s="289">
        <v>46038</v>
      </c>
      <c r="C95" s="292" t="s">
        <v>2924</v>
      </c>
      <c r="D95" s="329" t="s">
        <v>2584</v>
      </c>
      <c r="E95" s="292" t="s">
        <v>82</v>
      </c>
      <c r="F95" s="292" t="s">
        <v>73</v>
      </c>
      <c r="G95" s="315" t="s">
        <v>2925</v>
      </c>
      <c r="H95" s="294">
        <v>9842358909</v>
      </c>
      <c r="I95" s="295" t="s">
        <v>2926</v>
      </c>
      <c r="J95" s="294" t="s">
        <v>567</v>
      </c>
      <c r="K95" s="292" t="s">
        <v>2927</v>
      </c>
      <c r="L95" s="292" t="s">
        <v>58</v>
      </c>
      <c r="M95" s="292" t="s">
        <v>50</v>
      </c>
      <c r="N95" s="292"/>
      <c r="O95" s="296"/>
      <c r="P95" s="312"/>
      <c r="Q95" s="294"/>
      <c r="R95" s="298"/>
      <c r="S95" s="8"/>
      <c r="T95" s="9"/>
      <c r="U95" s="9"/>
    </row>
    <row r="96" spans="1:21" ht="20.25" hidden="1" thickTop="1">
      <c r="A96" s="299">
        <f t="shared" si="1"/>
        <v>95</v>
      </c>
      <c r="B96" s="300">
        <v>46038</v>
      </c>
      <c r="C96" s="303" t="s">
        <v>42</v>
      </c>
      <c r="D96" s="328" t="s">
        <v>583</v>
      </c>
      <c r="E96" s="303" t="s">
        <v>214</v>
      </c>
      <c r="F96" s="303" t="s">
        <v>73</v>
      </c>
      <c r="G96" s="316" t="s">
        <v>2928</v>
      </c>
      <c r="H96" s="305">
        <v>9945680754</v>
      </c>
      <c r="I96" s="314"/>
      <c r="J96" s="305" t="s">
        <v>122</v>
      </c>
      <c r="K96" s="303" t="s">
        <v>2929</v>
      </c>
      <c r="L96" s="303" t="s">
        <v>58</v>
      </c>
      <c r="M96" s="303" t="s">
        <v>50</v>
      </c>
      <c r="N96" s="303"/>
      <c r="O96" s="307"/>
      <c r="P96" s="317"/>
      <c r="Q96" s="305"/>
      <c r="R96" s="309"/>
      <c r="S96" s="8" t="s">
        <v>122</v>
      </c>
      <c r="T96" s="9"/>
      <c r="U96" s="9"/>
    </row>
    <row r="97" spans="1:21" ht="45.75" hidden="1" thickTop="1">
      <c r="A97" s="288">
        <f t="shared" si="1"/>
        <v>96</v>
      </c>
      <c r="B97" s="289">
        <v>46038</v>
      </c>
      <c r="C97" s="292" t="s">
        <v>2396</v>
      </c>
      <c r="D97" s="292" t="s">
        <v>2930</v>
      </c>
      <c r="E97" s="292" t="s">
        <v>22</v>
      </c>
      <c r="F97" s="292" t="s">
        <v>83</v>
      </c>
      <c r="G97" s="315" t="s">
        <v>2931</v>
      </c>
      <c r="H97" s="294">
        <v>7028935010</v>
      </c>
      <c r="I97" s="295" t="s">
        <v>2932</v>
      </c>
      <c r="J97" s="294" t="s">
        <v>122</v>
      </c>
      <c r="K97" s="292" t="s">
        <v>2400</v>
      </c>
      <c r="L97" s="292" t="s">
        <v>58</v>
      </c>
      <c r="M97" s="292" t="s">
        <v>2623</v>
      </c>
      <c r="N97" s="292"/>
      <c r="O97" s="296"/>
      <c r="P97" s="312"/>
      <c r="Q97" s="294"/>
      <c r="R97" s="298"/>
      <c r="S97" s="8" t="s">
        <v>2933</v>
      </c>
      <c r="T97" s="9"/>
      <c r="U97" s="9"/>
    </row>
    <row r="98" spans="1:21" ht="20.25" hidden="1" thickTop="1">
      <c r="A98" s="299">
        <f t="shared" si="1"/>
        <v>97</v>
      </c>
      <c r="B98" s="300">
        <v>46038</v>
      </c>
      <c r="C98" s="303" t="s">
        <v>2934</v>
      </c>
      <c r="D98" s="303" t="s">
        <v>1911</v>
      </c>
      <c r="E98" s="303" t="s">
        <v>22</v>
      </c>
      <c r="F98" s="303" t="s">
        <v>60</v>
      </c>
      <c r="G98" s="316" t="s">
        <v>1801</v>
      </c>
      <c r="H98" s="330">
        <v>7248929231</v>
      </c>
      <c r="I98" s="314"/>
      <c r="J98" s="305" t="s">
        <v>122</v>
      </c>
      <c r="K98" s="303" t="s">
        <v>2935</v>
      </c>
      <c r="L98" s="303" t="s">
        <v>58</v>
      </c>
      <c r="M98" s="303" t="s">
        <v>40</v>
      </c>
      <c r="N98" s="303"/>
      <c r="O98" s="307"/>
      <c r="P98" s="317"/>
      <c r="Q98" s="305"/>
      <c r="R98" s="309"/>
      <c r="S98" s="8"/>
      <c r="T98" s="9"/>
      <c r="U98" s="9"/>
    </row>
    <row r="99" spans="1:21" ht="30.75" hidden="1" thickTop="1">
      <c r="A99" s="288">
        <f t="shared" si="1"/>
        <v>98</v>
      </c>
      <c r="B99" s="289">
        <v>46038</v>
      </c>
      <c r="C99" s="292" t="s">
        <v>2936</v>
      </c>
      <c r="D99" s="292" t="s">
        <v>2937</v>
      </c>
      <c r="E99" s="292" t="s">
        <v>82</v>
      </c>
      <c r="F99" s="292" t="s">
        <v>23</v>
      </c>
      <c r="G99" s="315" t="s">
        <v>1487</v>
      </c>
      <c r="H99" s="294">
        <v>9025750759</v>
      </c>
      <c r="I99" s="295" t="s">
        <v>2938</v>
      </c>
      <c r="J99" s="294" t="s">
        <v>63</v>
      </c>
      <c r="K99" s="292" t="s">
        <v>2939</v>
      </c>
      <c r="L99" s="292" t="s">
        <v>49</v>
      </c>
      <c r="M99" s="292" t="s">
        <v>50</v>
      </c>
      <c r="N99" s="292"/>
      <c r="O99" s="296"/>
      <c r="P99" s="312"/>
      <c r="Q99" s="294"/>
      <c r="R99" s="298"/>
      <c r="S99" s="8"/>
      <c r="T99" s="9"/>
      <c r="U99" s="9"/>
    </row>
    <row r="100" spans="1:21" ht="45.75" hidden="1" thickTop="1">
      <c r="A100" s="299">
        <f t="shared" si="1"/>
        <v>99</v>
      </c>
      <c r="B100" s="300">
        <v>46038</v>
      </c>
      <c r="C100" s="303" t="s">
        <v>2407</v>
      </c>
      <c r="D100" s="303" t="s">
        <v>2940</v>
      </c>
      <c r="E100" s="303" t="s">
        <v>82</v>
      </c>
      <c r="F100" s="303" t="s">
        <v>44</v>
      </c>
      <c r="G100" s="316" t="s">
        <v>2941</v>
      </c>
      <c r="H100" s="305">
        <v>9791681398</v>
      </c>
      <c r="I100" s="314" t="s">
        <v>2942</v>
      </c>
      <c r="J100" s="305" t="s">
        <v>122</v>
      </c>
      <c r="K100" s="303" t="s">
        <v>2411</v>
      </c>
      <c r="L100" s="303" t="s">
        <v>49</v>
      </c>
      <c r="M100" s="303" t="s">
        <v>50</v>
      </c>
      <c r="N100" s="303"/>
      <c r="O100" s="307"/>
      <c r="P100" s="317"/>
      <c r="Q100" s="305"/>
      <c r="R100" s="309"/>
      <c r="S100" s="8"/>
      <c r="T100" s="9"/>
      <c r="U100" s="9"/>
    </row>
    <row r="101" spans="1:21" ht="30.75" hidden="1" thickTop="1">
      <c r="A101" s="288">
        <f t="shared" si="1"/>
        <v>100</v>
      </c>
      <c r="B101" s="289">
        <v>46038</v>
      </c>
      <c r="C101" s="292" t="s">
        <v>2943</v>
      </c>
      <c r="D101" s="292" t="s">
        <v>2944</v>
      </c>
      <c r="E101" s="292" t="s">
        <v>214</v>
      </c>
      <c r="F101" s="292" t="s">
        <v>59</v>
      </c>
      <c r="G101" s="315" t="s">
        <v>2945</v>
      </c>
      <c r="H101" s="294">
        <v>9845228486</v>
      </c>
      <c r="I101" s="295" t="s">
        <v>2946</v>
      </c>
      <c r="J101" s="294" t="s">
        <v>122</v>
      </c>
      <c r="K101" s="292" t="s">
        <v>2947</v>
      </c>
      <c r="L101" s="292" t="s">
        <v>49</v>
      </c>
      <c r="M101" s="292" t="s">
        <v>50</v>
      </c>
      <c r="N101" s="292"/>
      <c r="O101" s="296"/>
      <c r="P101" s="312"/>
      <c r="Q101" s="294"/>
      <c r="R101" s="298"/>
      <c r="S101" s="8"/>
      <c r="T101" s="9"/>
      <c r="U101" s="9"/>
    </row>
    <row r="102" spans="1:21" ht="45.75" hidden="1" thickTop="1">
      <c r="A102" s="299">
        <f t="shared" si="1"/>
        <v>101</v>
      </c>
      <c r="B102" s="300">
        <v>46038</v>
      </c>
      <c r="C102" s="303" t="s">
        <v>42</v>
      </c>
      <c r="D102" s="303" t="s">
        <v>2948</v>
      </c>
      <c r="E102" s="303" t="s">
        <v>162</v>
      </c>
      <c r="F102" s="303" t="s">
        <v>73</v>
      </c>
      <c r="G102" s="316" t="s">
        <v>2949</v>
      </c>
      <c r="H102" s="305">
        <v>8849628752</v>
      </c>
      <c r="I102" s="314" t="s">
        <v>2950</v>
      </c>
      <c r="J102" s="305" t="s">
        <v>2951</v>
      </c>
      <c r="K102" s="303" t="s">
        <v>2419</v>
      </c>
      <c r="L102" s="303" t="s">
        <v>49</v>
      </c>
      <c r="M102" s="303" t="s">
        <v>2623</v>
      </c>
      <c r="N102" s="303"/>
      <c r="O102" s="307"/>
      <c r="P102" s="317"/>
      <c r="Q102" s="305"/>
      <c r="R102" s="309"/>
      <c r="S102" s="8"/>
      <c r="T102" s="9"/>
      <c r="U102" s="9"/>
    </row>
    <row r="103" spans="1:21" ht="30.75" hidden="1" thickTop="1">
      <c r="A103" s="288">
        <f t="shared" si="1"/>
        <v>102</v>
      </c>
      <c r="B103" s="289">
        <v>46038</v>
      </c>
      <c r="C103" s="292" t="s">
        <v>2952</v>
      </c>
      <c r="D103" s="292"/>
      <c r="E103" s="292"/>
      <c r="F103" s="292" t="s">
        <v>83</v>
      </c>
      <c r="G103" s="315" t="s">
        <v>2953</v>
      </c>
      <c r="H103" s="294">
        <v>9850056454</v>
      </c>
      <c r="I103" s="295" t="s">
        <v>2954</v>
      </c>
      <c r="J103" s="294" t="s">
        <v>122</v>
      </c>
      <c r="K103" s="292" t="s">
        <v>2955</v>
      </c>
      <c r="L103" s="292" t="s">
        <v>49</v>
      </c>
      <c r="M103" s="292" t="s">
        <v>2623</v>
      </c>
      <c r="N103" s="292"/>
      <c r="O103" s="296"/>
      <c r="P103" s="312"/>
      <c r="Q103" s="294"/>
      <c r="R103" s="298"/>
      <c r="S103" s="8"/>
      <c r="T103" s="9"/>
      <c r="U103" s="9"/>
    </row>
    <row r="104" spans="1:21" ht="15.75" hidden="1" thickTop="1">
      <c r="A104" s="299">
        <f t="shared" si="1"/>
        <v>103</v>
      </c>
      <c r="B104" s="300">
        <v>46038</v>
      </c>
      <c r="C104" s="303" t="s">
        <v>2956</v>
      </c>
      <c r="D104" s="303" t="s">
        <v>2956</v>
      </c>
      <c r="E104" s="303" t="s">
        <v>126</v>
      </c>
      <c r="F104" s="303" t="s">
        <v>44</v>
      </c>
      <c r="G104" s="316" t="s">
        <v>45</v>
      </c>
      <c r="H104" s="305"/>
      <c r="I104" s="314"/>
      <c r="J104" s="305" t="s">
        <v>63</v>
      </c>
      <c r="K104" s="303" t="s">
        <v>2957</v>
      </c>
      <c r="L104" s="303" t="s">
        <v>49</v>
      </c>
      <c r="M104" s="303" t="s">
        <v>50</v>
      </c>
      <c r="N104" s="303"/>
      <c r="O104" s="307"/>
      <c r="P104" s="317"/>
      <c r="Q104" s="305"/>
      <c r="R104" s="309"/>
      <c r="S104" s="8"/>
      <c r="T104" s="9"/>
      <c r="U104" s="9"/>
    </row>
    <row r="105" spans="1:21" ht="45.75" hidden="1" thickTop="1">
      <c r="A105" s="288">
        <f t="shared" si="1"/>
        <v>104</v>
      </c>
      <c r="B105" s="322">
        <v>46038</v>
      </c>
      <c r="C105" s="292" t="s">
        <v>2958</v>
      </c>
      <c r="D105" s="292" t="s">
        <v>1929</v>
      </c>
      <c r="E105" s="292" t="s">
        <v>22</v>
      </c>
      <c r="F105" s="292" t="s">
        <v>73</v>
      </c>
      <c r="G105" s="315" t="s">
        <v>2207</v>
      </c>
      <c r="H105" s="294"/>
      <c r="I105" s="295" t="s">
        <v>2959</v>
      </c>
      <c r="J105" s="294" t="s">
        <v>25</v>
      </c>
      <c r="K105" s="292" t="s">
        <v>2960</v>
      </c>
      <c r="L105" s="292" t="s">
        <v>74</v>
      </c>
      <c r="M105" s="292" t="s">
        <v>50</v>
      </c>
      <c r="N105" s="292" t="s">
        <v>2961</v>
      </c>
      <c r="O105" s="296">
        <v>46038</v>
      </c>
      <c r="P105" s="325">
        <v>3843735</v>
      </c>
      <c r="Q105" s="294" t="s">
        <v>30</v>
      </c>
      <c r="R105" s="298"/>
      <c r="S105" s="8"/>
      <c r="T105" s="9"/>
      <c r="U105" s="9"/>
    </row>
    <row r="106" spans="1:21" ht="75.75" hidden="1" thickTop="1">
      <c r="A106" s="299">
        <f t="shared" si="1"/>
        <v>105</v>
      </c>
      <c r="B106" s="323">
        <v>46038</v>
      </c>
      <c r="C106" s="303" t="s">
        <v>2962</v>
      </c>
      <c r="D106" s="303" t="s">
        <v>131</v>
      </c>
      <c r="E106" s="303" t="s">
        <v>22</v>
      </c>
      <c r="F106" s="303" t="s">
        <v>60</v>
      </c>
      <c r="G106" s="316" t="s">
        <v>2963</v>
      </c>
      <c r="H106" s="305"/>
      <c r="I106" s="314" t="s">
        <v>2430</v>
      </c>
      <c r="J106" s="305" t="s">
        <v>25</v>
      </c>
      <c r="K106" s="303" t="s">
        <v>2964</v>
      </c>
      <c r="L106" s="303" t="s">
        <v>27</v>
      </c>
      <c r="M106" s="303" t="s">
        <v>2623</v>
      </c>
      <c r="N106" s="303" t="s">
        <v>2965</v>
      </c>
      <c r="O106" s="307">
        <v>46038</v>
      </c>
      <c r="P106" s="324">
        <v>233335</v>
      </c>
      <c r="Q106" s="305" t="s">
        <v>302</v>
      </c>
      <c r="R106" s="309"/>
      <c r="S106" s="8"/>
      <c r="T106" s="9"/>
      <c r="U106" s="9"/>
    </row>
    <row r="107" spans="1:21" ht="30.75" hidden="1" thickTop="1">
      <c r="A107" s="288">
        <f t="shared" si="1"/>
        <v>106</v>
      </c>
      <c r="B107" s="322">
        <v>46039</v>
      </c>
      <c r="C107" s="292" t="s">
        <v>2966</v>
      </c>
      <c r="D107" s="292" t="s">
        <v>2967</v>
      </c>
      <c r="E107" s="291" t="s">
        <v>621</v>
      </c>
      <c r="F107" s="292" t="s">
        <v>23</v>
      </c>
      <c r="G107" s="315" t="s">
        <v>2968</v>
      </c>
      <c r="H107" s="294"/>
      <c r="I107" s="295" t="s">
        <v>2969</v>
      </c>
      <c r="J107" s="294" t="s">
        <v>1698</v>
      </c>
      <c r="K107" s="292" t="s">
        <v>2970</v>
      </c>
      <c r="L107" s="292" t="s">
        <v>27</v>
      </c>
      <c r="M107" s="292" t="s">
        <v>28</v>
      </c>
      <c r="N107" s="292"/>
      <c r="O107" s="296">
        <v>46039</v>
      </c>
      <c r="P107" s="297">
        <v>1750000</v>
      </c>
      <c r="Q107" s="294" t="s">
        <v>292</v>
      </c>
      <c r="R107" s="298"/>
      <c r="S107" s="8"/>
      <c r="T107" s="9"/>
      <c r="U107" s="9"/>
    </row>
    <row r="108" spans="1:21" ht="45.75" hidden="1" thickTop="1">
      <c r="A108" s="299">
        <f t="shared" si="1"/>
        <v>107</v>
      </c>
      <c r="B108" s="323">
        <v>46039</v>
      </c>
      <c r="C108" s="303" t="s">
        <v>2971</v>
      </c>
      <c r="D108" s="303" t="s">
        <v>988</v>
      </c>
      <c r="E108" s="302" t="s">
        <v>22</v>
      </c>
      <c r="F108" s="303" t="s">
        <v>23</v>
      </c>
      <c r="G108" s="316" t="s">
        <v>2972</v>
      </c>
      <c r="H108" s="305">
        <v>9765508455</v>
      </c>
      <c r="I108" s="314" t="s">
        <v>2973</v>
      </c>
      <c r="J108" s="305" t="s">
        <v>56</v>
      </c>
      <c r="K108" s="303" t="s">
        <v>2974</v>
      </c>
      <c r="L108" s="303" t="s">
        <v>27</v>
      </c>
      <c r="M108" s="303" t="s">
        <v>28</v>
      </c>
      <c r="N108" s="303" t="s">
        <v>2975</v>
      </c>
      <c r="O108" s="307">
        <v>46039</v>
      </c>
      <c r="P108" s="331">
        <v>450000</v>
      </c>
      <c r="Q108" s="332" t="s">
        <v>98</v>
      </c>
      <c r="R108" s="309"/>
      <c r="S108" s="8"/>
      <c r="T108" s="9"/>
      <c r="U108" s="9"/>
    </row>
    <row r="109" spans="1:21" ht="60.75" hidden="1" thickTop="1">
      <c r="A109" s="288">
        <f t="shared" si="1"/>
        <v>108</v>
      </c>
      <c r="B109" s="322">
        <v>46039</v>
      </c>
      <c r="C109" s="292" t="s">
        <v>2976</v>
      </c>
      <c r="D109" s="292" t="s">
        <v>2977</v>
      </c>
      <c r="E109" s="292" t="s">
        <v>22</v>
      </c>
      <c r="F109" s="292" t="s">
        <v>60</v>
      </c>
      <c r="G109" s="315" t="s">
        <v>2972</v>
      </c>
      <c r="H109" s="294">
        <v>8369907546</v>
      </c>
      <c r="I109" s="295" t="s">
        <v>2978</v>
      </c>
      <c r="J109" s="294" t="s">
        <v>56</v>
      </c>
      <c r="K109" s="292" t="s">
        <v>2455</v>
      </c>
      <c r="L109" s="292" t="s">
        <v>27</v>
      </c>
      <c r="M109" s="292" t="s">
        <v>28</v>
      </c>
      <c r="N109" s="292" t="s">
        <v>2979</v>
      </c>
      <c r="O109" s="296">
        <v>46039</v>
      </c>
      <c r="P109" s="312">
        <v>784000</v>
      </c>
      <c r="Q109" s="294" t="s">
        <v>98</v>
      </c>
      <c r="R109" s="298"/>
      <c r="S109" s="8"/>
      <c r="T109" s="9"/>
      <c r="U109" s="9"/>
    </row>
    <row r="110" spans="1:21" ht="15.75" hidden="1" thickTop="1">
      <c r="A110" s="299">
        <f t="shared" si="1"/>
        <v>109</v>
      </c>
      <c r="B110" s="323">
        <v>46039</v>
      </c>
      <c r="C110" s="303" t="s">
        <v>2980</v>
      </c>
      <c r="D110" s="303" t="s">
        <v>2981</v>
      </c>
      <c r="E110" s="303" t="s">
        <v>22</v>
      </c>
      <c r="F110" s="303" t="s">
        <v>1561</v>
      </c>
      <c r="G110" s="316" t="s">
        <v>2982</v>
      </c>
      <c r="H110" s="305">
        <v>9420092224</v>
      </c>
      <c r="I110" s="314"/>
      <c r="J110" s="305" t="s">
        <v>1113</v>
      </c>
      <c r="K110" s="303" t="s">
        <v>2983</v>
      </c>
      <c r="L110" s="303" t="s">
        <v>58</v>
      </c>
      <c r="M110" s="303" t="s">
        <v>50</v>
      </c>
      <c r="N110" s="303"/>
      <c r="O110" s="307"/>
      <c r="P110" s="317"/>
      <c r="Q110" s="305"/>
      <c r="R110" s="309"/>
      <c r="S110" s="8"/>
      <c r="T110" s="9"/>
      <c r="U110" s="9"/>
    </row>
    <row r="111" spans="1:21" ht="15.75" hidden="1" thickTop="1">
      <c r="A111" s="288">
        <f t="shared" si="1"/>
        <v>110</v>
      </c>
      <c r="B111" s="322">
        <v>46039</v>
      </c>
      <c r="C111" s="292" t="s">
        <v>42</v>
      </c>
      <c r="D111" s="292"/>
      <c r="E111" s="292"/>
      <c r="F111" s="292" t="s">
        <v>1561</v>
      </c>
      <c r="G111" s="315" t="s">
        <v>1870</v>
      </c>
      <c r="H111" s="294">
        <v>8905064604</v>
      </c>
      <c r="I111" s="295"/>
      <c r="J111" s="294" t="s">
        <v>2951</v>
      </c>
      <c r="K111" s="292" t="s">
        <v>2461</v>
      </c>
      <c r="L111" s="292" t="s">
        <v>58</v>
      </c>
      <c r="M111" s="292" t="s">
        <v>2623</v>
      </c>
      <c r="N111" s="292"/>
      <c r="O111" s="296"/>
      <c r="P111" s="312"/>
      <c r="Q111" s="294"/>
      <c r="R111" s="298"/>
      <c r="S111" s="8"/>
      <c r="T111" s="9"/>
      <c r="U111" s="9"/>
    </row>
    <row r="112" spans="1:21" ht="45.75" hidden="1" thickTop="1">
      <c r="A112" s="299">
        <f t="shared" si="1"/>
        <v>111</v>
      </c>
      <c r="B112" s="323">
        <v>46040</v>
      </c>
      <c r="C112" s="303" t="s">
        <v>2984</v>
      </c>
      <c r="D112" s="303" t="s">
        <v>2985</v>
      </c>
      <c r="E112" s="303" t="s">
        <v>22</v>
      </c>
      <c r="F112" s="303" t="s">
        <v>73</v>
      </c>
      <c r="G112" s="316" t="s">
        <v>2565</v>
      </c>
      <c r="H112" s="305">
        <v>7218579304</v>
      </c>
      <c r="I112" s="314" t="s">
        <v>2986</v>
      </c>
      <c r="J112" s="305" t="s">
        <v>122</v>
      </c>
      <c r="K112" s="303" t="s">
        <v>2987</v>
      </c>
      <c r="L112" s="303" t="s">
        <v>49</v>
      </c>
      <c r="M112" s="303" t="s">
        <v>50</v>
      </c>
      <c r="N112" s="303"/>
      <c r="O112" s="307"/>
      <c r="P112" s="317"/>
      <c r="Q112" s="305"/>
      <c r="R112" s="309"/>
      <c r="S112" s="8"/>
      <c r="T112" s="9"/>
      <c r="U112" s="9"/>
    </row>
    <row r="113" spans="1:21" ht="30.75" hidden="1" thickTop="1">
      <c r="A113" s="288">
        <f t="shared" si="1"/>
        <v>112</v>
      </c>
      <c r="B113" s="322">
        <v>46040</v>
      </c>
      <c r="C113" s="292" t="s">
        <v>2988</v>
      </c>
      <c r="D113" s="292" t="s">
        <v>2989</v>
      </c>
      <c r="E113" s="292" t="s">
        <v>82</v>
      </c>
      <c r="F113" s="292" t="s">
        <v>44</v>
      </c>
      <c r="G113" s="315" t="s">
        <v>149</v>
      </c>
      <c r="H113" s="294">
        <v>6374170750</v>
      </c>
      <c r="I113" s="295" t="s">
        <v>2468</v>
      </c>
      <c r="J113" s="294" t="s">
        <v>122</v>
      </c>
      <c r="K113" s="292" t="s">
        <v>2990</v>
      </c>
      <c r="L113" s="292" t="s">
        <v>49</v>
      </c>
      <c r="M113" s="292" t="s">
        <v>50</v>
      </c>
      <c r="N113" s="292"/>
      <c r="O113" s="296"/>
      <c r="P113" s="312"/>
      <c r="Q113" s="294"/>
      <c r="R113" s="298"/>
      <c r="S113" s="8"/>
      <c r="T113" s="9"/>
      <c r="U113" s="9"/>
    </row>
    <row r="114" spans="1:21" ht="45.75" hidden="1" thickTop="1">
      <c r="A114" s="299">
        <f t="shared" si="1"/>
        <v>113</v>
      </c>
      <c r="B114" s="323">
        <v>46040</v>
      </c>
      <c r="C114" s="303" t="s">
        <v>2991</v>
      </c>
      <c r="D114" s="303" t="s">
        <v>2992</v>
      </c>
      <c r="E114" s="303" t="s">
        <v>22</v>
      </c>
      <c r="F114" s="303" t="s">
        <v>83</v>
      </c>
      <c r="G114" s="316" t="s">
        <v>852</v>
      </c>
      <c r="H114" s="305">
        <v>9823560303</v>
      </c>
      <c r="I114" s="314" t="s">
        <v>2471</v>
      </c>
      <c r="J114" s="305" t="s">
        <v>1113</v>
      </c>
      <c r="K114" s="303" t="s">
        <v>2993</v>
      </c>
      <c r="L114" s="303" t="s">
        <v>49</v>
      </c>
      <c r="M114" s="303" t="s">
        <v>2623</v>
      </c>
      <c r="N114" s="303"/>
      <c r="O114" s="307"/>
      <c r="P114" s="317"/>
      <c r="Q114" s="305"/>
      <c r="R114" s="309"/>
      <c r="S114" s="8"/>
      <c r="T114" s="9"/>
      <c r="U114" s="9"/>
    </row>
    <row r="115" spans="1:21" ht="30.75" hidden="1" thickTop="1">
      <c r="A115" s="288">
        <f t="shared" si="1"/>
        <v>114</v>
      </c>
      <c r="B115" s="322">
        <v>46040</v>
      </c>
      <c r="C115" s="292" t="s">
        <v>2994</v>
      </c>
      <c r="D115" s="292" t="s">
        <v>1042</v>
      </c>
      <c r="E115" s="292" t="s">
        <v>22</v>
      </c>
      <c r="F115" s="292" t="s">
        <v>60</v>
      </c>
      <c r="G115" s="315" t="s">
        <v>180</v>
      </c>
      <c r="H115" s="294">
        <v>9664534662</v>
      </c>
      <c r="I115" s="295" t="s">
        <v>2995</v>
      </c>
      <c r="J115" s="294" t="s">
        <v>122</v>
      </c>
      <c r="K115" s="292" t="s">
        <v>2475</v>
      </c>
      <c r="L115" s="292" t="s">
        <v>49</v>
      </c>
      <c r="M115" s="292" t="s">
        <v>40</v>
      </c>
      <c r="N115" s="292"/>
      <c r="O115" s="296"/>
      <c r="P115" s="312"/>
      <c r="Q115" s="294"/>
      <c r="R115" s="298"/>
      <c r="S115" s="8"/>
      <c r="T115" s="9"/>
      <c r="U115" s="9"/>
    </row>
    <row r="116" spans="1:21" ht="45.75" hidden="1" thickTop="1">
      <c r="A116" s="299">
        <f t="shared" si="1"/>
        <v>115</v>
      </c>
      <c r="B116" s="323">
        <v>46040</v>
      </c>
      <c r="C116" s="303" t="s">
        <v>2996</v>
      </c>
      <c r="D116" s="303" t="s">
        <v>2997</v>
      </c>
      <c r="E116" s="303" t="s">
        <v>143</v>
      </c>
      <c r="F116" s="303" t="s">
        <v>73</v>
      </c>
      <c r="G116" s="316" t="s">
        <v>2998</v>
      </c>
      <c r="H116" s="305">
        <v>9452034303</v>
      </c>
      <c r="I116" s="314" t="s">
        <v>2999</v>
      </c>
      <c r="J116" s="305" t="s">
        <v>63</v>
      </c>
      <c r="K116" s="303" t="s">
        <v>2479</v>
      </c>
      <c r="L116" s="303" t="s">
        <v>49</v>
      </c>
      <c r="M116" s="303" t="s">
        <v>2623</v>
      </c>
      <c r="N116" s="303"/>
      <c r="O116" s="307"/>
      <c r="P116" s="317"/>
      <c r="Q116" s="305"/>
      <c r="R116" s="309"/>
      <c r="S116" s="8"/>
      <c r="T116" s="9"/>
      <c r="U116" s="9"/>
    </row>
    <row r="117" spans="1:21" ht="30.75" hidden="1" thickTop="1">
      <c r="A117" s="288">
        <f t="shared" si="1"/>
        <v>116</v>
      </c>
      <c r="B117" s="322">
        <v>46040</v>
      </c>
      <c r="C117" s="292" t="s">
        <v>3000</v>
      </c>
      <c r="D117" s="292" t="s">
        <v>2743</v>
      </c>
      <c r="E117" s="292" t="s">
        <v>193</v>
      </c>
      <c r="F117" s="292" t="s">
        <v>44</v>
      </c>
      <c r="G117" s="315" t="s">
        <v>1368</v>
      </c>
      <c r="H117" s="294">
        <v>9452034303</v>
      </c>
      <c r="I117" s="295" t="s">
        <v>3001</v>
      </c>
      <c r="J117" s="294" t="s">
        <v>2951</v>
      </c>
      <c r="K117" s="292" t="s">
        <v>3002</v>
      </c>
      <c r="L117" s="292" t="s">
        <v>49</v>
      </c>
      <c r="M117" s="292" t="s">
        <v>2623</v>
      </c>
      <c r="N117" s="292"/>
      <c r="O117" s="296"/>
      <c r="P117" s="312"/>
      <c r="Q117" s="294"/>
      <c r="R117" s="298"/>
      <c r="S117" s="8"/>
      <c r="T117" s="9"/>
      <c r="U117" s="9"/>
    </row>
    <row r="118" spans="1:21" ht="30.75" hidden="1" thickTop="1">
      <c r="A118" s="299">
        <f t="shared" si="1"/>
        <v>117</v>
      </c>
      <c r="B118" s="323">
        <v>46040</v>
      </c>
      <c r="C118" s="303" t="s">
        <v>3003</v>
      </c>
      <c r="D118" s="303" t="s">
        <v>2536</v>
      </c>
      <c r="E118" s="303" t="s">
        <v>22</v>
      </c>
      <c r="F118" s="303" t="s">
        <v>60</v>
      </c>
      <c r="G118" s="316" t="s">
        <v>2561</v>
      </c>
      <c r="H118" s="305">
        <v>9561919235</v>
      </c>
      <c r="I118" s="314" t="s">
        <v>3004</v>
      </c>
      <c r="J118" s="305" t="s">
        <v>25</v>
      </c>
      <c r="K118" s="303" t="s">
        <v>3005</v>
      </c>
      <c r="L118" s="303" t="s">
        <v>49</v>
      </c>
      <c r="M118" s="303" t="s">
        <v>40</v>
      </c>
      <c r="N118" s="303"/>
      <c r="O118" s="307"/>
      <c r="P118" s="308"/>
      <c r="Q118" s="305"/>
      <c r="R118" s="309"/>
      <c r="S118" s="8"/>
      <c r="T118" s="9"/>
      <c r="U118" s="9"/>
    </row>
    <row r="119" spans="1:21" ht="75.75" hidden="1" thickTop="1">
      <c r="A119" s="288">
        <f t="shared" si="1"/>
        <v>118</v>
      </c>
      <c r="B119" s="322">
        <v>46040</v>
      </c>
      <c r="C119" s="292" t="s">
        <v>3006</v>
      </c>
      <c r="D119" s="295" t="s">
        <v>3007</v>
      </c>
      <c r="E119" s="292" t="s">
        <v>22</v>
      </c>
      <c r="F119" s="292" t="s">
        <v>60</v>
      </c>
      <c r="G119" s="315" t="s">
        <v>3008</v>
      </c>
      <c r="H119" s="294">
        <v>8459102405</v>
      </c>
      <c r="I119" s="295" t="s">
        <v>3009</v>
      </c>
      <c r="J119" s="294" t="s">
        <v>1113</v>
      </c>
      <c r="K119" s="292" t="s">
        <v>3010</v>
      </c>
      <c r="L119" s="292" t="s">
        <v>49</v>
      </c>
      <c r="M119" s="292" t="s">
        <v>40</v>
      </c>
      <c r="N119" s="292"/>
      <c r="O119" s="296"/>
      <c r="P119" s="312"/>
      <c r="Q119" s="294"/>
      <c r="R119" s="298"/>
      <c r="S119" s="8"/>
      <c r="T119" s="9"/>
      <c r="U119" s="9"/>
    </row>
    <row r="120" spans="1:21" ht="30.75" hidden="1" thickTop="1">
      <c r="A120" s="299">
        <f t="shared" si="1"/>
        <v>119</v>
      </c>
      <c r="B120" s="323">
        <v>46040</v>
      </c>
      <c r="C120" s="303" t="s">
        <v>42</v>
      </c>
      <c r="D120" s="303" t="s">
        <v>3011</v>
      </c>
      <c r="E120" s="303" t="s">
        <v>22</v>
      </c>
      <c r="F120" s="303" t="s">
        <v>60</v>
      </c>
      <c r="G120" s="316" t="s">
        <v>3012</v>
      </c>
      <c r="H120" s="305">
        <v>7420846981</v>
      </c>
      <c r="I120" s="314" t="s">
        <v>3013</v>
      </c>
      <c r="J120" s="305" t="s">
        <v>1113</v>
      </c>
      <c r="K120" s="303" t="s">
        <v>3014</v>
      </c>
      <c r="L120" s="303" t="s">
        <v>49</v>
      </c>
      <c r="M120" s="303" t="s">
        <v>40</v>
      </c>
      <c r="N120" s="303"/>
      <c r="O120" s="307"/>
      <c r="P120" s="317"/>
      <c r="Q120" s="305"/>
      <c r="R120" s="309"/>
      <c r="S120" s="8" t="s">
        <v>3015</v>
      </c>
      <c r="T120" s="9"/>
      <c r="U120" s="9"/>
    </row>
    <row r="121" spans="1:21" ht="45.75" hidden="1" thickTop="1">
      <c r="A121" s="288">
        <f t="shared" si="1"/>
        <v>120</v>
      </c>
      <c r="B121" s="322">
        <v>46040</v>
      </c>
      <c r="C121" s="292" t="s">
        <v>3016</v>
      </c>
      <c r="D121" s="292" t="s">
        <v>3017</v>
      </c>
      <c r="E121" s="292" t="s">
        <v>193</v>
      </c>
      <c r="F121" s="292" t="s">
        <v>23</v>
      </c>
      <c r="G121" s="315" t="s">
        <v>3018</v>
      </c>
      <c r="H121" s="333">
        <v>7069059712</v>
      </c>
      <c r="I121" s="334" t="s">
        <v>3019</v>
      </c>
      <c r="J121" s="294" t="s">
        <v>25</v>
      </c>
      <c r="K121" s="335" t="s">
        <v>3020</v>
      </c>
      <c r="L121" s="292" t="s">
        <v>27</v>
      </c>
      <c r="M121" s="292" t="s">
        <v>2623</v>
      </c>
      <c r="N121" s="292" t="s">
        <v>3021</v>
      </c>
      <c r="O121" s="296">
        <v>46040</v>
      </c>
      <c r="P121" s="325">
        <v>350000</v>
      </c>
      <c r="Q121" s="294" t="s">
        <v>30</v>
      </c>
      <c r="R121" s="298"/>
      <c r="S121" s="8"/>
      <c r="T121" s="9"/>
      <c r="U121" s="9"/>
    </row>
    <row r="122" spans="1:21" ht="30.75" hidden="1" thickTop="1">
      <c r="A122" s="299">
        <f t="shared" si="1"/>
        <v>121</v>
      </c>
      <c r="B122" s="323">
        <v>46040</v>
      </c>
      <c r="C122" s="303" t="s">
        <v>3022</v>
      </c>
      <c r="D122" s="303" t="s">
        <v>3023</v>
      </c>
      <c r="E122" s="303" t="s">
        <v>22</v>
      </c>
      <c r="F122" s="303" t="s">
        <v>23</v>
      </c>
      <c r="G122" s="316" t="s">
        <v>3018</v>
      </c>
      <c r="H122" s="336">
        <v>9922424143</v>
      </c>
      <c r="I122" s="337" t="s">
        <v>3024</v>
      </c>
      <c r="J122" s="305" t="s">
        <v>1698</v>
      </c>
      <c r="K122" s="303" t="s">
        <v>3025</v>
      </c>
      <c r="L122" s="303" t="s">
        <v>27</v>
      </c>
      <c r="M122" s="303" t="s">
        <v>28</v>
      </c>
      <c r="N122" s="303" t="s">
        <v>3021</v>
      </c>
      <c r="O122" s="307">
        <v>46040</v>
      </c>
      <c r="P122" s="313">
        <v>420000</v>
      </c>
      <c r="Q122" s="305" t="s">
        <v>2073</v>
      </c>
      <c r="R122" s="309"/>
      <c r="S122" s="8"/>
      <c r="T122" s="9"/>
      <c r="U122" s="9"/>
    </row>
    <row r="123" spans="1:21" ht="45.75" hidden="1" thickTop="1">
      <c r="A123" s="288">
        <f t="shared" si="1"/>
        <v>122</v>
      </c>
      <c r="B123" s="322">
        <v>46040</v>
      </c>
      <c r="C123" s="292" t="s">
        <v>3026</v>
      </c>
      <c r="D123" s="292" t="s">
        <v>3027</v>
      </c>
      <c r="E123" s="292" t="s">
        <v>22</v>
      </c>
      <c r="F123" s="292" t="s">
        <v>1561</v>
      </c>
      <c r="G123" s="315" t="s">
        <v>3028</v>
      </c>
      <c r="H123" s="294"/>
      <c r="I123" s="334" t="s">
        <v>3029</v>
      </c>
      <c r="J123" s="294" t="s">
        <v>1698</v>
      </c>
      <c r="K123" s="292" t="s">
        <v>3030</v>
      </c>
      <c r="L123" s="292" t="s">
        <v>74</v>
      </c>
      <c r="M123" s="292" t="s">
        <v>2623</v>
      </c>
      <c r="N123" s="292" t="s">
        <v>3031</v>
      </c>
      <c r="O123" s="296">
        <v>46040</v>
      </c>
      <c r="P123" s="319">
        <v>650000</v>
      </c>
      <c r="Q123" s="294" t="s">
        <v>2073</v>
      </c>
      <c r="R123" s="298"/>
      <c r="S123" s="8"/>
      <c r="T123" s="9"/>
      <c r="U123" s="9"/>
    </row>
    <row r="124" spans="1:21" ht="45.75" hidden="1" thickTop="1">
      <c r="A124" s="299">
        <f t="shared" si="1"/>
        <v>123</v>
      </c>
      <c r="B124" s="323">
        <v>46040</v>
      </c>
      <c r="C124" s="303" t="s">
        <v>3032</v>
      </c>
      <c r="D124" s="303" t="s">
        <v>21</v>
      </c>
      <c r="E124" s="303" t="s">
        <v>22</v>
      </c>
      <c r="F124" s="303" t="s">
        <v>1561</v>
      </c>
      <c r="G124" s="338" t="s">
        <v>83</v>
      </c>
      <c r="H124" s="305"/>
      <c r="I124" s="337" t="s">
        <v>3033</v>
      </c>
      <c r="J124" s="305" t="s">
        <v>1698</v>
      </c>
      <c r="K124" s="303" t="s">
        <v>3034</v>
      </c>
      <c r="L124" s="303" t="s">
        <v>74</v>
      </c>
      <c r="M124" s="303" t="s">
        <v>2623</v>
      </c>
      <c r="N124" s="303" t="s">
        <v>3035</v>
      </c>
      <c r="O124" s="307">
        <v>46040</v>
      </c>
      <c r="P124" s="313">
        <v>1310000</v>
      </c>
      <c r="Q124" s="305" t="s">
        <v>2073</v>
      </c>
      <c r="R124" s="309"/>
      <c r="S124" s="8"/>
      <c r="T124" s="9"/>
      <c r="U124" s="9"/>
    </row>
    <row r="125" spans="1:21" ht="45.75" hidden="1" thickTop="1">
      <c r="A125" s="288">
        <f t="shared" si="1"/>
        <v>124</v>
      </c>
      <c r="B125" s="322">
        <v>46041</v>
      </c>
      <c r="C125" s="292" t="s">
        <v>2832</v>
      </c>
      <c r="D125" s="292" t="s">
        <v>2762</v>
      </c>
      <c r="E125" s="292" t="s">
        <v>22</v>
      </c>
      <c r="F125" s="292" t="s">
        <v>23</v>
      </c>
      <c r="G125" s="339" t="s">
        <v>3036</v>
      </c>
      <c r="H125" s="340">
        <v>8600120115</v>
      </c>
      <c r="I125" s="334" t="s">
        <v>1896</v>
      </c>
      <c r="J125" s="294" t="s">
        <v>25</v>
      </c>
      <c r="K125" s="292" t="s">
        <v>3037</v>
      </c>
      <c r="L125" s="295" t="s">
        <v>74</v>
      </c>
      <c r="M125" s="292" t="s">
        <v>28</v>
      </c>
      <c r="N125" s="292" t="s">
        <v>3038</v>
      </c>
      <c r="O125" s="296">
        <v>46041</v>
      </c>
      <c r="P125" s="325">
        <v>2599300</v>
      </c>
      <c r="Q125" s="294" t="s">
        <v>30</v>
      </c>
      <c r="R125" s="298"/>
      <c r="S125" s="8"/>
      <c r="T125" s="9"/>
      <c r="U125" s="9"/>
    </row>
    <row r="126" spans="1:21" ht="30.75" hidden="1" thickTop="1">
      <c r="A126" s="299">
        <f t="shared" si="1"/>
        <v>125</v>
      </c>
      <c r="B126" s="323">
        <v>46041</v>
      </c>
      <c r="C126" s="303" t="s">
        <v>3039</v>
      </c>
      <c r="D126" s="303" t="s">
        <v>3040</v>
      </c>
      <c r="E126" s="303" t="s">
        <v>22</v>
      </c>
      <c r="F126" s="303" t="s">
        <v>73</v>
      </c>
      <c r="G126" s="316" t="s">
        <v>3039</v>
      </c>
      <c r="H126" s="305">
        <v>9767754195</v>
      </c>
      <c r="I126" s="314" t="s">
        <v>3041</v>
      </c>
      <c r="J126" s="305" t="s">
        <v>122</v>
      </c>
      <c r="K126" s="303" t="s">
        <v>3042</v>
      </c>
      <c r="L126" s="303" t="s">
        <v>49</v>
      </c>
      <c r="M126" s="303" t="s">
        <v>50</v>
      </c>
      <c r="N126" s="303"/>
      <c r="O126" s="307"/>
      <c r="P126" s="317"/>
      <c r="Q126" s="305"/>
      <c r="R126" s="309"/>
      <c r="S126" s="8"/>
      <c r="T126" s="9"/>
      <c r="U126" s="9"/>
    </row>
    <row r="127" spans="1:21" ht="15.75" hidden="1" thickTop="1">
      <c r="A127" s="288">
        <f t="shared" si="1"/>
        <v>126</v>
      </c>
      <c r="B127" s="322">
        <v>46041</v>
      </c>
      <c r="C127" s="292" t="s">
        <v>42</v>
      </c>
      <c r="D127" s="292" t="s">
        <v>3043</v>
      </c>
      <c r="E127" s="292" t="s">
        <v>126</v>
      </c>
      <c r="F127" s="292" t="s">
        <v>23</v>
      </c>
      <c r="G127" s="315" t="s">
        <v>188</v>
      </c>
      <c r="H127" s="294">
        <v>8700997852</v>
      </c>
      <c r="I127" s="295"/>
      <c r="J127" s="294" t="s">
        <v>1113</v>
      </c>
      <c r="K127" s="292" t="s">
        <v>3044</v>
      </c>
      <c r="L127" s="292" t="s">
        <v>49</v>
      </c>
      <c r="M127" s="292" t="s">
        <v>2623</v>
      </c>
      <c r="N127" s="292"/>
      <c r="O127" s="296"/>
      <c r="P127" s="312"/>
      <c r="Q127" s="294"/>
      <c r="R127" s="298"/>
      <c r="S127" s="8"/>
      <c r="T127" s="9"/>
      <c r="U127" s="9"/>
    </row>
    <row r="128" spans="1:21" ht="30.75" hidden="1" thickTop="1">
      <c r="A128" s="299">
        <f t="shared" si="1"/>
        <v>127</v>
      </c>
      <c r="B128" s="323">
        <v>46041</v>
      </c>
      <c r="C128" s="303" t="s">
        <v>3045</v>
      </c>
      <c r="D128" s="303" t="s">
        <v>3046</v>
      </c>
      <c r="E128" s="303" t="s">
        <v>193</v>
      </c>
      <c r="F128" s="303" t="s">
        <v>60</v>
      </c>
      <c r="G128" s="316" t="s">
        <v>244</v>
      </c>
      <c r="H128" s="305">
        <v>9316178028</v>
      </c>
      <c r="I128" s="314" t="s">
        <v>3047</v>
      </c>
      <c r="J128" s="305" t="s">
        <v>122</v>
      </c>
      <c r="K128" s="303" t="s">
        <v>3048</v>
      </c>
      <c r="L128" s="303" t="s">
        <v>49</v>
      </c>
      <c r="M128" s="303" t="s">
        <v>40</v>
      </c>
      <c r="N128" s="303"/>
      <c r="O128" s="307"/>
      <c r="P128" s="317"/>
      <c r="Q128" s="305"/>
      <c r="R128" s="309"/>
      <c r="S128" s="8"/>
      <c r="T128" s="9"/>
      <c r="U128" s="9"/>
    </row>
    <row r="129" spans="1:21" ht="30.75" hidden="1" thickTop="1">
      <c r="A129" s="288">
        <f t="shared" si="1"/>
        <v>128</v>
      </c>
      <c r="B129" s="322">
        <v>46041</v>
      </c>
      <c r="C129" s="292" t="s">
        <v>2122</v>
      </c>
      <c r="D129" s="292" t="s">
        <v>2668</v>
      </c>
      <c r="E129" s="292"/>
      <c r="F129" s="292" t="s">
        <v>44</v>
      </c>
      <c r="G129" s="315" t="s">
        <v>3049</v>
      </c>
      <c r="H129" s="294">
        <v>9820444150</v>
      </c>
      <c r="I129" s="295" t="s">
        <v>2669</v>
      </c>
      <c r="J129" s="294" t="s">
        <v>2951</v>
      </c>
      <c r="K129" s="292" t="s">
        <v>2670</v>
      </c>
      <c r="L129" s="292" t="s">
        <v>49</v>
      </c>
      <c r="M129" s="292" t="s">
        <v>2623</v>
      </c>
      <c r="N129" s="292"/>
      <c r="O129" s="296"/>
      <c r="P129" s="312"/>
      <c r="Q129" s="294"/>
      <c r="R129" s="298"/>
      <c r="S129" s="8"/>
      <c r="T129" s="9"/>
      <c r="U129" s="9"/>
    </row>
    <row r="130" spans="1:21" ht="30.75" hidden="1" thickTop="1">
      <c r="A130" s="299">
        <f t="shared" ref="A130:A193" si="2">ROW()-1</f>
        <v>129</v>
      </c>
      <c r="B130" s="323">
        <v>46041</v>
      </c>
      <c r="C130" s="303" t="s">
        <v>42</v>
      </c>
      <c r="D130" s="303" t="s">
        <v>3050</v>
      </c>
      <c r="E130" s="303" t="s">
        <v>22</v>
      </c>
      <c r="F130" s="303" t="s">
        <v>60</v>
      </c>
      <c r="G130" s="316" t="s">
        <v>2726</v>
      </c>
      <c r="H130" s="305">
        <v>7972317474</v>
      </c>
      <c r="I130" s="314" t="s">
        <v>3051</v>
      </c>
      <c r="J130" s="305" t="s">
        <v>122</v>
      </c>
      <c r="K130" s="303" t="s">
        <v>3052</v>
      </c>
      <c r="L130" s="303" t="s">
        <v>49</v>
      </c>
      <c r="M130" s="303" t="s">
        <v>40</v>
      </c>
      <c r="N130" s="303"/>
      <c r="O130" s="307"/>
      <c r="P130" s="317"/>
      <c r="Q130" s="305"/>
      <c r="R130" s="309"/>
      <c r="S130" s="8"/>
      <c r="T130" s="9"/>
      <c r="U130" s="9"/>
    </row>
    <row r="131" spans="1:21" ht="45.75" hidden="1" thickTop="1">
      <c r="A131" s="288">
        <f t="shared" si="2"/>
        <v>130</v>
      </c>
      <c r="B131" s="322">
        <v>46041</v>
      </c>
      <c r="C131" s="292" t="s">
        <v>3053</v>
      </c>
      <c r="D131" s="292" t="s">
        <v>3054</v>
      </c>
      <c r="E131" s="292" t="s">
        <v>214</v>
      </c>
      <c r="F131" s="292" t="s">
        <v>73</v>
      </c>
      <c r="G131" s="315" t="s">
        <v>901</v>
      </c>
      <c r="H131" s="294">
        <v>9964464435</v>
      </c>
      <c r="I131" s="295" t="s">
        <v>3055</v>
      </c>
      <c r="J131" s="294" t="s">
        <v>1113</v>
      </c>
      <c r="K131" s="292" t="s">
        <v>3056</v>
      </c>
      <c r="L131" s="292" t="s">
        <v>49</v>
      </c>
      <c r="M131" s="292" t="s">
        <v>50</v>
      </c>
      <c r="N131" s="292"/>
      <c r="O131" s="296"/>
      <c r="P131" s="312"/>
      <c r="Q131" s="294"/>
      <c r="R131" s="298"/>
      <c r="S131" s="8"/>
      <c r="T131" s="9"/>
      <c r="U131" s="9"/>
    </row>
    <row r="132" spans="1:21" ht="45.75" hidden="1" thickTop="1">
      <c r="A132" s="299">
        <f t="shared" si="2"/>
        <v>131</v>
      </c>
      <c r="B132" s="323">
        <v>46041</v>
      </c>
      <c r="C132" s="303" t="s">
        <v>3057</v>
      </c>
      <c r="D132" s="303" t="s">
        <v>3058</v>
      </c>
      <c r="E132" s="303"/>
      <c r="F132" s="303" t="s">
        <v>60</v>
      </c>
      <c r="G132" s="316" t="s">
        <v>3059</v>
      </c>
      <c r="H132" s="305">
        <v>9879093293</v>
      </c>
      <c r="I132" s="314" t="s">
        <v>3060</v>
      </c>
      <c r="J132" s="305" t="s">
        <v>122</v>
      </c>
      <c r="K132" s="303" t="s">
        <v>3061</v>
      </c>
      <c r="L132" s="303" t="s">
        <v>49</v>
      </c>
      <c r="M132" s="303" t="s">
        <v>40</v>
      </c>
      <c r="N132" s="303"/>
      <c r="O132" s="307"/>
      <c r="P132" s="317"/>
      <c r="Q132" s="305"/>
      <c r="R132" s="309"/>
      <c r="S132" s="8"/>
      <c r="T132" s="9"/>
      <c r="U132" s="9"/>
    </row>
    <row r="133" spans="1:21" ht="45.75" hidden="1" thickTop="1">
      <c r="A133" s="288">
        <f t="shared" si="2"/>
        <v>132</v>
      </c>
      <c r="B133" s="322">
        <v>46041</v>
      </c>
      <c r="C133" s="295" t="s">
        <v>3062</v>
      </c>
      <c r="D133" s="292" t="s">
        <v>3063</v>
      </c>
      <c r="E133" s="292" t="s">
        <v>22</v>
      </c>
      <c r="F133" s="292" t="s">
        <v>60</v>
      </c>
      <c r="G133" s="339" t="s">
        <v>3064</v>
      </c>
      <c r="H133" s="294">
        <v>9594298766</v>
      </c>
      <c r="I133" s="295" t="s">
        <v>3065</v>
      </c>
      <c r="J133" s="294" t="s">
        <v>56</v>
      </c>
      <c r="K133" s="292" t="s">
        <v>3066</v>
      </c>
      <c r="L133" s="292" t="s">
        <v>49</v>
      </c>
      <c r="M133" s="292" t="s">
        <v>40</v>
      </c>
      <c r="N133" s="292" t="s">
        <v>3067</v>
      </c>
      <c r="O133" s="296">
        <v>46042</v>
      </c>
      <c r="P133" s="312">
        <v>169740</v>
      </c>
      <c r="Q133" s="294" t="s">
        <v>98</v>
      </c>
      <c r="R133" s="298" t="s">
        <v>3068</v>
      </c>
      <c r="S133" s="8"/>
      <c r="T133" s="9"/>
      <c r="U133" s="9"/>
    </row>
    <row r="134" spans="1:21" ht="30.75" hidden="1" thickTop="1">
      <c r="A134" s="299">
        <f t="shared" si="2"/>
        <v>133</v>
      </c>
      <c r="B134" s="323">
        <v>46041</v>
      </c>
      <c r="C134" s="303" t="s">
        <v>42</v>
      </c>
      <c r="D134" s="303" t="s">
        <v>2762</v>
      </c>
      <c r="E134" s="303" t="s">
        <v>22</v>
      </c>
      <c r="F134" s="303" t="s">
        <v>73</v>
      </c>
      <c r="G134" s="316" t="s">
        <v>90</v>
      </c>
      <c r="H134" s="305">
        <v>7304427373</v>
      </c>
      <c r="I134" s="314" t="s">
        <v>3069</v>
      </c>
      <c r="J134" s="305" t="s">
        <v>122</v>
      </c>
      <c r="K134" s="303" t="s">
        <v>3070</v>
      </c>
      <c r="L134" s="303" t="s">
        <v>49</v>
      </c>
      <c r="M134" s="303" t="s">
        <v>50</v>
      </c>
      <c r="N134" s="303"/>
      <c r="O134" s="307"/>
      <c r="P134" s="317"/>
      <c r="Q134" s="305"/>
      <c r="R134" s="309"/>
      <c r="S134" s="8"/>
      <c r="T134" s="9"/>
      <c r="U134" s="9"/>
    </row>
    <row r="135" spans="1:21" ht="30.75" hidden="1" thickTop="1">
      <c r="A135" s="288">
        <f t="shared" si="2"/>
        <v>134</v>
      </c>
      <c r="B135" s="322">
        <v>46041</v>
      </c>
      <c r="C135" s="292" t="s">
        <v>3071</v>
      </c>
      <c r="D135" s="292" t="s">
        <v>3072</v>
      </c>
      <c r="E135" s="292" t="s">
        <v>82</v>
      </c>
      <c r="F135" s="292" t="s">
        <v>60</v>
      </c>
      <c r="G135" s="315" t="s">
        <v>1639</v>
      </c>
      <c r="H135" s="294">
        <v>9629361933</v>
      </c>
      <c r="I135" s="295" t="s">
        <v>3073</v>
      </c>
      <c r="J135" s="294" t="s">
        <v>56</v>
      </c>
      <c r="K135" s="292" t="s">
        <v>3074</v>
      </c>
      <c r="L135" s="292" t="s">
        <v>49</v>
      </c>
      <c r="M135" s="292" t="s">
        <v>40</v>
      </c>
      <c r="N135" s="292"/>
      <c r="O135" s="296"/>
      <c r="P135" s="312"/>
      <c r="Q135" s="294"/>
      <c r="R135" s="298"/>
      <c r="S135" s="8"/>
      <c r="T135" s="9"/>
      <c r="U135" s="9"/>
    </row>
    <row r="136" spans="1:21" ht="30.75" hidden="1" thickTop="1">
      <c r="A136" s="299">
        <f t="shared" si="2"/>
        <v>135</v>
      </c>
      <c r="B136" s="323">
        <v>46041</v>
      </c>
      <c r="C136" s="303" t="s">
        <v>3075</v>
      </c>
      <c r="D136" s="303" t="s">
        <v>3076</v>
      </c>
      <c r="E136" s="303" t="s">
        <v>22</v>
      </c>
      <c r="F136" s="303" t="s">
        <v>60</v>
      </c>
      <c r="G136" s="316" t="s">
        <v>180</v>
      </c>
      <c r="H136" s="305">
        <v>7709455453</v>
      </c>
      <c r="I136" s="314" t="s">
        <v>3077</v>
      </c>
      <c r="J136" s="305" t="s">
        <v>567</v>
      </c>
      <c r="K136" s="303" t="s">
        <v>3078</v>
      </c>
      <c r="L136" s="303" t="s">
        <v>49</v>
      </c>
      <c r="M136" s="303" t="s">
        <v>40</v>
      </c>
      <c r="N136" s="303"/>
      <c r="O136" s="307"/>
      <c r="P136" s="317"/>
      <c r="Q136" s="305"/>
      <c r="R136" s="309"/>
      <c r="S136" s="8"/>
      <c r="T136" s="9"/>
      <c r="U136" s="9"/>
    </row>
    <row r="137" spans="1:21" ht="35.25" hidden="1" thickTop="1">
      <c r="A137" s="288">
        <f t="shared" si="2"/>
        <v>136</v>
      </c>
      <c r="B137" s="322">
        <v>46041</v>
      </c>
      <c r="C137" s="292" t="s">
        <v>3079</v>
      </c>
      <c r="D137" s="341" t="s">
        <v>3080</v>
      </c>
      <c r="E137" s="292" t="s">
        <v>595</v>
      </c>
      <c r="F137" s="292" t="s">
        <v>23</v>
      </c>
      <c r="G137" s="315" t="s">
        <v>23</v>
      </c>
      <c r="H137" s="294">
        <v>7047440066</v>
      </c>
      <c r="I137" s="295" t="s">
        <v>3081</v>
      </c>
      <c r="J137" s="294" t="s">
        <v>1113</v>
      </c>
      <c r="K137" s="292" t="s">
        <v>3082</v>
      </c>
      <c r="L137" s="292" t="s">
        <v>58</v>
      </c>
      <c r="M137" s="292" t="s">
        <v>2623</v>
      </c>
      <c r="N137" s="292"/>
      <c r="O137" s="296"/>
      <c r="P137" s="312"/>
      <c r="Q137" s="294"/>
      <c r="R137" s="298"/>
      <c r="S137" s="8"/>
      <c r="T137" s="9"/>
      <c r="U137" s="9"/>
    </row>
    <row r="138" spans="1:21" ht="30.75" hidden="1" thickTop="1">
      <c r="A138" s="299">
        <f t="shared" si="2"/>
        <v>137</v>
      </c>
      <c r="B138" s="323">
        <v>46041</v>
      </c>
      <c r="C138" s="303" t="s">
        <v>3083</v>
      </c>
      <c r="D138" s="342" t="s">
        <v>3084</v>
      </c>
      <c r="E138" s="303" t="s">
        <v>22</v>
      </c>
      <c r="F138" s="303" t="s">
        <v>59</v>
      </c>
      <c r="G138" s="316" t="s">
        <v>3085</v>
      </c>
      <c r="H138" s="305">
        <v>7038154119</v>
      </c>
      <c r="I138" s="314" t="s">
        <v>3086</v>
      </c>
      <c r="J138" s="305" t="s">
        <v>56</v>
      </c>
      <c r="K138" s="303"/>
      <c r="L138" s="303" t="s">
        <v>117</v>
      </c>
      <c r="M138" s="303" t="s">
        <v>40</v>
      </c>
      <c r="N138" s="303" t="s">
        <v>3087</v>
      </c>
      <c r="O138" s="307">
        <v>46041</v>
      </c>
      <c r="P138" s="317">
        <v>13500</v>
      </c>
      <c r="Q138" s="305" t="s">
        <v>98</v>
      </c>
      <c r="R138" s="309" t="s">
        <v>94</v>
      </c>
      <c r="S138" s="8"/>
      <c r="T138" s="9"/>
      <c r="U138" s="9"/>
    </row>
    <row r="139" spans="1:21" ht="60.75" hidden="1" thickTop="1">
      <c r="A139" s="288">
        <f t="shared" si="2"/>
        <v>138</v>
      </c>
      <c r="B139" s="322">
        <v>46041</v>
      </c>
      <c r="C139" s="292" t="s">
        <v>3088</v>
      </c>
      <c r="D139" s="292" t="s">
        <v>3089</v>
      </c>
      <c r="E139" s="292" t="s">
        <v>22</v>
      </c>
      <c r="F139" s="292" t="s">
        <v>59</v>
      </c>
      <c r="G139" s="343" t="s">
        <v>3090</v>
      </c>
      <c r="H139" s="294"/>
      <c r="I139" s="295" t="s">
        <v>3091</v>
      </c>
      <c r="J139" s="294" t="s">
        <v>56</v>
      </c>
      <c r="K139" s="292" t="s">
        <v>3092</v>
      </c>
      <c r="L139" s="295" t="s">
        <v>27</v>
      </c>
      <c r="M139" s="292" t="s">
        <v>28</v>
      </c>
      <c r="N139" s="292" t="s">
        <v>3093</v>
      </c>
      <c r="O139" s="296">
        <v>46041</v>
      </c>
      <c r="P139" s="312">
        <v>25000</v>
      </c>
      <c r="Q139" s="294" t="s">
        <v>98</v>
      </c>
      <c r="R139" s="298"/>
      <c r="S139" s="8"/>
      <c r="T139" s="9"/>
      <c r="U139" s="9"/>
    </row>
    <row r="140" spans="1:21" ht="45.75" hidden="1" thickTop="1">
      <c r="A140" s="299">
        <f t="shared" si="2"/>
        <v>139</v>
      </c>
      <c r="B140" s="323">
        <v>46042</v>
      </c>
      <c r="C140" s="303" t="s">
        <v>3094</v>
      </c>
      <c r="D140" s="303" t="s">
        <v>3095</v>
      </c>
      <c r="E140" s="303" t="s">
        <v>22</v>
      </c>
      <c r="F140" s="303" t="s">
        <v>60</v>
      </c>
      <c r="G140" s="338" t="s">
        <v>3096</v>
      </c>
      <c r="H140" s="305">
        <v>7888025013</v>
      </c>
      <c r="I140" s="314" t="s">
        <v>3097</v>
      </c>
      <c r="J140" s="305" t="s">
        <v>1698</v>
      </c>
      <c r="K140" s="303" t="s">
        <v>3098</v>
      </c>
      <c r="L140" s="314" t="s">
        <v>74</v>
      </c>
      <c r="M140" s="303" t="s">
        <v>50</v>
      </c>
      <c r="N140" s="303" t="s">
        <v>3099</v>
      </c>
      <c r="O140" s="307">
        <v>46042</v>
      </c>
      <c r="P140" s="313">
        <v>627222</v>
      </c>
      <c r="Q140" s="305" t="s">
        <v>292</v>
      </c>
      <c r="R140" s="309"/>
      <c r="S140" s="8"/>
      <c r="T140" s="9"/>
      <c r="U140" s="9"/>
    </row>
    <row r="141" spans="1:21" ht="30.75" hidden="1" thickTop="1">
      <c r="A141" s="288">
        <f t="shared" si="2"/>
        <v>140</v>
      </c>
      <c r="B141" s="322">
        <v>46042</v>
      </c>
      <c r="C141" s="292"/>
      <c r="D141" s="292" t="s">
        <v>3100</v>
      </c>
      <c r="E141" s="292" t="s">
        <v>162</v>
      </c>
      <c r="F141" s="292" t="s">
        <v>73</v>
      </c>
      <c r="G141" s="339" t="s">
        <v>321</v>
      </c>
      <c r="H141" s="294">
        <v>9039045324</v>
      </c>
      <c r="I141" s="295"/>
      <c r="J141" s="294" t="s">
        <v>1113</v>
      </c>
      <c r="K141" s="292" t="s">
        <v>3101</v>
      </c>
      <c r="L141" s="292" t="s">
        <v>49</v>
      </c>
      <c r="M141" s="292" t="s">
        <v>50</v>
      </c>
      <c r="N141" s="292"/>
      <c r="O141" s="296"/>
      <c r="P141" s="312"/>
      <c r="Q141" s="294"/>
      <c r="R141" s="298"/>
      <c r="S141" s="8"/>
      <c r="T141" s="9"/>
      <c r="U141" s="9"/>
    </row>
    <row r="142" spans="1:21" ht="30.75" hidden="1" thickTop="1">
      <c r="A142" s="299">
        <f t="shared" si="2"/>
        <v>141</v>
      </c>
      <c r="B142" s="323">
        <v>46042</v>
      </c>
      <c r="C142" s="303" t="s">
        <v>3102</v>
      </c>
      <c r="D142" s="303" t="s">
        <v>2762</v>
      </c>
      <c r="E142" s="303" t="s">
        <v>22</v>
      </c>
      <c r="F142" s="303" t="s">
        <v>32</v>
      </c>
      <c r="G142" s="338" t="s">
        <v>3103</v>
      </c>
      <c r="H142" s="305">
        <v>6354405154</v>
      </c>
      <c r="I142" s="314" t="s">
        <v>3104</v>
      </c>
      <c r="J142" s="305" t="s">
        <v>1113</v>
      </c>
      <c r="K142" s="303" t="s">
        <v>3105</v>
      </c>
      <c r="L142" s="303" t="s">
        <v>49</v>
      </c>
      <c r="M142" s="303" t="s">
        <v>2623</v>
      </c>
      <c r="N142" s="303"/>
      <c r="O142" s="307"/>
      <c r="P142" s="317"/>
      <c r="Q142" s="305"/>
      <c r="R142" s="309"/>
      <c r="S142" s="8"/>
      <c r="T142" s="9"/>
      <c r="U142" s="9"/>
    </row>
    <row r="143" spans="1:21" ht="30.75" hidden="1" thickTop="1">
      <c r="A143" s="288">
        <f t="shared" si="2"/>
        <v>142</v>
      </c>
      <c r="B143" s="322">
        <v>46042</v>
      </c>
      <c r="C143" s="292" t="s">
        <v>3106</v>
      </c>
      <c r="D143" s="292" t="s">
        <v>3107</v>
      </c>
      <c r="E143" s="292" t="s">
        <v>22</v>
      </c>
      <c r="F143" s="292" t="s">
        <v>32</v>
      </c>
      <c r="G143" s="339" t="s">
        <v>3103</v>
      </c>
      <c r="H143" s="294"/>
      <c r="I143" s="295" t="s">
        <v>3108</v>
      </c>
      <c r="J143" s="294" t="s">
        <v>56</v>
      </c>
      <c r="K143" s="292" t="s">
        <v>3109</v>
      </c>
      <c r="L143" s="292" t="s">
        <v>49</v>
      </c>
      <c r="M143" s="292" t="s">
        <v>40</v>
      </c>
      <c r="N143" s="292" t="s">
        <v>3110</v>
      </c>
      <c r="O143" s="296">
        <v>46042</v>
      </c>
      <c r="P143" s="297">
        <v>378983</v>
      </c>
      <c r="Q143" s="294" t="s">
        <v>98</v>
      </c>
      <c r="R143" s="298"/>
      <c r="S143" s="8"/>
      <c r="T143" s="9"/>
      <c r="U143" s="9"/>
    </row>
    <row r="144" spans="1:21" ht="45.75" hidden="1" thickTop="1">
      <c r="A144" s="299">
        <f t="shared" si="2"/>
        <v>143</v>
      </c>
      <c r="B144" s="323">
        <v>46042</v>
      </c>
      <c r="C144" s="303" t="s">
        <v>3111</v>
      </c>
      <c r="D144" s="303" t="s">
        <v>3112</v>
      </c>
      <c r="E144" s="303" t="s">
        <v>214</v>
      </c>
      <c r="F144" s="303" t="s">
        <v>83</v>
      </c>
      <c r="G144" s="338" t="s">
        <v>363</v>
      </c>
      <c r="H144" s="305">
        <v>8618798982</v>
      </c>
      <c r="I144" s="314" t="s">
        <v>3113</v>
      </c>
      <c r="J144" s="305" t="s">
        <v>25</v>
      </c>
      <c r="K144" s="303" t="s">
        <v>3114</v>
      </c>
      <c r="L144" s="303" t="s">
        <v>49</v>
      </c>
      <c r="M144" s="303" t="s">
        <v>2623</v>
      </c>
      <c r="N144" s="303" t="s">
        <v>3115</v>
      </c>
      <c r="O144" s="307">
        <v>46066</v>
      </c>
      <c r="P144" s="317">
        <v>950000</v>
      </c>
      <c r="Q144" s="305" t="s">
        <v>30</v>
      </c>
      <c r="R144" s="309"/>
      <c r="S144" s="8"/>
      <c r="T144" s="9"/>
      <c r="U144" s="9"/>
    </row>
    <row r="145" spans="1:21" ht="45.75" hidden="1" thickTop="1">
      <c r="A145" s="288">
        <f t="shared" si="2"/>
        <v>144</v>
      </c>
      <c r="B145" s="322">
        <v>46042</v>
      </c>
      <c r="C145" s="292" t="s">
        <v>3116</v>
      </c>
      <c r="D145" s="292" t="s">
        <v>183</v>
      </c>
      <c r="E145" s="292" t="s">
        <v>22</v>
      </c>
      <c r="F145" s="292" t="s">
        <v>73</v>
      </c>
      <c r="G145" s="315" t="s">
        <v>273</v>
      </c>
      <c r="H145" s="294">
        <v>9867428860</v>
      </c>
      <c r="I145" s="295" t="s">
        <v>3117</v>
      </c>
      <c r="J145" s="294" t="s">
        <v>122</v>
      </c>
      <c r="K145" s="292" t="s">
        <v>3118</v>
      </c>
      <c r="L145" s="292" t="s">
        <v>58</v>
      </c>
      <c r="M145" s="292" t="s">
        <v>50</v>
      </c>
      <c r="N145" s="292"/>
      <c r="O145" s="296"/>
      <c r="P145" s="312"/>
      <c r="Q145" s="294"/>
      <c r="R145" s="298"/>
      <c r="S145" s="8"/>
      <c r="T145" s="9"/>
      <c r="U145" s="9"/>
    </row>
    <row r="146" spans="1:21" ht="15.75" hidden="1" thickTop="1">
      <c r="A146" s="299">
        <f t="shared" si="2"/>
        <v>145</v>
      </c>
      <c r="B146" s="323">
        <v>46042</v>
      </c>
      <c r="C146" s="303" t="s">
        <v>3119</v>
      </c>
      <c r="D146" s="303" t="s">
        <v>1951</v>
      </c>
      <c r="E146" s="303" t="s">
        <v>22</v>
      </c>
      <c r="F146" s="303" t="s">
        <v>73</v>
      </c>
      <c r="G146" s="316" t="s">
        <v>273</v>
      </c>
      <c r="H146" s="305">
        <v>8420011253</v>
      </c>
      <c r="I146" s="314"/>
      <c r="J146" s="305" t="s">
        <v>56</v>
      </c>
      <c r="K146" s="303" t="s">
        <v>3119</v>
      </c>
      <c r="L146" s="303" t="s">
        <v>58</v>
      </c>
      <c r="M146" s="303" t="s">
        <v>2623</v>
      </c>
      <c r="N146" s="303"/>
      <c r="O146" s="307"/>
      <c r="P146" s="317"/>
      <c r="Q146" s="305"/>
      <c r="R146" s="309"/>
      <c r="S146" s="8"/>
      <c r="T146" s="9"/>
      <c r="U146" s="9"/>
    </row>
    <row r="147" spans="1:21" ht="20.25" hidden="1" thickTop="1">
      <c r="A147" s="288">
        <f t="shared" si="2"/>
        <v>146</v>
      </c>
      <c r="B147" s="322">
        <v>46043</v>
      </c>
      <c r="C147" s="344" t="s">
        <v>42</v>
      </c>
      <c r="D147" s="292" t="s">
        <v>3120</v>
      </c>
      <c r="E147" s="292" t="s">
        <v>143</v>
      </c>
      <c r="F147" s="292" t="s">
        <v>73</v>
      </c>
      <c r="G147" s="315" t="s">
        <v>273</v>
      </c>
      <c r="H147" s="294">
        <v>7668076319</v>
      </c>
      <c r="I147" s="295"/>
      <c r="J147" s="294" t="s">
        <v>567</v>
      </c>
      <c r="K147" s="292" t="s">
        <v>3121</v>
      </c>
      <c r="L147" s="292" t="s">
        <v>58</v>
      </c>
      <c r="M147" s="292" t="s">
        <v>50</v>
      </c>
      <c r="N147" s="292"/>
      <c r="O147" s="296"/>
      <c r="P147" s="312"/>
      <c r="Q147" s="294"/>
      <c r="R147" s="298"/>
      <c r="S147" s="8"/>
      <c r="T147" s="9"/>
      <c r="U147" s="9"/>
    </row>
    <row r="148" spans="1:21" ht="45.75" hidden="1" thickTop="1">
      <c r="A148" s="299">
        <f t="shared" si="2"/>
        <v>147</v>
      </c>
      <c r="B148" s="323">
        <v>46043</v>
      </c>
      <c r="C148" s="303" t="s">
        <v>3101</v>
      </c>
      <c r="D148" s="303" t="s">
        <v>582</v>
      </c>
      <c r="E148" s="303" t="s">
        <v>22</v>
      </c>
      <c r="F148" s="303" t="s">
        <v>73</v>
      </c>
      <c r="G148" s="316" t="s">
        <v>3122</v>
      </c>
      <c r="H148" s="305">
        <v>9822640471</v>
      </c>
      <c r="I148" s="314" t="s">
        <v>3123</v>
      </c>
      <c r="J148" s="305" t="s">
        <v>122</v>
      </c>
      <c r="K148" s="303"/>
      <c r="L148" s="303" t="s">
        <v>58</v>
      </c>
      <c r="M148" s="303" t="s">
        <v>50</v>
      </c>
      <c r="N148" s="303"/>
      <c r="O148" s="307"/>
      <c r="P148" s="317"/>
      <c r="Q148" s="305"/>
      <c r="R148" s="309"/>
      <c r="S148" s="8"/>
      <c r="T148" s="9"/>
      <c r="U148" s="9"/>
    </row>
    <row r="149" spans="1:21" ht="15.75" hidden="1" thickTop="1">
      <c r="A149" s="288">
        <f t="shared" si="2"/>
        <v>148</v>
      </c>
      <c r="B149" s="322">
        <v>46043</v>
      </c>
      <c r="C149" s="292" t="s">
        <v>1641</v>
      </c>
      <c r="D149" s="292" t="s">
        <v>988</v>
      </c>
      <c r="E149" s="292" t="s">
        <v>22</v>
      </c>
      <c r="F149" s="292" t="s">
        <v>44</v>
      </c>
      <c r="G149" s="315" t="s">
        <v>3124</v>
      </c>
      <c r="H149" s="294">
        <v>7389904846</v>
      </c>
      <c r="I149" s="292" t="s">
        <v>3125</v>
      </c>
      <c r="J149" s="294" t="s">
        <v>25</v>
      </c>
      <c r="K149" s="292" t="s">
        <v>3126</v>
      </c>
      <c r="L149" s="292" t="s">
        <v>27</v>
      </c>
      <c r="M149" s="292" t="s">
        <v>28</v>
      </c>
      <c r="N149" s="292" t="s">
        <v>3127</v>
      </c>
      <c r="O149" s="296">
        <v>46043</v>
      </c>
      <c r="P149" s="325">
        <v>2155000</v>
      </c>
      <c r="Q149" s="294" t="s">
        <v>79</v>
      </c>
      <c r="R149" s="298"/>
      <c r="S149" s="8"/>
      <c r="T149" s="9"/>
      <c r="U149" s="9"/>
    </row>
    <row r="150" spans="1:21" ht="45.75" hidden="1" thickTop="1">
      <c r="A150" s="299">
        <f t="shared" si="2"/>
        <v>149</v>
      </c>
      <c r="B150" s="323">
        <v>46043</v>
      </c>
      <c r="C150" s="303" t="s">
        <v>3128</v>
      </c>
      <c r="D150" s="303" t="s">
        <v>3129</v>
      </c>
      <c r="E150" s="303" t="s">
        <v>3130</v>
      </c>
      <c r="F150" s="303" t="s">
        <v>23</v>
      </c>
      <c r="G150" s="338" t="s">
        <v>3131</v>
      </c>
      <c r="H150" s="305">
        <v>9449022574</v>
      </c>
      <c r="I150" s="314" t="s">
        <v>3132</v>
      </c>
      <c r="J150" s="305" t="s">
        <v>1113</v>
      </c>
      <c r="K150" s="303" t="s">
        <v>3133</v>
      </c>
      <c r="L150" s="303" t="s">
        <v>49</v>
      </c>
      <c r="M150" s="303" t="s">
        <v>50</v>
      </c>
      <c r="N150" s="303"/>
      <c r="O150" s="307"/>
      <c r="P150" s="317"/>
      <c r="Q150" s="305"/>
      <c r="R150" s="309"/>
      <c r="S150" s="8"/>
      <c r="T150" s="9"/>
      <c r="U150" s="9"/>
    </row>
    <row r="151" spans="1:21" ht="15.75" hidden="1" thickTop="1">
      <c r="A151" s="288">
        <f t="shared" si="2"/>
        <v>150</v>
      </c>
      <c r="B151" s="322">
        <v>46043</v>
      </c>
      <c r="C151" s="292"/>
      <c r="D151" s="292" t="s">
        <v>2762</v>
      </c>
      <c r="E151" s="292" t="s">
        <v>22</v>
      </c>
      <c r="F151" s="292" t="s">
        <v>32</v>
      </c>
      <c r="G151" s="339" t="s">
        <v>3134</v>
      </c>
      <c r="H151" s="294">
        <v>9684003608</v>
      </c>
      <c r="I151" s="295"/>
      <c r="J151" s="294" t="s">
        <v>122</v>
      </c>
      <c r="K151" s="292" t="s">
        <v>3135</v>
      </c>
      <c r="L151" s="292" t="s">
        <v>49</v>
      </c>
      <c r="M151" s="292" t="s">
        <v>50</v>
      </c>
      <c r="N151" s="292"/>
      <c r="O151" s="296"/>
      <c r="P151" s="312"/>
      <c r="Q151" s="294"/>
      <c r="R151" s="298"/>
      <c r="S151" s="8"/>
      <c r="T151" s="9"/>
      <c r="U151" s="9"/>
    </row>
    <row r="152" spans="1:21" ht="30.75" hidden="1" thickTop="1">
      <c r="A152" s="299">
        <f t="shared" si="2"/>
        <v>151</v>
      </c>
      <c r="B152" s="323">
        <v>46043</v>
      </c>
      <c r="C152" s="314" t="s">
        <v>3136</v>
      </c>
      <c r="D152" s="303" t="s">
        <v>3137</v>
      </c>
      <c r="E152" s="303" t="s">
        <v>22</v>
      </c>
      <c r="F152" s="303" t="s">
        <v>60</v>
      </c>
      <c r="G152" s="338" t="s">
        <v>180</v>
      </c>
      <c r="H152" s="305">
        <v>9359646764</v>
      </c>
      <c r="I152" s="314" t="s">
        <v>3138</v>
      </c>
      <c r="J152" s="305" t="s">
        <v>1698</v>
      </c>
      <c r="K152" s="303" t="s">
        <v>3139</v>
      </c>
      <c r="L152" s="303" t="s">
        <v>49</v>
      </c>
      <c r="M152" s="303" t="s">
        <v>40</v>
      </c>
      <c r="N152" s="303"/>
      <c r="O152" s="307"/>
      <c r="P152" s="308"/>
      <c r="Q152" s="305"/>
      <c r="R152" s="309"/>
      <c r="S152" s="8"/>
      <c r="T152" s="9"/>
      <c r="U152" s="9"/>
    </row>
    <row r="153" spans="1:21" ht="30.75" hidden="1" thickTop="1">
      <c r="A153" s="288">
        <f t="shared" si="2"/>
        <v>152</v>
      </c>
      <c r="B153" s="322">
        <v>46043</v>
      </c>
      <c r="C153" s="292" t="s">
        <v>3140</v>
      </c>
      <c r="D153" s="292" t="s">
        <v>3141</v>
      </c>
      <c r="E153" s="292" t="s">
        <v>126</v>
      </c>
      <c r="F153" s="292" t="s">
        <v>44</v>
      </c>
      <c r="G153" s="339" t="s">
        <v>3142</v>
      </c>
      <c r="H153" s="294">
        <v>9991090744</v>
      </c>
      <c r="I153" s="295" t="s">
        <v>3143</v>
      </c>
      <c r="J153" s="294" t="s">
        <v>567</v>
      </c>
      <c r="K153" s="292" t="s">
        <v>3144</v>
      </c>
      <c r="L153" s="292" t="s">
        <v>49</v>
      </c>
      <c r="M153" s="292" t="s">
        <v>2623</v>
      </c>
      <c r="N153" s="292"/>
      <c r="O153" s="296"/>
      <c r="P153" s="312"/>
      <c r="Q153" s="294"/>
      <c r="R153" s="298"/>
      <c r="S153" s="8"/>
      <c r="T153" s="9"/>
      <c r="U153" s="9"/>
    </row>
    <row r="154" spans="1:21" ht="30.75" hidden="1" thickTop="1">
      <c r="A154" s="299">
        <f t="shared" si="2"/>
        <v>153</v>
      </c>
      <c r="B154" s="323">
        <v>46043</v>
      </c>
      <c r="C154" s="303" t="s">
        <v>517</v>
      </c>
      <c r="D154" s="303" t="s">
        <v>3145</v>
      </c>
      <c r="E154" s="303" t="s">
        <v>22</v>
      </c>
      <c r="F154" s="303" t="s">
        <v>60</v>
      </c>
      <c r="G154" s="338" t="s">
        <v>2643</v>
      </c>
      <c r="H154" s="305">
        <v>9511818504</v>
      </c>
      <c r="I154" s="303" t="s">
        <v>3146</v>
      </c>
      <c r="J154" s="305" t="s">
        <v>1698</v>
      </c>
      <c r="K154" s="303" t="s">
        <v>290</v>
      </c>
      <c r="L154" s="303" t="s">
        <v>27</v>
      </c>
      <c r="M154" s="303" t="s">
        <v>40</v>
      </c>
      <c r="N154" s="303" t="s">
        <v>3147</v>
      </c>
      <c r="O154" s="307">
        <v>46043</v>
      </c>
      <c r="P154" s="313">
        <v>254730</v>
      </c>
      <c r="Q154" s="305" t="s">
        <v>292</v>
      </c>
      <c r="R154" s="309"/>
      <c r="S154" s="8"/>
      <c r="T154" s="9"/>
      <c r="U154" s="9"/>
    </row>
    <row r="155" spans="1:21" ht="30.75" hidden="1" thickTop="1">
      <c r="A155" s="288">
        <f t="shared" si="2"/>
        <v>154</v>
      </c>
      <c r="B155" s="322">
        <v>46043</v>
      </c>
      <c r="C155" s="292"/>
      <c r="D155" s="292" t="s">
        <v>810</v>
      </c>
      <c r="E155" s="292" t="s">
        <v>22</v>
      </c>
      <c r="F155" s="292" t="s">
        <v>60</v>
      </c>
      <c r="G155" s="339" t="s">
        <v>2643</v>
      </c>
      <c r="H155" s="294">
        <v>6294978169</v>
      </c>
      <c r="I155" s="295"/>
      <c r="J155" s="294" t="s">
        <v>122</v>
      </c>
      <c r="K155" s="315" t="s">
        <v>3148</v>
      </c>
      <c r="L155" s="292" t="s">
        <v>58</v>
      </c>
      <c r="M155" s="292" t="s">
        <v>40</v>
      </c>
      <c r="N155" s="292"/>
      <c r="O155" s="296"/>
      <c r="P155" s="312"/>
      <c r="Q155" s="294"/>
      <c r="R155" s="298"/>
      <c r="S155" s="8"/>
      <c r="T155" s="9"/>
      <c r="U155" s="9"/>
    </row>
    <row r="156" spans="1:21" ht="30.75" hidden="1" thickTop="1">
      <c r="A156" s="299">
        <f t="shared" si="2"/>
        <v>155</v>
      </c>
      <c r="B156" s="323">
        <v>46043</v>
      </c>
      <c r="C156" s="303"/>
      <c r="D156" s="303"/>
      <c r="E156" s="303"/>
      <c r="F156" s="303" t="s">
        <v>23</v>
      </c>
      <c r="G156" s="338" t="s">
        <v>3149</v>
      </c>
      <c r="H156" s="305">
        <v>9449859126</v>
      </c>
      <c r="I156" s="314"/>
      <c r="J156" s="305" t="s">
        <v>122</v>
      </c>
      <c r="K156" s="303"/>
      <c r="L156" s="303" t="s">
        <v>58</v>
      </c>
      <c r="M156" s="303" t="s">
        <v>50</v>
      </c>
      <c r="N156" s="303"/>
      <c r="O156" s="307"/>
      <c r="P156" s="317"/>
      <c r="Q156" s="305"/>
      <c r="R156" s="309"/>
      <c r="S156" s="8"/>
      <c r="T156" s="9"/>
      <c r="U156" s="9"/>
    </row>
    <row r="157" spans="1:21" ht="45.75" hidden="1" thickTop="1">
      <c r="A157" s="288">
        <f t="shared" si="2"/>
        <v>156</v>
      </c>
      <c r="B157" s="322">
        <v>46044</v>
      </c>
      <c r="C157" s="292" t="s">
        <v>3150</v>
      </c>
      <c r="D157" s="292" t="s">
        <v>3151</v>
      </c>
      <c r="E157" s="292" t="s">
        <v>22</v>
      </c>
      <c r="F157" s="292" t="s">
        <v>60</v>
      </c>
      <c r="G157" s="339" t="s">
        <v>3152</v>
      </c>
      <c r="H157" s="294">
        <v>9422029652</v>
      </c>
      <c r="I157" s="295" t="s">
        <v>3153</v>
      </c>
      <c r="J157" s="294" t="s">
        <v>1698</v>
      </c>
      <c r="K157" s="292" t="s">
        <v>3154</v>
      </c>
      <c r="L157" s="292" t="s">
        <v>49</v>
      </c>
      <c r="M157" s="292" t="s">
        <v>40</v>
      </c>
      <c r="N157" s="292"/>
      <c r="O157" s="296"/>
      <c r="P157" s="297"/>
      <c r="Q157" s="294"/>
      <c r="R157" s="298"/>
      <c r="S157" s="8"/>
      <c r="T157" s="9"/>
      <c r="U157" s="9"/>
    </row>
    <row r="158" spans="1:21" ht="15.75" hidden="1" thickTop="1">
      <c r="A158" s="299">
        <f t="shared" si="2"/>
        <v>157</v>
      </c>
      <c r="B158" s="323">
        <v>46044</v>
      </c>
      <c r="C158" s="303"/>
      <c r="D158" s="303" t="s">
        <v>3155</v>
      </c>
      <c r="E158" s="303" t="s">
        <v>143</v>
      </c>
      <c r="F158" s="303" t="s">
        <v>60</v>
      </c>
      <c r="G158" s="316" t="s">
        <v>60</v>
      </c>
      <c r="H158" s="305">
        <v>6391010372</v>
      </c>
      <c r="I158" s="314"/>
      <c r="J158" s="305" t="s">
        <v>56</v>
      </c>
      <c r="K158" s="303" t="s">
        <v>3156</v>
      </c>
      <c r="L158" s="303" t="s">
        <v>49</v>
      </c>
      <c r="M158" s="303" t="s">
        <v>40</v>
      </c>
      <c r="N158" s="303"/>
      <c r="O158" s="307"/>
      <c r="P158" s="317"/>
      <c r="Q158" s="305"/>
      <c r="R158" s="309"/>
      <c r="S158" s="8"/>
      <c r="T158" s="9"/>
      <c r="U158" s="9"/>
    </row>
    <row r="159" spans="1:21" ht="30.75" hidden="1" thickTop="1">
      <c r="A159" s="288">
        <f t="shared" si="2"/>
        <v>158</v>
      </c>
      <c r="B159" s="322">
        <v>46044</v>
      </c>
      <c r="C159" s="292" t="s">
        <v>3157</v>
      </c>
      <c r="D159" s="292" t="s">
        <v>3158</v>
      </c>
      <c r="E159" s="292" t="s">
        <v>22</v>
      </c>
      <c r="F159" s="292" t="s">
        <v>60</v>
      </c>
      <c r="G159" s="315" t="s">
        <v>3157</v>
      </c>
      <c r="H159" s="294">
        <v>9975719171</v>
      </c>
      <c r="I159" s="295" t="s">
        <v>3159</v>
      </c>
      <c r="J159" s="294" t="s">
        <v>1698</v>
      </c>
      <c r="K159" s="345" t="s">
        <v>3160</v>
      </c>
      <c r="L159" s="292" t="s">
        <v>49</v>
      </c>
      <c r="M159" s="292" t="s">
        <v>40</v>
      </c>
      <c r="N159" s="292"/>
      <c r="O159" s="296"/>
      <c r="P159" s="297"/>
      <c r="Q159" s="294"/>
      <c r="R159" s="298"/>
      <c r="S159" s="8"/>
      <c r="T159" s="9"/>
      <c r="U159" s="9"/>
    </row>
    <row r="160" spans="1:21" ht="15.75" hidden="1" thickTop="1">
      <c r="A160" s="299">
        <f t="shared" si="2"/>
        <v>159</v>
      </c>
      <c r="B160" s="323">
        <v>46044</v>
      </c>
      <c r="C160" s="303" t="s">
        <v>3161</v>
      </c>
      <c r="D160" s="303" t="s">
        <v>2762</v>
      </c>
      <c r="E160" s="303" t="s">
        <v>22</v>
      </c>
      <c r="F160" s="303" t="s">
        <v>60</v>
      </c>
      <c r="G160" s="316" t="s">
        <v>170</v>
      </c>
      <c r="H160" s="305">
        <v>9730668938</v>
      </c>
      <c r="I160" s="314"/>
      <c r="J160" s="305" t="s">
        <v>56</v>
      </c>
      <c r="K160" s="303" t="s">
        <v>3162</v>
      </c>
      <c r="L160" s="303" t="s">
        <v>49</v>
      </c>
      <c r="M160" s="303" t="s">
        <v>40</v>
      </c>
      <c r="N160" s="303"/>
      <c r="O160" s="307"/>
      <c r="P160" s="317"/>
      <c r="Q160" s="305"/>
      <c r="R160" s="309"/>
      <c r="S160" s="8"/>
      <c r="T160" s="9"/>
      <c r="U160" s="9"/>
    </row>
    <row r="161" spans="1:21" ht="45.75" hidden="1" thickTop="1">
      <c r="A161" s="288">
        <f t="shared" si="2"/>
        <v>160</v>
      </c>
      <c r="B161" s="322">
        <v>46044</v>
      </c>
      <c r="C161" s="292" t="s">
        <v>3163</v>
      </c>
      <c r="D161" s="292" t="s">
        <v>3164</v>
      </c>
      <c r="E161" s="292" t="s">
        <v>22</v>
      </c>
      <c r="F161" s="292" t="s">
        <v>73</v>
      </c>
      <c r="G161" s="315" t="s">
        <v>3165</v>
      </c>
      <c r="H161" s="294">
        <v>7021005110</v>
      </c>
      <c r="I161" s="295" t="s">
        <v>3166</v>
      </c>
      <c r="J161" s="294" t="s">
        <v>567</v>
      </c>
      <c r="K161" s="292" t="s">
        <v>3163</v>
      </c>
      <c r="L161" s="292" t="s">
        <v>49</v>
      </c>
      <c r="M161" s="292" t="s">
        <v>50</v>
      </c>
      <c r="N161" s="292"/>
      <c r="O161" s="296"/>
      <c r="P161" s="312"/>
      <c r="Q161" s="294"/>
      <c r="R161" s="298"/>
      <c r="S161" s="8"/>
      <c r="T161" s="9"/>
      <c r="U161" s="9"/>
    </row>
    <row r="162" spans="1:21" ht="15.75" hidden="1" thickTop="1">
      <c r="A162" s="299">
        <f t="shared" si="2"/>
        <v>161</v>
      </c>
      <c r="B162" s="323">
        <v>46044</v>
      </c>
      <c r="C162" s="303"/>
      <c r="D162" s="303" t="s">
        <v>3129</v>
      </c>
      <c r="E162" s="303" t="s">
        <v>214</v>
      </c>
      <c r="F162" s="303" t="s">
        <v>83</v>
      </c>
      <c r="G162" s="316" t="s">
        <v>852</v>
      </c>
      <c r="H162" s="305"/>
      <c r="I162" s="314"/>
      <c r="J162" s="305" t="s">
        <v>2951</v>
      </c>
      <c r="K162" s="303" t="s">
        <v>3167</v>
      </c>
      <c r="L162" s="303" t="s">
        <v>49</v>
      </c>
      <c r="M162" s="303" t="s">
        <v>2623</v>
      </c>
      <c r="N162" s="303"/>
      <c r="O162" s="307"/>
      <c r="P162" s="317"/>
      <c r="Q162" s="305"/>
      <c r="R162" s="309"/>
      <c r="S162" s="8"/>
      <c r="T162" s="9"/>
      <c r="U162" s="9"/>
    </row>
    <row r="163" spans="1:21" ht="30.75" hidden="1" thickTop="1">
      <c r="A163" s="288">
        <f t="shared" si="2"/>
        <v>162</v>
      </c>
      <c r="B163" s="322">
        <v>46044</v>
      </c>
      <c r="C163" s="292" t="s">
        <v>3168</v>
      </c>
      <c r="D163" s="292" t="s">
        <v>293</v>
      </c>
      <c r="E163" s="292" t="s">
        <v>22</v>
      </c>
      <c r="F163" s="292" t="s">
        <v>73</v>
      </c>
      <c r="G163" s="315" t="s">
        <v>3165</v>
      </c>
      <c r="H163" s="294">
        <v>8879112973</v>
      </c>
      <c r="I163" s="295" t="s">
        <v>3169</v>
      </c>
      <c r="J163" s="294" t="s">
        <v>122</v>
      </c>
      <c r="K163" s="292" t="s">
        <v>3154</v>
      </c>
      <c r="L163" s="292" t="s">
        <v>58</v>
      </c>
      <c r="M163" s="292" t="s">
        <v>2623</v>
      </c>
      <c r="N163" s="292"/>
      <c r="O163" s="296"/>
      <c r="P163" s="312"/>
      <c r="Q163" s="294"/>
      <c r="R163" s="298"/>
      <c r="S163" s="8"/>
      <c r="T163" s="9"/>
      <c r="U163" s="9"/>
    </row>
    <row r="164" spans="1:21" ht="45.75" hidden="1" thickTop="1">
      <c r="A164" s="299">
        <f t="shared" si="2"/>
        <v>163</v>
      </c>
      <c r="B164" s="323">
        <v>46044</v>
      </c>
      <c r="C164" s="303" t="s">
        <v>3170</v>
      </c>
      <c r="D164" s="303" t="s">
        <v>3171</v>
      </c>
      <c r="E164" s="303" t="s">
        <v>1421</v>
      </c>
      <c r="F164" s="303" t="s">
        <v>73</v>
      </c>
      <c r="G164" s="316" t="s">
        <v>449</v>
      </c>
      <c r="H164" s="305">
        <v>8917669847</v>
      </c>
      <c r="I164" s="314" t="s">
        <v>3172</v>
      </c>
      <c r="J164" s="305" t="s">
        <v>122</v>
      </c>
      <c r="K164" s="303" t="s">
        <v>3173</v>
      </c>
      <c r="L164" s="303" t="s">
        <v>58</v>
      </c>
      <c r="M164" s="303" t="s">
        <v>50</v>
      </c>
      <c r="N164" s="303"/>
      <c r="O164" s="307"/>
      <c r="P164" s="317"/>
      <c r="Q164" s="305"/>
      <c r="R164" s="309"/>
      <c r="S164" s="8"/>
      <c r="T164" s="9"/>
      <c r="U164" s="9"/>
    </row>
    <row r="165" spans="1:21" ht="15.75" hidden="1" thickTop="1">
      <c r="A165" s="288">
        <f t="shared" si="2"/>
        <v>164</v>
      </c>
      <c r="B165" s="322">
        <v>46044</v>
      </c>
      <c r="C165" s="292"/>
      <c r="D165" s="292" t="s">
        <v>655</v>
      </c>
      <c r="E165" s="292" t="s">
        <v>3130</v>
      </c>
      <c r="F165" s="292" t="s">
        <v>73</v>
      </c>
      <c r="G165" s="315" t="s">
        <v>449</v>
      </c>
      <c r="H165" s="294">
        <v>9321587292</v>
      </c>
      <c r="I165" s="295"/>
      <c r="J165" s="294" t="s">
        <v>63</v>
      </c>
      <c r="K165" s="292" t="s">
        <v>3174</v>
      </c>
      <c r="L165" s="292" t="s">
        <v>58</v>
      </c>
      <c r="M165" s="292"/>
      <c r="N165" s="292"/>
      <c r="O165" s="296"/>
      <c r="P165" s="312"/>
      <c r="Q165" s="294"/>
      <c r="R165" s="298"/>
      <c r="S165" s="8"/>
      <c r="T165" s="9"/>
      <c r="U165" s="9"/>
    </row>
    <row r="166" spans="1:21" ht="30.75" hidden="1" thickTop="1">
      <c r="A166" s="299">
        <f t="shared" si="2"/>
        <v>165</v>
      </c>
      <c r="B166" s="323">
        <v>46045</v>
      </c>
      <c r="C166" s="303" t="s">
        <v>3175</v>
      </c>
      <c r="D166" s="303" t="s">
        <v>3176</v>
      </c>
      <c r="E166" s="303" t="s">
        <v>82</v>
      </c>
      <c r="F166" s="303" t="s">
        <v>44</v>
      </c>
      <c r="G166" s="316" t="s">
        <v>45</v>
      </c>
      <c r="H166" s="305">
        <v>8296594080</v>
      </c>
      <c r="I166" s="314" t="s">
        <v>3177</v>
      </c>
      <c r="J166" s="305" t="s">
        <v>1113</v>
      </c>
      <c r="K166" s="316" t="s">
        <v>3178</v>
      </c>
      <c r="L166" s="303" t="s">
        <v>49</v>
      </c>
      <c r="M166" s="303" t="s">
        <v>50</v>
      </c>
      <c r="N166" s="303"/>
      <c r="O166" s="307"/>
      <c r="P166" s="317"/>
      <c r="Q166" s="305"/>
      <c r="R166" s="309"/>
      <c r="S166" s="8"/>
      <c r="T166" s="9"/>
      <c r="U166" s="9"/>
    </row>
    <row r="167" spans="1:21" ht="30.75" hidden="1" thickTop="1">
      <c r="A167" s="288">
        <f t="shared" si="2"/>
        <v>166</v>
      </c>
      <c r="B167" s="322">
        <v>46045</v>
      </c>
      <c r="C167" s="292"/>
      <c r="D167" s="292" t="s">
        <v>3179</v>
      </c>
      <c r="E167" s="292" t="s">
        <v>22</v>
      </c>
      <c r="F167" s="292" t="s">
        <v>60</v>
      </c>
      <c r="G167" s="315" t="s">
        <v>3180</v>
      </c>
      <c r="H167" s="294">
        <v>7420857829</v>
      </c>
      <c r="I167" s="295" t="s">
        <v>3181</v>
      </c>
      <c r="J167" s="294" t="s">
        <v>122</v>
      </c>
      <c r="K167" s="292" t="s">
        <v>3182</v>
      </c>
      <c r="L167" s="292" t="s">
        <v>49</v>
      </c>
      <c r="M167" s="292" t="s">
        <v>40</v>
      </c>
      <c r="N167" s="292"/>
      <c r="O167" s="296"/>
      <c r="P167" s="312"/>
      <c r="Q167" s="294"/>
      <c r="R167" s="298"/>
      <c r="S167" s="8"/>
      <c r="T167" s="9"/>
      <c r="U167" s="9"/>
    </row>
    <row r="168" spans="1:21" ht="30.75" hidden="1" thickTop="1">
      <c r="A168" s="299">
        <f t="shared" si="2"/>
        <v>167</v>
      </c>
      <c r="B168" s="323">
        <v>46046</v>
      </c>
      <c r="C168" s="303" t="s">
        <v>3183</v>
      </c>
      <c r="D168" s="303" t="s">
        <v>3184</v>
      </c>
      <c r="E168" s="303" t="s">
        <v>272</v>
      </c>
      <c r="F168" s="303" t="s">
        <v>83</v>
      </c>
      <c r="G168" s="316" t="s">
        <v>3185</v>
      </c>
      <c r="H168" s="305">
        <v>9416062416</v>
      </c>
      <c r="I168" s="314" t="s">
        <v>3186</v>
      </c>
      <c r="J168" s="305" t="s">
        <v>1113</v>
      </c>
      <c r="K168" s="316" t="s">
        <v>3187</v>
      </c>
      <c r="L168" s="303" t="s">
        <v>49</v>
      </c>
      <c r="M168" s="303" t="s">
        <v>2623</v>
      </c>
      <c r="N168" s="303"/>
      <c r="O168" s="307"/>
      <c r="P168" s="317"/>
      <c r="Q168" s="305"/>
      <c r="R168" s="309"/>
      <c r="S168" s="8"/>
      <c r="T168" s="9"/>
      <c r="U168" s="9"/>
    </row>
    <row r="169" spans="1:21" ht="15.75" hidden="1" thickTop="1">
      <c r="A169" s="288">
        <f t="shared" si="2"/>
        <v>168</v>
      </c>
      <c r="B169" s="322">
        <v>46046</v>
      </c>
      <c r="C169" s="292" t="s">
        <v>3188</v>
      </c>
      <c r="D169" s="292" t="s">
        <v>3189</v>
      </c>
      <c r="E169" s="292" t="s">
        <v>1421</v>
      </c>
      <c r="F169" s="292" t="s">
        <v>23</v>
      </c>
      <c r="G169" s="315" t="s">
        <v>777</v>
      </c>
      <c r="H169" s="294">
        <v>8895425110</v>
      </c>
      <c r="I169" s="295"/>
      <c r="J169" s="294" t="s">
        <v>122</v>
      </c>
      <c r="K169" s="292" t="s">
        <v>3190</v>
      </c>
      <c r="L169" s="292" t="s">
        <v>49</v>
      </c>
      <c r="M169" s="292" t="s">
        <v>50</v>
      </c>
      <c r="N169" s="292"/>
      <c r="O169" s="296"/>
      <c r="P169" s="312"/>
      <c r="Q169" s="294"/>
      <c r="R169" s="298"/>
      <c r="S169" s="8"/>
      <c r="T169" s="9"/>
      <c r="U169" s="9"/>
    </row>
    <row r="170" spans="1:21" ht="15.75" hidden="1" thickTop="1">
      <c r="A170" s="299">
        <f t="shared" si="2"/>
        <v>169</v>
      </c>
      <c r="B170" s="323">
        <v>46046</v>
      </c>
      <c r="C170" s="303" t="s">
        <v>3191</v>
      </c>
      <c r="D170" s="303" t="s">
        <v>3192</v>
      </c>
      <c r="E170" s="303"/>
      <c r="F170" s="303" t="s">
        <v>73</v>
      </c>
      <c r="G170" s="316" t="s">
        <v>3193</v>
      </c>
      <c r="H170" s="305">
        <v>9993411766</v>
      </c>
      <c r="I170" s="314"/>
      <c r="J170" s="305" t="s">
        <v>122</v>
      </c>
      <c r="K170" s="316" t="s">
        <v>3191</v>
      </c>
      <c r="L170" s="303" t="s">
        <v>49</v>
      </c>
      <c r="M170" s="303" t="s">
        <v>50</v>
      </c>
      <c r="N170" s="303"/>
      <c r="O170" s="307"/>
      <c r="P170" s="317"/>
      <c r="Q170" s="305"/>
      <c r="R170" s="309"/>
      <c r="S170" s="8"/>
      <c r="T170" s="9"/>
      <c r="U170" s="9"/>
    </row>
    <row r="171" spans="1:21" ht="15.75" hidden="1" thickTop="1">
      <c r="A171" s="288">
        <f t="shared" si="2"/>
        <v>170</v>
      </c>
      <c r="B171" s="322">
        <v>46046</v>
      </c>
      <c r="C171" s="292" t="s">
        <v>3194</v>
      </c>
      <c r="D171" s="292" t="s">
        <v>3129</v>
      </c>
      <c r="E171" s="292" t="s">
        <v>3130</v>
      </c>
      <c r="F171" s="292" t="s">
        <v>60</v>
      </c>
      <c r="G171" s="315" t="s">
        <v>3195</v>
      </c>
      <c r="H171" s="294">
        <v>9900350723</v>
      </c>
      <c r="I171" s="295"/>
      <c r="J171" s="294" t="s">
        <v>63</v>
      </c>
      <c r="K171" s="292" t="s">
        <v>3196</v>
      </c>
      <c r="L171" s="292" t="s">
        <v>49</v>
      </c>
      <c r="M171" s="292" t="s">
        <v>40</v>
      </c>
      <c r="N171" s="292"/>
      <c r="O171" s="296"/>
      <c r="P171" s="312"/>
      <c r="Q171" s="294"/>
      <c r="R171" s="298"/>
      <c r="S171" s="8"/>
      <c r="T171" s="9"/>
      <c r="U171" s="9"/>
    </row>
    <row r="172" spans="1:21" ht="30.75" hidden="1" thickTop="1">
      <c r="A172" s="299">
        <f t="shared" si="2"/>
        <v>171</v>
      </c>
      <c r="B172" s="323">
        <v>46047</v>
      </c>
      <c r="C172" s="303"/>
      <c r="D172" s="303" t="s">
        <v>2762</v>
      </c>
      <c r="E172" s="303" t="s">
        <v>22</v>
      </c>
      <c r="F172" s="303" t="s">
        <v>44</v>
      </c>
      <c r="G172" s="316" t="s">
        <v>45</v>
      </c>
      <c r="H172" s="305">
        <v>9370137887</v>
      </c>
      <c r="I172" s="314" t="s">
        <v>3197</v>
      </c>
      <c r="J172" s="305" t="s">
        <v>122</v>
      </c>
      <c r="K172" s="316" t="s">
        <v>3198</v>
      </c>
      <c r="L172" s="303" t="s">
        <v>49</v>
      </c>
      <c r="M172" s="303" t="s">
        <v>50</v>
      </c>
      <c r="N172" s="303"/>
      <c r="O172" s="307"/>
      <c r="P172" s="317"/>
      <c r="Q172" s="305"/>
      <c r="R172" s="309"/>
      <c r="S172" s="8"/>
      <c r="T172" s="9"/>
      <c r="U172" s="9"/>
    </row>
    <row r="173" spans="1:21" ht="15.75" hidden="1" thickTop="1">
      <c r="A173" s="288">
        <f t="shared" si="2"/>
        <v>172</v>
      </c>
      <c r="B173" s="322">
        <v>46046</v>
      </c>
      <c r="C173" s="292"/>
      <c r="D173" s="292" t="s">
        <v>3199</v>
      </c>
      <c r="E173" s="292" t="s">
        <v>214</v>
      </c>
      <c r="F173" s="292" t="s">
        <v>60</v>
      </c>
      <c r="G173" s="315" t="s">
        <v>305</v>
      </c>
      <c r="H173" s="294">
        <v>9599027223</v>
      </c>
      <c r="I173" s="295"/>
      <c r="J173" s="294" t="s">
        <v>1113</v>
      </c>
      <c r="K173" s="292" t="s">
        <v>3200</v>
      </c>
      <c r="L173" s="292" t="s">
        <v>49</v>
      </c>
      <c r="M173" s="292" t="s">
        <v>40</v>
      </c>
      <c r="N173" s="292"/>
      <c r="O173" s="296"/>
      <c r="P173" s="312"/>
      <c r="Q173" s="294"/>
      <c r="R173" s="298"/>
      <c r="S173" s="16"/>
      <c r="T173" s="9"/>
      <c r="U173" s="9"/>
    </row>
    <row r="174" spans="1:21" ht="30.75" hidden="1" thickTop="1">
      <c r="A174" s="299">
        <f t="shared" si="2"/>
        <v>173</v>
      </c>
      <c r="B174" s="323">
        <v>46046</v>
      </c>
      <c r="C174" s="303" t="s">
        <v>3201</v>
      </c>
      <c r="D174" s="303" t="s">
        <v>3202</v>
      </c>
      <c r="E174" s="303" t="s">
        <v>22</v>
      </c>
      <c r="F174" s="303" t="s">
        <v>73</v>
      </c>
      <c r="G174" s="316" t="s">
        <v>3203</v>
      </c>
      <c r="H174" s="305">
        <v>8421001141</v>
      </c>
      <c r="I174" s="314" t="s">
        <v>3204</v>
      </c>
      <c r="J174" s="305" t="s">
        <v>1698</v>
      </c>
      <c r="K174" s="316" t="s">
        <v>3205</v>
      </c>
      <c r="L174" s="303" t="s">
        <v>74</v>
      </c>
      <c r="M174" s="303" t="s">
        <v>28</v>
      </c>
      <c r="N174" s="303" t="s">
        <v>3206</v>
      </c>
      <c r="O174" s="307">
        <v>46046</v>
      </c>
      <c r="P174" s="313">
        <v>626660</v>
      </c>
      <c r="Q174" s="305" t="s">
        <v>292</v>
      </c>
      <c r="R174" s="309" t="s">
        <v>3207</v>
      </c>
      <c r="S174" s="17"/>
      <c r="T174" s="9"/>
      <c r="U174" s="9"/>
    </row>
    <row r="175" spans="1:21" ht="30.75" hidden="1" thickTop="1">
      <c r="A175" s="288">
        <f t="shared" si="2"/>
        <v>174</v>
      </c>
      <c r="B175" s="322">
        <v>46046</v>
      </c>
      <c r="C175" s="292" t="s">
        <v>3208</v>
      </c>
      <c r="D175" s="292" t="s">
        <v>3209</v>
      </c>
      <c r="E175" s="292" t="s">
        <v>22</v>
      </c>
      <c r="F175" s="292" t="s">
        <v>23</v>
      </c>
      <c r="G175" s="315" t="s">
        <v>2824</v>
      </c>
      <c r="H175" s="294"/>
      <c r="I175" s="295" t="s">
        <v>1741</v>
      </c>
      <c r="J175" s="294" t="s">
        <v>1698</v>
      </c>
      <c r="K175" s="292" t="s">
        <v>3210</v>
      </c>
      <c r="L175" s="292" t="s">
        <v>27</v>
      </c>
      <c r="M175" s="292" t="s">
        <v>50</v>
      </c>
      <c r="N175" s="292" t="s">
        <v>3211</v>
      </c>
      <c r="O175" s="296">
        <v>46046</v>
      </c>
      <c r="P175" s="319">
        <v>2120000</v>
      </c>
      <c r="Q175" s="294" t="s">
        <v>79</v>
      </c>
      <c r="R175" s="298"/>
      <c r="S175" s="17"/>
      <c r="T175" s="9"/>
      <c r="U175" s="9"/>
    </row>
    <row r="176" spans="1:21" ht="45.75" hidden="1" thickTop="1">
      <c r="A176" s="299">
        <f t="shared" si="2"/>
        <v>175</v>
      </c>
      <c r="B176" s="323">
        <v>46046</v>
      </c>
      <c r="C176" s="303" t="s">
        <v>1641</v>
      </c>
      <c r="D176" s="303" t="s">
        <v>81</v>
      </c>
      <c r="E176" s="303" t="s">
        <v>22</v>
      </c>
      <c r="F176" s="303" t="s">
        <v>23</v>
      </c>
      <c r="G176" s="316" t="s">
        <v>3212</v>
      </c>
      <c r="H176" s="305"/>
      <c r="I176" s="314" t="s">
        <v>3213</v>
      </c>
      <c r="J176" s="305" t="s">
        <v>1698</v>
      </c>
      <c r="K176" s="316" t="s">
        <v>3214</v>
      </c>
      <c r="L176" s="303" t="s">
        <v>74</v>
      </c>
      <c r="M176" s="303" t="s">
        <v>28</v>
      </c>
      <c r="N176" s="303" t="s">
        <v>3215</v>
      </c>
      <c r="O176" s="307">
        <v>46046</v>
      </c>
      <c r="P176" s="313">
        <v>3540000</v>
      </c>
      <c r="Q176" s="305" t="s">
        <v>79</v>
      </c>
      <c r="R176" s="309"/>
      <c r="S176" s="17"/>
      <c r="T176" s="9"/>
      <c r="U176" s="9"/>
    </row>
    <row r="177" spans="1:21" ht="45.75" hidden="1" thickTop="1">
      <c r="A177" s="288">
        <f t="shared" si="2"/>
        <v>176</v>
      </c>
      <c r="B177" s="322">
        <v>46046</v>
      </c>
      <c r="C177" s="292" t="s">
        <v>1641</v>
      </c>
      <c r="D177" s="292" t="s">
        <v>81</v>
      </c>
      <c r="E177" s="292" t="s">
        <v>22</v>
      </c>
      <c r="F177" s="292" t="s">
        <v>1561</v>
      </c>
      <c r="G177" s="315" t="s">
        <v>3216</v>
      </c>
      <c r="H177" s="294"/>
      <c r="I177" s="295" t="s">
        <v>3213</v>
      </c>
      <c r="J177" s="294" t="s">
        <v>1698</v>
      </c>
      <c r="K177" s="292" t="s">
        <v>3214</v>
      </c>
      <c r="L177" s="292" t="s">
        <v>74</v>
      </c>
      <c r="M177" s="292" t="s">
        <v>28</v>
      </c>
      <c r="N177" s="292" t="s">
        <v>3217</v>
      </c>
      <c r="O177" s="296">
        <v>46046</v>
      </c>
      <c r="P177" s="319">
        <v>3031903</v>
      </c>
      <c r="Q177" s="294" t="s">
        <v>79</v>
      </c>
      <c r="R177" s="298"/>
      <c r="S177" s="17"/>
      <c r="T177" s="9"/>
      <c r="U177" s="9"/>
    </row>
    <row r="178" spans="1:21" ht="45.75" hidden="1" thickTop="1">
      <c r="A178" s="299">
        <f t="shared" si="2"/>
        <v>177</v>
      </c>
      <c r="B178" s="323">
        <v>46046</v>
      </c>
      <c r="C178" s="303" t="s">
        <v>3218</v>
      </c>
      <c r="D178" s="303" t="s">
        <v>31</v>
      </c>
      <c r="E178" s="303" t="s">
        <v>22</v>
      </c>
      <c r="F178" s="303" t="s">
        <v>73</v>
      </c>
      <c r="G178" s="316" t="s">
        <v>3219</v>
      </c>
      <c r="H178" s="305">
        <v>9962317389</v>
      </c>
      <c r="I178" s="314" t="s">
        <v>3220</v>
      </c>
      <c r="J178" s="305" t="s">
        <v>1698</v>
      </c>
      <c r="K178" s="316" t="s">
        <v>3221</v>
      </c>
      <c r="L178" s="303" t="s">
        <v>27</v>
      </c>
      <c r="M178" s="303" t="s">
        <v>2623</v>
      </c>
      <c r="N178" s="303" t="s">
        <v>3222</v>
      </c>
      <c r="O178" s="307">
        <v>46047</v>
      </c>
      <c r="P178" s="313">
        <v>461709</v>
      </c>
      <c r="Q178" s="305" t="s">
        <v>79</v>
      </c>
      <c r="R178" s="309"/>
      <c r="S178" s="17"/>
      <c r="T178" s="9"/>
      <c r="U178" s="9"/>
    </row>
    <row r="179" spans="1:21" ht="45.75" hidden="1" thickTop="1">
      <c r="A179" s="288">
        <f t="shared" si="2"/>
        <v>178</v>
      </c>
      <c r="B179" s="322">
        <v>46047</v>
      </c>
      <c r="C179" s="292" t="s">
        <v>3223</v>
      </c>
      <c r="D179" s="292" t="s">
        <v>3224</v>
      </c>
      <c r="E179" s="292" t="s">
        <v>199</v>
      </c>
      <c r="F179" s="292" t="s">
        <v>73</v>
      </c>
      <c r="G179" s="315" t="s">
        <v>3225</v>
      </c>
      <c r="H179" s="294">
        <v>9717169450</v>
      </c>
      <c r="I179" s="295" t="s">
        <v>3226</v>
      </c>
      <c r="J179" s="294" t="s">
        <v>56</v>
      </c>
      <c r="K179" s="292" t="s">
        <v>3227</v>
      </c>
      <c r="L179" s="292" t="s">
        <v>27</v>
      </c>
      <c r="M179" s="292" t="s">
        <v>28</v>
      </c>
      <c r="N179" s="292" t="s">
        <v>3228</v>
      </c>
      <c r="O179" s="296">
        <v>46047</v>
      </c>
      <c r="P179" s="325">
        <v>6300000</v>
      </c>
      <c r="Q179" s="294" t="s">
        <v>98</v>
      </c>
      <c r="R179" s="298" t="s">
        <v>3229</v>
      </c>
      <c r="S179" s="17"/>
      <c r="T179" s="9"/>
      <c r="U179" s="9"/>
    </row>
    <row r="180" spans="1:21" ht="75.75" hidden="1" thickTop="1">
      <c r="A180" s="299">
        <f t="shared" si="2"/>
        <v>179</v>
      </c>
      <c r="B180" s="323">
        <v>46047</v>
      </c>
      <c r="C180" s="303" t="s">
        <v>3230</v>
      </c>
      <c r="D180" s="303" t="s">
        <v>131</v>
      </c>
      <c r="E180" s="303" t="s">
        <v>22</v>
      </c>
      <c r="F180" s="303" t="s">
        <v>73</v>
      </c>
      <c r="G180" s="316" t="s">
        <v>3225</v>
      </c>
      <c r="H180" s="305">
        <v>8550998499</v>
      </c>
      <c r="I180" s="314" t="s">
        <v>3231</v>
      </c>
      <c r="J180" s="305" t="s">
        <v>1698</v>
      </c>
      <c r="K180" s="316" t="s">
        <v>3232</v>
      </c>
      <c r="L180" s="303" t="s">
        <v>27</v>
      </c>
      <c r="M180" s="303" t="s">
        <v>28</v>
      </c>
      <c r="N180" s="303" t="s">
        <v>3233</v>
      </c>
      <c r="O180" s="307">
        <v>46047</v>
      </c>
      <c r="P180" s="313">
        <v>4486414</v>
      </c>
      <c r="Q180" s="305" t="s">
        <v>119</v>
      </c>
      <c r="R180" s="309"/>
      <c r="S180" s="8"/>
      <c r="T180" s="9"/>
      <c r="U180" s="9"/>
    </row>
    <row r="181" spans="1:21" ht="30.75" hidden="1" thickTop="1">
      <c r="A181" s="288">
        <f t="shared" si="2"/>
        <v>180</v>
      </c>
      <c r="B181" s="322">
        <v>46047</v>
      </c>
      <c r="C181" s="292" t="s">
        <v>3234</v>
      </c>
      <c r="D181" s="292" t="s">
        <v>3235</v>
      </c>
      <c r="E181" s="292" t="s">
        <v>3130</v>
      </c>
      <c r="F181" s="292" t="s">
        <v>73</v>
      </c>
      <c r="G181" s="315" t="s">
        <v>901</v>
      </c>
      <c r="H181" s="294">
        <v>9599027223</v>
      </c>
      <c r="I181" s="295" t="s">
        <v>3236</v>
      </c>
      <c r="J181" s="294" t="s">
        <v>1698</v>
      </c>
      <c r="K181" s="292" t="s">
        <v>3237</v>
      </c>
      <c r="L181" s="292" t="s">
        <v>49</v>
      </c>
      <c r="M181" s="292" t="s">
        <v>2623</v>
      </c>
      <c r="N181" s="292" t="s">
        <v>3238</v>
      </c>
      <c r="O181" s="296">
        <v>46055</v>
      </c>
      <c r="P181" s="319">
        <v>35074740</v>
      </c>
      <c r="Q181" s="294" t="s">
        <v>292</v>
      </c>
      <c r="R181" s="298"/>
      <c r="S181" s="16"/>
      <c r="T181" s="9"/>
      <c r="U181" s="9"/>
    </row>
    <row r="182" spans="1:21" ht="45.75" hidden="1" thickTop="1">
      <c r="A182" s="299">
        <f t="shared" si="2"/>
        <v>181</v>
      </c>
      <c r="B182" s="323">
        <v>46047</v>
      </c>
      <c r="C182" s="303" t="s">
        <v>3239</v>
      </c>
      <c r="D182" s="303" t="s">
        <v>3240</v>
      </c>
      <c r="E182" s="303" t="s">
        <v>22</v>
      </c>
      <c r="F182" s="303" t="s">
        <v>83</v>
      </c>
      <c r="G182" s="316" t="s">
        <v>3241</v>
      </c>
      <c r="H182" s="305">
        <v>8097442480</v>
      </c>
      <c r="I182" s="314" t="s">
        <v>3242</v>
      </c>
      <c r="J182" s="305" t="s">
        <v>63</v>
      </c>
      <c r="K182" s="316" t="s">
        <v>3243</v>
      </c>
      <c r="L182" s="303" t="s">
        <v>49</v>
      </c>
      <c r="M182" s="303" t="s">
        <v>2623</v>
      </c>
      <c r="N182" s="303"/>
      <c r="O182" s="307"/>
      <c r="P182" s="317"/>
      <c r="Q182" s="305"/>
      <c r="R182" s="309"/>
      <c r="S182" s="8"/>
      <c r="T182" s="9"/>
      <c r="U182" s="9"/>
    </row>
    <row r="183" spans="1:21" ht="30.75" hidden="1" thickTop="1">
      <c r="A183" s="288">
        <f t="shared" si="2"/>
        <v>182</v>
      </c>
      <c r="B183" s="322">
        <v>46047</v>
      </c>
      <c r="C183" s="292" t="s">
        <v>3244</v>
      </c>
      <c r="D183" s="292" t="s">
        <v>3245</v>
      </c>
      <c r="E183" s="292" t="s">
        <v>741</v>
      </c>
      <c r="F183" s="292" t="s">
        <v>1561</v>
      </c>
      <c r="G183" s="315" t="s">
        <v>3246</v>
      </c>
      <c r="H183" s="294">
        <v>7465958911</v>
      </c>
      <c r="I183" s="295" t="s">
        <v>3247</v>
      </c>
      <c r="J183" s="294" t="s">
        <v>1113</v>
      </c>
      <c r="K183" s="292" t="s">
        <v>3248</v>
      </c>
      <c r="L183" s="292" t="s">
        <v>49</v>
      </c>
      <c r="M183" s="292" t="s">
        <v>2623</v>
      </c>
      <c r="N183" s="292"/>
      <c r="O183" s="296"/>
      <c r="P183" s="312"/>
      <c r="Q183" s="294"/>
      <c r="R183" s="298"/>
      <c r="S183" s="8"/>
      <c r="T183" s="9"/>
      <c r="U183" s="9"/>
    </row>
    <row r="184" spans="1:21" ht="30.75" hidden="1" thickTop="1">
      <c r="A184" s="299">
        <f t="shared" si="2"/>
        <v>183</v>
      </c>
      <c r="B184" s="323">
        <v>46047</v>
      </c>
      <c r="C184" s="303"/>
      <c r="D184" s="303" t="s">
        <v>3249</v>
      </c>
      <c r="E184" s="303" t="s">
        <v>82</v>
      </c>
      <c r="F184" s="303" t="s">
        <v>60</v>
      </c>
      <c r="G184" s="316" t="s">
        <v>2744</v>
      </c>
      <c r="H184" s="305">
        <v>7812814381</v>
      </c>
      <c r="I184" s="314" t="s">
        <v>3250</v>
      </c>
      <c r="J184" s="305" t="s">
        <v>122</v>
      </c>
      <c r="K184" s="303" t="s">
        <v>3251</v>
      </c>
      <c r="L184" s="303" t="s">
        <v>49</v>
      </c>
      <c r="M184" s="303" t="s">
        <v>40</v>
      </c>
      <c r="N184" s="303"/>
      <c r="O184" s="307"/>
      <c r="P184" s="317"/>
      <c r="Q184" s="305"/>
      <c r="R184" s="309"/>
      <c r="S184" s="16"/>
      <c r="T184" s="9"/>
      <c r="U184" s="9"/>
    </row>
    <row r="185" spans="1:21" ht="30.75" hidden="1" thickTop="1">
      <c r="A185" s="288">
        <f t="shared" si="2"/>
        <v>184</v>
      </c>
      <c r="B185" s="322">
        <v>46047</v>
      </c>
      <c r="C185" s="292" t="s">
        <v>3252</v>
      </c>
      <c r="D185" s="292" t="s">
        <v>3253</v>
      </c>
      <c r="E185" s="292" t="s">
        <v>193</v>
      </c>
      <c r="F185" s="292" t="s">
        <v>60</v>
      </c>
      <c r="G185" s="315" t="s">
        <v>244</v>
      </c>
      <c r="H185" s="294">
        <v>9824660185</v>
      </c>
      <c r="I185" s="295" t="s">
        <v>3254</v>
      </c>
      <c r="J185" s="294" t="s">
        <v>122</v>
      </c>
      <c r="K185" s="315" t="s">
        <v>3255</v>
      </c>
      <c r="L185" s="292" t="s">
        <v>49</v>
      </c>
      <c r="M185" s="292" t="s">
        <v>40</v>
      </c>
      <c r="N185" s="292"/>
      <c r="O185" s="296"/>
      <c r="P185" s="312"/>
      <c r="Q185" s="294"/>
      <c r="R185" s="298"/>
      <c r="S185" s="8"/>
      <c r="T185" s="9"/>
      <c r="U185" s="9"/>
    </row>
    <row r="186" spans="1:21" ht="45.75" hidden="1" thickTop="1">
      <c r="A186" s="299">
        <f t="shared" si="2"/>
        <v>185</v>
      </c>
      <c r="B186" s="323">
        <v>46047</v>
      </c>
      <c r="C186" s="303" t="s">
        <v>3256</v>
      </c>
      <c r="D186" s="303" t="s">
        <v>3257</v>
      </c>
      <c r="E186" s="303" t="s">
        <v>22</v>
      </c>
      <c r="F186" s="303" t="s">
        <v>60</v>
      </c>
      <c r="G186" s="316" t="s">
        <v>244</v>
      </c>
      <c r="H186" s="305">
        <v>9860728494</v>
      </c>
      <c r="I186" s="314" t="s">
        <v>3258</v>
      </c>
      <c r="J186" s="305" t="s">
        <v>1113</v>
      </c>
      <c r="K186" s="303" t="s">
        <v>3259</v>
      </c>
      <c r="L186" s="303" t="s">
        <v>49</v>
      </c>
      <c r="M186" s="303" t="s">
        <v>40</v>
      </c>
      <c r="N186" s="303"/>
      <c r="O186" s="307"/>
      <c r="P186" s="317"/>
      <c r="Q186" s="305"/>
      <c r="R186" s="309"/>
      <c r="S186" s="16"/>
      <c r="T186" s="9"/>
      <c r="U186" s="9"/>
    </row>
    <row r="187" spans="1:21" ht="15.75" hidden="1" thickTop="1">
      <c r="A187" s="288">
        <f t="shared" si="2"/>
        <v>186</v>
      </c>
      <c r="B187" s="322">
        <v>46047</v>
      </c>
      <c r="C187" s="292"/>
      <c r="D187" s="292" t="s">
        <v>2762</v>
      </c>
      <c r="E187" s="292" t="s">
        <v>22</v>
      </c>
      <c r="F187" s="292" t="s">
        <v>60</v>
      </c>
      <c r="G187" s="315" t="s">
        <v>3260</v>
      </c>
      <c r="H187" s="294">
        <v>8726884671</v>
      </c>
      <c r="I187" s="295"/>
      <c r="J187" s="294" t="s">
        <v>63</v>
      </c>
      <c r="K187" s="315" t="s">
        <v>3261</v>
      </c>
      <c r="L187" s="292" t="s">
        <v>49</v>
      </c>
      <c r="M187" s="292" t="s">
        <v>40</v>
      </c>
      <c r="N187" s="292"/>
      <c r="O187" s="296"/>
      <c r="P187" s="312"/>
      <c r="Q187" s="294"/>
      <c r="R187" s="298"/>
      <c r="S187" s="8"/>
      <c r="T187" s="9"/>
      <c r="U187" s="9"/>
    </row>
    <row r="188" spans="1:21" ht="30.75" hidden="1" thickTop="1">
      <c r="A188" s="299">
        <f t="shared" si="2"/>
        <v>187</v>
      </c>
      <c r="B188" s="323">
        <v>46047</v>
      </c>
      <c r="C188" s="303"/>
      <c r="D188" s="303" t="s">
        <v>3262</v>
      </c>
      <c r="E188" s="303" t="s">
        <v>143</v>
      </c>
      <c r="F188" s="303" t="s">
        <v>60</v>
      </c>
      <c r="G188" s="316" t="s">
        <v>3263</v>
      </c>
      <c r="H188" s="305">
        <v>9580961464</v>
      </c>
      <c r="I188" s="314" t="s">
        <v>3264</v>
      </c>
      <c r="J188" s="305" t="s">
        <v>567</v>
      </c>
      <c r="K188" s="303" t="s">
        <v>3265</v>
      </c>
      <c r="L188" s="303" t="s">
        <v>49</v>
      </c>
      <c r="M188" s="303" t="s">
        <v>40</v>
      </c>
      <c r="N188" s="303"/>
      <c r="O188" s="307"/>
      <c r="P188" s="317"/>
      <c r="Q188" s="305"/>
      <c r="R188" s="309"/>
      <c r="S188" s="16"/>
      <c r="T188" s="9"/>
      <c r="U188" s="9"/>
    </row>
    <row r="189" spans="1:21" ht="30.75" hidden="1" thickTop="1">
      <c r="A189" s="288">
        <f t="shared" si="2"/>
        <v>188</v>
      </c>
      <c r="B189" s="322">
        <v>46047</v>
      </c>
      <c r="C189" s="292" t="s">
        <v>3266</v>
      </c>
      <c r="D189" s="292" t="s">
        <v>3267</v>
      </c>
      <c r="E189" s="292" t="s">
        <v>143</v>
      </c>
      <c r="F189" s="292" t="s">
        <v>73</v>
      </c>
      <c r="G189" s="315" t="s">
        <v>1736</v>
      </c>
      <c r="H189" s="294">
        <v>8115362332</v>
      </c>
      <c r="I189" s="295" t="s">
        <v>3268</v>
      </c>
      <c r="J189" s="294" t="s">
        <v>122</v>
      </c>
      <c r="K189" s="315" t="s">
        <v>3269</v>
      </c>
      <c r="L189" s="292" t="s">
        <v>49</v>
      </c>
      <c r="M189" s="292" t="s">
        <v>50</v>
      </c>
      <c r="N189" s="292"/>
      <c r="O189" s="296"/>
      <c r="P189" s="312"/>
      <c r="Q189" s="294"/>
      <c r="R189" s="298"/>
      <c r="S189" s="8"/>
      <c r="T189" s="9"/>
      <c r="U189" s="9"/>
    </row>
    <row r="190" spans="1:21" ht="30.75" hidden="1" thickTop="1">
      <c r="A190" s="299">
        <f t="shared" si="2"/>
        <v>189</v>
      </c>
      <c r="B190" s="323">
        <v>46047</v>
      </c>
      <c r="C190" s="303" t="s">
        <v>3270</v>
      </c>
      <c r="D190" s="303" t="s">
        <v>3271</v>
      </c>
      <c r="E190" s="303" t="s">
        <v>22</v>
      </c>
      <c r="F190" s="303" t="s">
        <v>73</v>
      </c>
      <c r="G190" s="316" t="s">
        <v>3272</v>
      </c>
      <c r="H190" s="305">
        <v>8329843987</v>
      </c>
      <c r="I190" s="314" t="s">
        <v>3273</v>
      </c>
      <c r="J190" s="305" t="s">
        <v>122</v>
      </c>
      <c r="K190" s="303" t="s">
        <v>3274</v>
      </c>
      <c r="L190" s="303" t="s">
        <v>49</v>
      </c>
      <c r="M190" s="303" t="s">
        <v>2623</v>
      </c>
      <c r="N190" s="303"/>
      <c r="O190" s="307"/>
      <c r="P190" s="317"/>
      <c r="Q190" s="305"/>
      <c r="R190" s="309"/>
      <c r="S190" s="16"/>
      <c r="T190" s="9"/>
      <c r="U190" s="9"/>
    </row>
    <row r="191" spans="1:21" ht="30.75" hidden="1" thickTop="1">
      <c r="A191" s="288">
        <f t="shared" si="2"/>
        <v>190</v>
      </c>
      <c r="B191" s="322">
        <v>46048</v>
      </c>
      <c r="C191" s="292"/>
      <c r="D191" s="292" t="s">
        <v>2762</v>
      </c>
      <c r="E191" s="292" t="s">
        <v>22</v>
      </c>
      <c r="F191" s="292" t="s">
        <v>60</v>
      </c>
      <c r="G191" s="315" t="s">
        <v>3275</v>
      </c>
      <c r="H191" s="294">
        <v>7709296482</v>
      </c>
      <c r="I191" s="295" t="s">
        <v>3276</v>
      </c>
      <c r="J191" s="294" t="s">
        <v>56</v>
      </c>
      <c r="K191" s="315" t="s">
        <v>3277</v>
      </c>
      <c r="L191" s="292" t="s">
        <v>49</v>
      </c>
      <c r="M191" s="292" t="s">
        <v>40</v>
      </c>
      <c r="N191" s="292"/>
      <c r="O191" s="296"/>
      <c r="P191" s="312"/>
      <c r="Q191" s="294"/>
      <c r="R191" s="298"/>
      <c r="S191" s="8"/>
      <c r="T191" s="9"/>
      <c r="U191" s="9"/>
    </row>
    <row r="192" spans="1:21" ht="15.75" hidden="1" thickTop="1">
      <c r="A192" s="299">
        <f t="shared" si="2"/>
        <v>191</v>
      </c>
      <c r="B192" s="323">
        <v>46048</v>
      </c>
      <c r="C192" s="303" t="s">
        <v>3278</v>
      </c>
      <c r="D192" s="303" t="s">
        <v>3279</v>
      </c>
      <c r="E192" s="303" t="s">
        <v>82</v>
      </c>
      <c r="F192" s="303" t="s">
        <v>23</v>
      </c>
      <c r="G192" s="316" t="s">
        <v>188</v>
      </c>
      <c r="H192" s="305">
        <v>8973515704</v>
      </c>
      <c r="I192" s="314"/>
      <c r="J192" s="305" t="s">
        <v>567</v>
      </c>
      <c r="K192" s="303" t="s">
        <v>3280</v>
      </c>
      <c r="L192" s="303" t="s">
        <v>49</v>
      </c>
      <c r="M192" s="303" t="s">
        <v>50</v>
      </c>
      <c r="N192" s="303"/>
      <c r="O192" s="307"/>
      <c r="P192" s="317"/>
      <c r="Q192" s="305"/>
      <c r="R192" s="309"/>
      <c r="S192" s="16"/>
      <c r="T192" s="9"/>
      <c r="U192" s="9"/>
    </row>
    <row r="193" spans="1:21" ht="30.75" hidden="1" thickTop="1">
      <c r="A193" s="288">
        <f t="shared" si="2"/>
        <v>192</v>
      </c>
      <c r="B193" s="322">
        <v>46048</v>
      </c>
      <c r="C193" s="292"/>
      <c r="D193" s="292" t="s">
        <v>228</v>
      </c>
      <c r="E193" s="292"/>
      <c r="F193" s="292" t="s">
        <v>73</v>
      </c>
      <c r="G193" s="315" t="s">
        <v>3281</v>
      </c>
      <c r="H193" s="294">
        <v>9822772160</v>
      </c>
      <c r="I193" s="295" t="s">
        <v>3282</v>
      </c>
      <c r="J193" s="294" t="s">
        <v>122</v>
      </c>
      <c r="K193" s="315" t="s">
        <v>3283</v>
      </c>
      <c r="L193" s="292" t="s">
        <v>58</v>
      </c>
      <c r="M193" s="292" t="s">
        <v>2623</v>
      </c>
      <c r="N193" s="292"/>
      <c r="O193" s="296"/>
      <c r="P193" s="312"/>
      <c r="Q193" s="294"/>
      <c r="R193" s="298"/>
      <c r="S193" s="8"/>
      <c r="T193" s="9"/>
      <c r="U193" s="9"/>
    </row>
    <row r="194" spans="1:21" ht="30.75" hidden="1" thickTop="1">
      <c r="A194" s="299">
        <f t="shared" ref="A194:A257" si="3">ROW()-1</f>
        <v>193</v>
      </c>
      <c r="B194" s="323">
        <v>46048</v>
      </c>
      <c r="C194" s="303" t="s">
        <v>3284</v>
      </c>
      <c r="D194" s="303" t="s">
        <v>740</v>
      </c>
      <c r="E194" s="303"/>
      <c r="F194" s="303" t="s">
        <v>73</v>
      </c>
      <c r="G194" s="316" t="s">
        <v>3281</v>
      </c>
      <c r="H194" s="346">
        <v>9234385101</v>
      </c>
      <c r="I194" s="314" t="s">
        <v>3285</v>
      </c>
      <c r="J194" s="305" t="s">
        <v>122</v>
      </c>
      <c r="K194" s="316" t="s">
        <v>3286</v>
      </c>
      <c r="L194" s="303" t="s">
        <v>58</v>
      </c>
      <c r="M194" s="303" t="s">
        <v>2623</v>
      </c>
      <c r="N194" s="303"/>
      <c r="O194" s="307"/>
      <c r="P194" s="317"/>
      <c r="Q194" s="305"/>
      <c r="R194" s="309"/>
      <c r="S194" s="16"/>
      <c r="T194" s="9"/>
      <c r="U194" s="9"/>
    </row>
    <row r="195" spans="1:21" ht="15.75" hidden="1" thickTop="1">
      <c r="A195" s="288">
        <f t="shared" si="3"/>
        <v>194</v>
      </c>
      <c r="B195" s="322">
        <v>46048</v>
      </c>
      <c r="C195" s="292"/>
      <c r="D195" s="292" t="s">
        <v>623</v>
      </c>
      <c r="E195" s="292" t="s">
        <v>193</v>
      </c>
      <c r="F195" s="292" t="s">
        <v>60</v>
      </c>
      <c r="G195" s="315" t="s">
        <v>3275</v>
      </c>
      <c r="H195" s="318">
        <v>7487903754</v>
      </c>
      <c r="I195" s="295"/>
      <c r="J195" s="294" t="s">
        <v>567</v>
      </c>
      <c r="K195" s="315" t="s">
        <v>3287</v>
      </c>
      <c r="L195" s="292" t="s">
        <v>58</v>
      </c>
      <c r="M195" s="292" t="s">
        <v>40</v>
      </c>
      <c r="N195" s="292"/>
      <c r="O195" s="296"/>
      <c r="P195" s="312"/>
      <c r="Q195" s="294"/>
      <c r="R195" s="298"/>
      <c r="S195" s="17"/>
      <c r="T195" s="9"/>
      <c r="U195" s="9"/>
    </row>
    <row r="196" spans="1:21" ht="45.75" hidden="1" thickTop="1">
      <c r="A196" s="299">
        <f t="shared" si="3"/>
        <v>195</v>
      </c>
      <c r="B196" s="323">
        <v>46048</v>
      </c>
      <c r="C196" s="303"/>
      <c r="D196" s="303" t="s">
        <v>3288</v>
      </c>
      <c r="E196" s="303" t="s">
        <v>82</v>
      </c>
      <c r="F196" s="303" t="s">
        <v>32</v>
      </c>
      <c r="G196" s="316" t="s">
        <v>2226</v>
      </c>
      <c r="H196" s="305">
        <v>9629945417</v>
      </c>
      <c r="I196" s="314" t="s">
        <v>3289</v>
      </c>
      <c r="J196" s="305" t="s">
        <v>122</v>
      </c>
      <c r="K196" s="316" t="s">
        <v>3290</v>
      </c>
      <c r="L196" s="303" t="s">
        <v>49</v>
      </c>
      <c r="M196" s="303" t="s">
        <v>2623</v>
      </c>
      <c r="N196" s="303"/>
      <c r="O196" s="307"/>
      <c r="P196" s="317"/>
      <c r="Q196" s="305"/>
      <c r="R196" s="309"/>
      <c r="S196" s="8"/>
      <c r="T196" s="9"/>
      <c r="U196" s="9"/>
    </row>
    <row r="197" spans="1:21" ht="15.75" hidden="1" thickTop="1">
      <c r="A197" s="288">
        <f t="shared" si="3"/>
        <v>196</v>
      </c>
      <c r="B197" s="322">
        <v>46049</v>
      </c>
      <c r="C197" s="292" t="s">
        <v>3291</v>
      </c>
      <c r="D197" s="292" t="s">
        <v>3292</v>
      </c>
      <c r="E197" s="292" t="s">
        <v>193</v>
      </c>
      <c r="F197" s="292" t="s">
        <v>23</v>
      </c>
      <c r="G197" s="315" t="s">
        <v>1188</v>
      </c>
      <c r="H197" s="294">
        <v>9924262082</v>
      </c>
      <c r="I197" s="295"/>
      <c r="J197" s="294" t="s">
        <v>56</v>
      </c>
      <c r="K197" s="292" t="s">
        <v>3293</v>
      </c>
      <c r="L197" s="292" t="s">
        <v>49</v>
      </c>
      <c r="M197" s="292" t="s">
        <v>2623</v>
      </c>
      <c r="N197" s="292"/>
      <c r="O197" s="296"/>
      <c r="P197" s="312"/>
      <c r="Q197" s="294"/>
      <c r="R197" s="298"/>
      <c r="S197" s="16"/>
      <c r="T197" s="9"/>
      <c r="U197" s="9"/>
    </row>
    <row r="198" spans="1:21" ht="45.75" hidden="1" thickTop="1">
      <c r="A198" s="299">
        <f t="shared" si="3"/>
        <v>197</v>
      </c>
      <c r="B198" s="323">
        <v>46049</v>
      </c>
      <c r="C198" s="303" t="s">
        <v>3294</v>
      </c>
      <c r="D198" s="303" t="s">
        <v>3294</v>
      </c>
      <c r="E198" s="303" t="s">
        <v>193</v>
      </c>
      <c r="F198" s="303" t="s">
        <v>44</v>
      </c>
      <c r="G198" s="316" t="s">
        <v>3295</v>
      </c>
      <c r="H198" s="305">
        <v>8551096523</v>
      </c>
      <c r="I198" s="314" t="s">
        <v>3296</v>
      </c>
      <c r="J198" s="305" t="s">
        <v>122</v>
      </c>
      <c r="K198" s="316" t="s">
        <v>3297</v>
      </c>
      <c r="L198" s="303" t="s">
        <v>49</v>
      </c>
      <c r="M198" s="303" t="s">
        <v>2623</v>
      </c>
      <c r="N198" s="303"/>
      <c r="O198" s="307"/>
      <c r="P198" s="317"/>
      <c r="Q198" s="305"/>
      <c r="R198" s="309"/>
      <c r="S198" s="8"/>
      <c r="T198" s="9"/>
      <c r="U198" s="9"/>
    </row>
    <row r="199" spans="1:21" ht="45.75" hidden="1" thickTop="1">
      <c r="A199" s="288">
        <f t="shared" si="3"/>
        <v>198</v>
      </c>
      <c r="B199" s="322">
        <v>46049</v>
      </c>
      <c r="C199" s="292" t="s">
        <v>3298</v>
      </c>
      <c r="D199" s="292" t="s">
        <v>3299</v>
      </c>
      <c r="E199" s="292" t="s">
        <v>22</v>
      </c>
      <c r="F199" s="292" t="s">
        <v>23</v>
      </c>
      <c r="G199" s="315" t="s">
        <v>3300</v>
      </c>
      <c r="H199" s="294">
        <v>9860832025</v>
      </c>
      <c r="I199" s="295" t="s">
        <v>3301</v>
      </c>
      <c r="J199" s="294" t="s">
        <v>1698</v>
      </c>
      <c r="K199" s="315" t="s">
        <v>3302</v>
      </c>
      <c r="L199" s="292" t="s">
        <v>74</v>
      </c>
      <c r="M199" s="292" t="s">
        <v>28</v>
      </c>
      <c r="N199" s="292" t="s">
        <v>3303</v>
      </c>
      <c r="O199" s="296">
        <v>46049</v>
      </c>
      <c r="P199" s="319"/>
      <c r="Q199" s="294" t="s">
        <v>79</v>
      </c>
      <c r="R199" s="298"/>
      <c r="S199" s="8"/>
      <c r="T199" s="9"/>
      <c r="U199" s="9"/>
    </row>
    <row r="200" spans="1:21" ht="30.75" hidden="1" thickTop="1">
      <c r="A200" s="299">
        <f t="shared" si="3"/>
        <v>199</v>
      </c>
      <c r="B200" s="323">
        <v>46049</v>
      </c>
      <c r="C200" s="303" t="s">
        <v>3304</v>
      </c>
      <c r="D200" s="303" t="s">
        <v>3305</v>
      </c>
      <c r="E200" s="303"/>
      <c r="F200" s="303" t="s">
        <v>44</v>
      </c>
      <c r="G200" s="316" t="s">
        <v>3304</v>
      </c>
      <c r="H200" s="305">
        <v>9012103048</v>
      </c>
      <c r="I200" s="314" t="s">
        <v>3306</v>
      </c>
      <c r="J200" s="305" t="s">
        <v>122</v>
      </c>
      <c r="K200" s="303"/>
      <c r="L200" s="303" t="s">
        <v>49</v>
      </c>
      <c r="M200" s="303" t="s">
        <v>50</v>
      </c>
      <c r="N200" s="303"/>
      <c r="O200" s="307"/>
      <c r="P200" s="317"/>
      <c r="Q200" s="305"/>
      <c r="R200" s="309"/>
      <c r="S200" s="16"/>
      <c r="T200" s="9"/>
      <c r="U200" s="9"/>
    </row>
    <row r="201" spans="1:21" ht="30.75" hidden="1" thickTop="1">
      <c r="A201" s="288">
        <f t="shared" si="3"/>
        <v>200</v>
      </c>
      <c r="B201" s="322">
        <v>46049</v>
      </c>
      <c r="C201" s="292" t="s">
        <v>3307</v>
      </c>
      <c r="D201" s="292" t="s">
        <v>3308</v>
      </c>
      <c r="E201" s="292" t="s">
        <v>22</v>
      </c>
      <c r="F201" s="292" t="s">
        <v>23</v>
      </c>
      <c r="G201" s="315" t="s">
        <v>127</v>
      </c>
      <c r="H201" s="294">
        <v>8855803220</v>
      </c>
      <c r="I201" s="295" t="s">
        <v>3309</v>
      </c>
      <c r="J201" s="294" t="s">
        <v>1113</v>
      </c>
      <c r="K201" s="315" t="s">
        <v>3310</v>
      </c>
      <c r="L201" s="292" t="s">
        <v>49</v>
      </c>
      <c r="M201" s="292" t="s">
        <v>50</v>
      </c>
      <c r="N201" s="292"/>
      <c r="O201" s="296"/>
      <c r="P201" s="312"/>
      <c r="Q201" s="294"/>
      <c r="R201" s="298"/>
      <c r="S201" s="8"/>
      <c r="T201" s="9"/>
      <c r="U201" s="9"/>
    </row>
    <row r="202" spans="1:21" ht="15.75" hidden="1" thickTop="1">
      <c r="A202" s="299">
        <f t="shared" si="3"/>
        <v>201</v>
      </c>
      <c r="B202" s="323">
        <v>46049</v>
      </c>
      <c r="C202" s="303"/>
      <c r="D202" s="303" t="s">
        <v>2762</v>
      </c>
      <c r="E202" s="303" t="s">
        <v>22</v>
      </c>
      <c r="F202" s="303" t="s">
        <v>73</v>
      </c>
      <c r="G202" s="316" t="s">
        <v>3311</v>
      </c>
      <c r="H202" s="305">
        <v>7391098384</v>
      </c>
      <c r="I202" s="314"/>
      <c r="J202" s="305" t="s">
        <v>56</v>
      </c>
      <c r="K202" s="303" t="s">
        <v>3312</v>
      </c>
      <c r="L202" s="303" t="s">
        <v>49</v>
      </c>
      <c r="M202" s="303" t="s">
        <v>50</v>
      </c>
      <c r="N202" s="303"/>
      <c r="O202" s="307"/>
      <c r="P202" s="317"/>
      <c r="Q202" s="305"/>
      <c r="R202" s="309"/>
      <c r="S202" s="16"/>
      <c r="T202" s="9"/>
      <c r="U202" s="9"/>
    </row>
    <row r="203" spans="1:21" ht="30.75" hidden="1" thickTop="1">
      <c r="A203" s="288">
        <f t="shared" si="3"/>
        <v>202</v>
      </c>
      <c r="B203" s="322">
        <v>46049</v>
      </c>
      <c r="C203" s="292" t="s">
        <v>3313</v>
      </c>
      <c r="D203" s="292" t="s">
        <v>3314</v>
      </c>
      <c r="E203" s="292" t="s">
        <v>214</v>
      </c>
      <c r="F203" s="292" t="s">
        <v>83</v>
      </c>
      <c r="G203" s="315" t="s">
        <v>3241</v>
      </c>
      <c r="H203" s="294">
        <v>9866987303</v>
      </c>
      <c r="I203" s="295" t="s">
        <v>3315</v>
      </c>
      <c r="J203" s="294" t="s">
        <v>1113</v>
      </c>
      <c r="K203" s="315" t="s">
        <v>3316</v>
      </c>
      <c r="L203" s="292" t="s">
        <v>49</v>
      </c>
      <c r="M203" s="292" t="s">
        <v>2623</v>
      </c>
      <c r="N203" s="292"/>
      <c r="O203" s="296"/>
      <c r="P203" s="312"/>
      <c r="Q203" s="294"/>
      <c r="R203" s="298"/>
      <c r="S203" s="8"/>
      <c r="T203" s="9"/>
      <c r="U203" s="9"/>
    </row>
    <row r="204" spans="1:21" ht="45.75" hidden="1" thickTop="1">
      <c r="A204" s="299">
        <f t="shared" si="3"/>
        <v>203</v>
      </c>
      <c r="B204" s="323">
        <v>46049</v>
      </c>
      <c r="C204" s="303" t="s">
        <v>3317</v>
      </c>
      <c r="D204" s="303" t="s">
        <v>2743</v>
      </c>
      <c r="E204" s="303" t="s">
        <v>193</v>
      </c>
      <c r="F204" s="303" t="s">
        <v>73</v>
      </c>
      <c r="G204" s="316" t="s">
        <v>273</v>
      </c>
      <c r="H204" s="305">
        <v>7228017197</v>
      </c>
      <c r="I204" s="314" t="s">
        <v>3318</v>
      </c>
      <c r="J204" s="305" t="s">
        <v>122</v>
      </c>
      <c r="K204" s="303"/>
      <c r="L204" s="303" t="s">
        <v>49</v>
      </c>
      <c r="M204" s="303" t="s">
        <v>2623</v>
      </c>
      <c r="N204" s="303"/>
      <c r="O204" s="307"/>
      <c r="P204" s="317"/>
      <c r="Q204" s="305"/>
      <c r="R204" s="309"/>
      <c r="S204" s="16"/>
      <c r="T204" s="9"/>
      <c r="U204" s="9"/>
    </row>
    <row r="205" spans="1:21" ht="15.75" hidden="1" thickTop="1">
      <c r="A205" s="288">
        <f t="shared" si="3"/>
        <v>204</v>
      </c>
      <c r="B205" s="322">
        <v>46049</v>
      </c>
      <c r="C205" s="292" t="s">
        <v>3319</v>
      </c>
      <c r="D205" s="292" t="s">
        <v>3320</v>
      </c>
      <c r="E205" s="292" t="s">
        <v>193</v>
      </c>
      <c r="F205" s="292" t="s">
        <v>73</v>
      </c>
      <c r="G205" s="315" t="s">
        <v>1530</v>
      </c>
      <c r="H205" s="294">
        <v>9408120406</v>
      </c>
      <c r="I205" s="295"/>
      <c r="J205" s="294" t="s">
        <v>567</v>
      </c>
      <c r="K205" s="315" t="s">
        <v>3321</v>
      </c>
      <c r="L205" s="292" t="s">
        <v>58</v>
      </c>
      <c r="M205" s="292" t="s">
        <v>2623</v>
      </c>
      <c r="N205" s="292"/>
      <c r="O205" s="296"/>
      <c r="P205" s="312"/>
      <c r="Q205" s="294"/>
      <c r="R205" s="298"/>
      <c r="S205" s="8"/>
      <c r="T205" s="9"/>
      <c r="U205" s="9"/>
    </row>
    <row r="206" spans="1:21" ht="15.75" hidden="1" thickTop="1">
      <c r="A206" s="299">
        <f t="shared" si="3"/>
        <v>205</v>
      </c>
      <c r="B206" s="323">
        <v>46049</v>
      </c>
      <c r="C206" s="303"/>
      <c r="D206" s="303" t="s">
        <v>2102</v>
      </c>
      <c r="E206" s="303" t="s">
        <v>82</v>
      </c>
      <c r="F206" s="303" t="s">
        <v>73</v>
      </c>
      <c r="G206" s="316" t="s">
        <v>2928</v>
      </c>
      <c r="H206" s="305">
        <v>9600625292</v>
      </c>
      <c r="I206" s="316"/>
      <c r="J206" s="305" t="s">
        <v>567</v>
      </c>
      <c r="K206" s="303" t="s">
        <v>3322</v>
      </c>
      <c r="L206" s="303" t="s">
        <v>58</v>
      </c>
      <c r="M206" s="303" t="s">
        <v>50</v>
      </c>
      <c r="N206" s="303"/>
      <c r="O206" s="307"/>
      <c r="P206" s="317"/>
      <c r="Q206" s="305"/>
      <c r="R206" s="309"/>
      <c r="S206" s="8"/>
      <c r="T206" s="9"/>
      <c r="U206" s="9"/>
    </row>
    <row r="207" spans="1:21" ht="15.75" hidden="1" thickTop="1">
      <c r="A207" s="288">
        <f t="shared" si="3"/>
        <v>206</v>
      </c>
      <c r="B207" s="322">
        <v>46049</v>
      </c>
      <c r="C207" s="315" t="s">
        <v>3323</v>
      </c>
      <c r="D207" s="292" t="s">
        <v>3324</v>
      </c>
      <c r="E207" s="292" t="s">
        <v>22</v>
      </c>
      <c r="F207" s="292" t="s">
        <v>73</v>
      </c>
      <c r="G207" s="315" t="s">
        <v>3304</v>
      </c>
      <c r="H207" s="294">
        <v>7021961520</v>
      </c>
      <c r="I207" s="315" t="s">
        <v>3325</v>
      </c>
      <c r="J207" s="294" t="s">
        <v>567</v>
      </c>
      <c r="K207" s="315" t="s">
        <v>3326</v>
      </c>
      <c r="L207" s="292" t="s">
        <v>58</v>
      </c>
      <c r="M207" s="292" t="s">
        <v>2623</v>
      </c>
      <c r="N207" s="292"/>
      <c r="O207" s="296"/>
      <c r="P207" s="312"/>
      <c r="Q207" s="294"/>
      <c r="R207" s="298"/>
      <c r="S207" s="8"/>
      <c r="T207" s="9"/>
      <c r="U207" s="9"/>
    </row>
    <row r="208" spans="1:21" ht="15.75" hidden="1" thickTop="1">
      <c r="A208" s="299">
        <f t="shared" si="3"/>
        <v>207</v>
      </c>
      <c r="B208" s="323">
        <v>46050</v>
      </c>
      <c r="C208" s="316" t="s">
        <v>3327</v>
      </c>
      <c r="D208" s="303" t="s">
        <v>810</v>
      </c>
      <c r="E208" s="303" t="s">
        <v>595</v>
      </c>
      <c r="F208" s="303" t="s">
        <v>73</v>
      </c>
      <c r="G208" s="316" t="s">
        <v>3304</v>
      </c>
      <c r="H208" s="305">
        <v>8247791534</v>
      </c>
      <c r="I208" s="316" t="s">
        <v>3328</v>
      </c>
      <c r="J208" s="305" t="s">
        <v>122</v>
      </c>
      <c r="K208" s="316" t="s">
        <v>3329</v>
      </c>
      <c r="L208" s="303" t="s">
        <v>58</v>
      </c>
      <c r="M208" s="303" t="s">
        <v>50</v>
      </c>
      <c r="N208" s="303"/>
      <c r="O208" s="307"/>
      <c r="P208" s="317"/>
      <c r="Q208" s="305"/>
      <c r="R208" s="309"/>
      <c r="S208" s="8"/>
      <c r="T208" s="9"/>
      <c r="U208" s="9"/>
    </row>
    <row r="209" spans="1:21" ht="15.75" hidden="1" thickTop="1">
      <c r="A209" s="288">
        <f t="shared" si="3"/>
        <v>208</v>
      </c>
      <c r="B209" s="322">
        <v>46050</v>
      </c>
      <c r="C209" s="292"/>
      <c r="D209" s="292" t="s">
        <v>3330</v>
      </c>
      <c r="E209" s="292" t="s">
        <v>162</v>
      </c>
      <c r="F209" s="292" t="s">
        <v>60</v>
      </c>
      <c r="G209" s="315" t="s">
        <v>3331</v>
      </c>
      <c r="H209" s="294">
        <v>9644699562</v>
      </c>
      <c r="I209" s="315" t="s">
        <v>3332</v>
      </c>
      <c r="J209" s="294" t="s">
        <v>122</v>
      </c>
      <c r="K209" s="315" t="s">
        <v>3333</v>
      </c>
      <c r="L209" s="292" t="s">
        <v>49</v>
      </c>
      <c r="M209" s="292" t="s">
        <v>40</v>
      </c>
      <c r="N209" s="292"/>
      <c r="O209" s="296"/>
      <c r="P209" s="312"/>
      <c r="Q209" s="294"/>
      <c r="R209" s="298"/>
      <c r="S209" s="8"/>
      <c r="T209" s="9"/>
      <c r="U209" s="9"/>
    </row>
    <row r="210" spans="1:21" ht="15.75" hidden="1" thickTop="1">
      <c r="A210" s="299">
        <f t="shared" si="3"/>
        <v>209</v>
      </c>
      <c r="B210" s="323">
        <v>46050</v>
      </c>
      <c r="C210" s="303" t="s">
        <v>3334</v>
      </c>
      <c r="D210" s="303" t="s">
        <v>3335</v>
      </c>
      <c r="E210" s="303" t="s">
        <v>193</v>
      </c>
      <c r="F210" s="303" t="s">
        <v>44</v>
      </c>
      <c r="G210" s="316" t="s">
        <v>45</v>
      </c>
      <c r="H210" s="305">
        <v>8866231939</v>
      </c>
      <c r="I210" s="316" t="s">
        <v>3336</v>
      </c>
      <c r="J210" s="305" t="s">
        <v>122</v>
      </c>
      <c r="K210" s="316" t="s">
        <v>3337</v>
      </c>
      <c r="L210" s="303" t="s">
        <v>49</v>
      </c>
      <c r="M210" s="303" t="s">
        <v>2623</v>
      </c>
      <c r="N210" s="303"/>
      <c r="O210" s="307"/>
      <c r="P210" s="317"/>
      <c r="Q210" s="305"/>
      <c r="R210" s="309"/>
      <c r="S210" s="8"/>
      <c r="T210" s="9"/>
      <c r="U210" s="9"/>
    </row>
    <row r="211" spans="1:21" ht="15.75" hidden="1" thickTop="1">
      <c r="A211" s="288">
        <f t="shared" si="3"/>
        <v>210</v>
      </c>
      <c r="B211" s="322">
        <v>46050</v>
      </c>
      <c r="C211" s="292" t="s">
        <v>3338</v>
      </c>
      <c r="D211" s="292" t="s">
        <v>2743</v>
      </c>
      <c r="E211" s="292" t="s">
        <v>193</v>
      </c>
      <c r="F211" s="292" t="s">
        <v>60</v>
      </c>
      <c r="G211" s="315" t="s">
        <v>3339</v>
      </c>
      <c r="H211" s="294">
        <v>7984621326</v>
      </c>
      <c r="I211" s="315" t="s">
        <v>2743</v>
      </c>
      <c r="J211" s="294" t="s">
        <v>122</v>
      </c>
      <c r="K211" s="315" t="s">
        <v>3340</v>
      </c>
      <c r="L211" s="292" t="s">
        <v>49</v>
      </c>
      <c r="M211" s="292" t="s">
        <v>40</v>
      </c>
      <c r="N211" s="292"/>
      <c r="O211" s="296"/>
      <c r="P211" s="297"/>
      <c r="Q211" s="294"/>
      <c r="R211" s="298"/>
      <c r="S211" s="8"/>
      <c r="T211" s="9"/>
      <c r="U211" s="9"/>
    </row>
    <row r="212" spans="1:21" ht="15.75" hidden="1" thickTop="1">
      <c r="A212" s="299">
        <f t="shared" si="3"/>
        <v>211</v>
      </c>
      <c r="B212" s="323">
        <v>46050</v>
      </c>
      <c r="C212" s="303"/>
      <c r="D212" s="303" t="s">
        <v>3341</v>
      </c>
      <c r="E212" s="303" t="s">
        <v>272</v>
      </c>
      <c r="F212" s="303" t="s">
        <v>60</v>
      </c>
      <c r="G212" s="316" t="s">
        <v>3342</v>
      </c>
      <c r="H212" s="305">
        <v>9781641208</v>
      </c>
      <c r="I212" s="316" t="s">
        <v>3343</v>
      </c>
      <c r="J212" s="305" t="s">
        <v>63</v>
      </c>
      <c r="K212" s="303" t="s">
        <v>3344</v>
      </c>
      <c r="L212" s="303" t="s">
        <v>49</v>
      </c>
      <c r="M212" s="303" t="s">
        <v>40</v>
      </c>
      <c r="N212" s="303"/>
      <c r="O212" s="307"/>
      <c r="P212" s="317"/>
      <c r="Q212" s="305"/>
      <c r="R212" s="309"/>
      <c r="S212" s="8"/>
      <c r="T212" s="9"/>
      <c r="U212" s="9"/>
    </row>
    <row r="213" spans="1:21" ht="15.75" hidden="1" thickTop="1">
      <c r="A213" s="288">
        <f t="shared" si="3"/>
        <v>212</v>
      </c>
      <c r="B213" s="322">
        <v>46050</v>
      </c>
      <c r="C213" s="292" t="s">
        <v>3345</v>
      </c>
      <c r="D213" s="292" t="s">
        <v>3346</v>
      </c>
      <c r="E213" s="292" t="s">
        <v>199</v>
      </c>
      <c r="F213" s="292" t="s">
        <v>73</v>
      </c>
      <c r="G213" s="315" t="s">
        <v>3347</v>
      </c>
      <c r="H213" s="294">
        <v>7014917957</v>
      </c>
      <c r="I213" s="315"/>
      <c r="J213" s="294" t="s">
        <v>122</v>
      </c>
      <c r="K213" s="292" t="s">
        <v>3348</v>
      </c>
      <c r="L213" s="292" t="s">
        <v>49</v>
      </c>
      <c r="M213" s="292" t="s">
        <v>50</v>
      </c>
      <c r="N213" s="292"/>
      <c r="O213" s="296"/>
      <c r="P213" s="312"/>
      <c r="Q213" s="294"/>
      <c r="R213" s="298"/>
      <c r="S213" s="8"/>
      <c r="T213" s="9"/>
      <c r="U213" s="9"/>
    </row>
    <row r="214" spans="1:21" ht="15.75" hidden="1" thickTop="1">
      <c r="A214" s="299">
        <f t="shared" si="3"/>
        <v>213</v>
      </c>
      <c r="B214" s="323">
        <v>46050</v>
      </c>
      <c r="C214" s="303" t="s">
        <v>2828</v>
      </c>
      <c r="D214" s="303" t="s">
        <v>3349</v>
      </c>
      <c r="E214" s="303" t="s">
        <v>214</v>
      </c>
      <c r="F214" s="303" t="s">
        <v>23</v>
      </c>
      <c r="G214" s="316" t="s">
        <v>3350</v>
      </c>
      <c r="H214" s="305"/>
      <c r="I214" s="316" t="s">
        <v>3351</v>
      </c>
      <c r="J214" s="305" t="s">
        <v>25</v>
      </c>
      <c r="K214" s="316" t="s">
        <v>3352</v>
      </c>
      <c r="L214" s="303" t="s">
        <v>27</v>
      </c>
      <c r="M214" s="303" t="s">
        <v>77</v>
      </c>
      <c r="N214" s="303" t="s">
        <v>3353</v>
      </c>
      <c r="O214" s="307">
        <v>46050</v>
      </c>
      <c r="P214" s="324">
        <v>395000</v>
      </c>
      <c r="Q214" s="305" t="s">
        <v>79</v>
      </c>
      <c r="R214" s="309"/>
      <c r="S214" s="8"/>
      <c r="T214" s="9"/>
      <c r="U214" s="9"/>
    </row>
    <row r="215" spans="1:21" ht="30.75" hidden="1" thickTop="1">
      <c r="A215" s="288">
        <f t="shared" si="3"/>
        <v>214</v>
      </c>
      <c r="B215" s="322">
        <v>46050</v>
      </c>
      <c r="C215" s="292" t="s">
        <v>3223</v>
      </c>
      <c r="D215" s="292" t="s">
        <v>131</v>
      </c>
      <c r="E215" s="292" t="s">
        <v>22</v>
      </c>
      <c r="F215" s="292" t="s">
        <v>59</v>
      </c>
      <c r="G215" s="315" t="s">
        <v>3354</v>
      </c>
      <c r="H215" s="347">
        <v>8605997300</v>
      </c>
      <c r="I215" s="315" t="s">
        <v>3355</v>
      </c>
      <c r="J215" s="294" t="s">
        <v>1698</v>
      </c>
      <c r="K215" s="339" t="s">
        <v>3356</v>
      </c>
      <c r="L215" s="292" t="s">
        <v>27</v>
      </c>
      <c r="M215" s="292" t="s">
        <v>28</v>
      </c>
      <c r="N215" s="292" t="s">
        <v>3357</v>
      </c>
      <c r="O215" s="296">
        <v>46050</v>
      </c>
      <c r="P215" s="319">
        <v>225000</v>
      </c>
      <c r="Q215" s="348" t="s">
        <v>70</v>
      </c>
      <c r="R215" s="298"/>
      <c r="S215" s="8"/>
      <c r="T215" s="9"/>
      <c r="U215" s="9"/>
    </row>
    <row r="216" spans="1:21" ht="15.75" hidden="1" thickTop="1">
      <c r="A216" s="299">
        <f t="shared" si="3"/>
        <v>215</v>
      </c>
      <c r="B216" s="323">
        <v>46050</v>
      </c>
      <c r="C216" s="303" t="s">
        <v>3223</v>
      </c>
      <c r="D216" s="303" t="s">
        <v>131</v>
      </c>
      <c r="E216" s="303" t="s">
        <v>22</v>
      </c>
      <c r="F216" s="303" t="s">
        <v>60</v>
      </c>
      <c r="G216" s="316" t="s">
        <v>3358</v>
      </c>
      <c r="H216" s="305"/>
      <c r="I216" s="316" t="s">
        <v>3359</v>
      </c>
      <c r="J216" s="305" t="s">
        <v>1698</v>
      </c>
      <c r="K216" s="338" t="s">
        <v>3360</v>
      </c>
      <c r="L216" s="303" t="s">
        <v>27</v>
      </c>
      <c r="M216" s="303" t="s">
        <v>28</v>
      </c>
      <c r="N216" s="303" t="s">
        <v>3361</v>
      </c>
      <c r="O216" s="307">
        <v>46050</v>
      </c>
      <c r="P216" s="313"/>
      <c r="Q216" s="332" t="s">
        <v>70</v>
      </c>
      <c r="R216" s="309"/>
      <c r="S216" s="8"/>
      <c r="T216" s="9"/>
      <c r="U216" s="9"/>
    </row>
    <row r="217" spans="1:21" ht="15.75" hidden="1" thickTop="1">
      <c r="A217" s="288">
        <f t="shared" si="3"/>
        <v>216</v>
      </c>
      <c r="B217" s="322">
        <v>46052</v>
      </c>
      <c r="C217" s="349" t="s">
        <v>3362</v>
      </c>
      <c r="D217" s="292" t="s">
        <v>1951</v>
      </c>
      <c r="E217" s="292" t="s">
        <v>22</v>
      </c>
      <c r="F217" s="292" t="s">
        <v>32</v>
      </c>
      <c r="G217" s="315" t="s">
        <v>3363</v>
      </c>
      <c r="H217" s="294"/>
      <c r="I217" s="315" t="s">
        <v>3364</v>
      </c>
      <c r="J217" s="294" t="s">
        <v>25</v>
      </c>
      <c r="K217" s="315" t="s">
        <v>3365</v>
      </c>
      <c r="L217" s="292" t="s">
        <v>27</v>
      </c>
      <c r="M217" s="292" t="s">
        <v>28</v>
      </c>
      <c r="N217" s="292" t="s">
        <v>3110</v>
      </c>
      <c r="O217" s="296">
        <v>46050</v>
      </c>
      <c r="P217" s="325">
        <v>299000</v>
      </c>
      <c r="Q217" s="294" t="s">
        <v>30</v>
      </c>
      <c r="R217" s="298"/>
      <c r="S217" s="8"/>
      <c r="T217" s="9"/>
      <c r="U217" s="9"/>
    </row>
    <row r="218" spans="1:21" ht="15.75" hidden="1" thickTop="1">
      <c r="A218" s="299">
        <f t="shared" si="3"/>
        <v>217</v>
      </c>
      <c r="B218" s="323">
        <v>46051</v>
      </c>
      <c r="C218" s="303" t="s">
        <v>3366</v>
      </c>
      <c r="D218" s="303" t="s">
        <v>3367</v>
      </c>
      <c r="E218" s="303" t="s">
        <v>22</v>
      </c>
      <c r="F218" s="303" t="s">
        <v>60</v>
      </c>
      <c r="G218" s="316" t="s">
        <v>170</v>
      </c>
      <c r="H218" s="305">
        <v>9527780008</v>
      </c>
      <c r="I218" s="316" t="s">
        <v>3368</v>
      </c>
      <c r="J218" s="305" t="s">
        <v>1698</v>
      </c>
      <c r="K218" s="316" t="s">
        <v>3369</v>
      </c>
      <c r="L218" s="303" t="s">
        <v>49</v>
      </c>
      <c r="M218" s="303" t="s">
        <v>40</v>
      </c>
      <c r="N218" s="303"/>
      <c r="O218" s="307"/>
      <c r="P218" s="308"/>
      <c r="Q218" s="305"/>
      <c r="R218" s="309"/>
      <c r="S218" s="8"/>
      <c r="T218" s="9"/>
      <c r="U218" s="9"/>
    </row>
    <row r="219" spans="1:21" ht="15.75" hidden="1" thickTop="1">
      <c r="A219" s="288">
        <f t="shared" si="3"/>
        <v>218</v>
      </c>
      <c r="B219" s="322">
        <v>46051</v>
      </c>
      <c r="C219" s="292"/>
      <c r="D219" s="292" t="s">
        <v>3370</v>
      </c>
      <c r="E219" s="292" t="s">
        <v>193</v>
      </c>
      <c r="F219" s="292" t="s">
        <v>23</v>
      </c>
      <c r="G219" s="315" t="s">
        <v>127</v>
      </c>
      <c r="H219" s="294">
        <v>9825086570</v>
      </c>
      <c r="I219" s="315" t="s">
        <v>3371</v>
      </c>
      <c r="J219" s="294" t="s">
        <v>122</v>
      </c>
      <c r="K219" s="315" t="s">
        <v>3372</v>
      </c>
      <c r="L219" s="292" t="s">
        <v>49</v>
      </c>
      <c r="M219" s="292" t="s">
        <v>2623</v>
      </c>
      <c r="N219" s="292"/>
      <c r="O219" s="296"/>
      <c r="P219" s="312"/>
      <c r="Q219" s="294"/>
      <c r="R219" s="298"/>
      <c r="S219" s="8"/>
      <c r="T219" s="9"/>
      <c r="U219" s="9"/>
    </row>
    <row r="220" spans="1:21" ht="15.75" hidden="1" thickTop="1">
      <c r="A220" s="299">
        <f t="shared" si="3"/>
        <v>219</v>
      </c>
      <c r="B220" s="323">
        <v>46052</v>
      </c>
      <c r="C220" s="303" t="s">
        <v>3373</v>
      </c>
      <c r="D220" s="303" t="s">
        <v>3179</v>
      </c>
      <c r="E220" s="303" t="s">
        <v>22</v>
      </c>
      <c r="F220" s="303" t="s">
        <v>60</v>
      </c>
      <c r="G220" s="316" t="s">
        <v>244</v>
      </c>
      <c r="H220" s="305">
        <v>9689999245</v>
      </c>
      <c r="I220" s="316" t="s">
        <v>3374</v>
      </c>
      <c r="J220" s="305" t="s">
        <v>567</v>
      </c>
      <c r="K220" s="316" t="s">
        <v>3375</v>
      </c>
      <c r="L220" s="303" t="s">
        <v>49</v>
      </c>
      <c r="M220" s="303" t="s">
        <v>40</v>
      </c>
      <c r="N220" s="303"/>
      <c r="O220" s="307"/>
      <c r="P220" s="317"/>
      <c r="Q220" s="305"/>
      <c r="R220" s="309"/>
      <c r="S220" s="8"/>
      <c r="T220" s="9"/>
      <c r="U220" s="9"/>
    </row>
    <row r="221" spans="1:21" ht="15.75" hidden="1" thickTop="1">
      <c r="A221" s="288">
        <f t="shared" si="3"/>
        <v>220</v>
      </c>
      <c r="B221" s="322">
        <v>46052</v>
      </c>
      <c r="C221" s="292"/>
      <c r="D221" s="292" t="s">
        <v>1226</v>
      </c>
      <c r="E221" s="292" t="s">
        <v>193</v>
      </c>
      <c r="F221" s="292" t="s">
        <v>23</v>
      </c>
      <c r="G221" s="315" t="s">
        <v>3376</v>
      </c>
      <c r="H221" s="294">
        <v>8460626074</v>
      </c>
      <c r="I221" s="315" t="s">
        <v>3377</v>
      </c>
      <c r="J221" s="294" t="s">
        <v>122</v>
      </c>
      <c r="K221" s="315" t="s">
        <v>3378</v>
      </c>
      <c r="L221" s="292" t="s">
        <v>49</v>
      </c>
      <c r="M221" s="292" t="s">
        <v>2623</v>
      </c>
      <c r="N221" s="292"/>
      <c r="O221" s="296"/>
      <c r="P221" s="312"/>
      <c r="Q221" s="294"/>
      <c r="R221" s="298"/>
      <c r="S221" s="8"/>
      <c r="T221" s="9"/>
      <c r="U221" s="9"/>
    </row>
    <row r="222" spans="1:21" ht="135.75" hidden="1" thickTop="1">
      <c r="A222" s="299">
        <f t="shared" si="3"/>
        <v>221</v>
      </c>
      <c r="B222" s="323">
        <v>46052</v>
      </c>
      <c r="C222" s="303" t="s">
        <v>3379</v>
      </c>
      <c r="D222" s="314" t="s">
        <v>3380</v>
      </c>
      <c r="E222" s="303" t="s">
        <v>22</v>
      </c>
      <c r="F222" s="303" t="s">
        <v>60</v>
      </c>
      <c r="G222" s="316" t="s">
        <v>259</v>
      </c>
      <c r="H222" s="305">
        <v>9822096642</v>
      </c>
      <c r="I222" s="316" t="s">
        <v>3381</v>
      </c>
      <c r="J222" s="305" t="s">
        <v>56</v>
      </c>
      <c r="K222" s="316" t="s">
        <v>3382</v>
      </c>
      <c r="L222" s="303" t="s">
        <v>49</v>
      </c>
      <c r="M222" s="303" t="s">
        <v>40</v>
      </c>
      <c r="N222" s="303"/>
      <c r="O222" s="307"/>
      <c r="P222" s="317"/>
      <c r="Q222" s="305"/>
      <c r="R222" s="309"/>
      <c r="S222" s="8"/>
      <c r="T222" s="9"/>
      <c r="U222" s="9"/>
    </row>
    <row r="223" spans="1:21" ht="15.75" hidden="1" thickTop="1">
      <c r="A223" s="288">
        <f t="shared" si="3"/>
        <v>222</v>
      </c>
      <c r="B223" s="322">
        <v>46052</v>
      </c>
      <c r="C223" s="292"/>
      <c r="D223" s="292" t="s">
        <v>3383</v>
      </c>
      <c r="E223" s="292"/>
      <c r="F223" s="292" t="s">
        <v>44</v>
      </c>
      <c r="G223" s="315" t="s">
        <v>2749</v>
      </c>
      <c r="H223" s="294">
        <v>9696493564</v>
      </c>
      <c r="I223" s="315"/>
      <c r="J223" s="294" t="s">
        <v>122</v>
      </c>
      <c r="K223" s="315" t="s">
        <v>3384</v>
      </c>
      <c r="L223" s="292" t="s">
        <v>49</v>
      </c>
      <c r="M223" s="292" t="s">
        <v>50</v>
      </c>
      <c r="N223" s="292"/>
      <c r="O223" s="296"/>
      <c r="P223" s="312"/>
      <c r="Q223" s="294"/>
      <c r="R223" s="298"/>
      <c r="S223" s="8"/>
      <c r="T223" s="9"/>
      <c r="U223" s="9"/>
    </row>
    <row r="224" spans="1:21" ht="15.75" hidden="1" thickTop="1">
      <c r="A224" s="299">
        <f t="shared" si="3"/>
        <v>223</v>
      </c>
      <c r="B224" s="323">
        <v>46052</v>
      </c>
      <c r="C224" s="303"/>
      <c r="D224" s="303" t="s">
        <v>2762</v>
      </c>
      <c r="E224" s="303" t="s">
        <v>22</v>
      </c>
      <c r="F224" s="303" t="s">
        <v>60</v>
      </c>
      <c r="G224" s="316" t="s">
        <v>180</v>
      </c>
      <c r="H224" s="305">
        <v>8484823554</v>
      </c>
      <c r="I224" s="316"/>
      <c r="J224" s="305" t="s">
        <v>122</v>
      </c>
      <c r="K224" s="316" t="s">
        <v>3385</v>
      </c>
      <c r="L224" s="303" t="s">
        <v>49</v>
      </c>
      <c r="M224" s="303" t="s">
        <v>40</v>
      </c>
      <c r="N224" s="303"/>
      <c r="O224" s="307"/>
      <c r="P224" s="317"/>
      <c r="Q224" s="305"/>
      <c r="R224" s="309"/>
      <c r="S224" s="8"/>
      <c r="T224" s="9"/>
      <c r="U224" s="9"/>
    </row>
    <row r="225" spans="1:21" ht="15.75" hidden="1" thickTop="1">
      <c r="A225" s="288">
        <f t="shared" si="3"/>
        <v>224</v>
      </c>
      <c r="B225" s="322">
        <v>46052</v>
      </c>
      <c r="C225" s="292"/>
      <c r="D225" s="292" t="s">
        <v>3386</v>
      </c>
      <c r="E225" s="292" t="s">
        <v>22</v>
      </c>
      <c r="F225" s="292" t="s">
        <v>23</v>
      </c>
      <c r="G225" s="315" t="s">
        <v>1487</v>
      </c>
      <c r="H225" s="294"/>
      <c r="I225" s="315"/>
      <c r="J225" s="294" t="s">
        <v>56</v>
      </c>
      <c r="K225" s="315" t="s">
        <v>3387</v>
      </c>
      <c r="L225" s="292" t="s">
        <v>49</v>
      </c>
      <c r="M225" s="292" t="s">
        <v>50</v>
      </c>
      <c r="N225" s="292"/>
      <c r="O225" s="296"/>
      <c r="P225" s="312"/>
      <c r="Q225" s="294"/>
      <c r="R225" s="298"/>
      <c r="S225" s="8"/>
      <c r="T225" s="9"/>
      <c r="U225" s="9"/>
    </row>
    <row r="226" spans="1:21" ht="15.75" hidden="1" thickTop="1">
      <c r="A226" s="299">
        <f t="shared" si="3"/>
        <v>225</v>
      </c>
      <c r="B226" s="323">
        <v>46052</v>
      </c>
      <c r="C226" s="303" t="s">
        <v>3388</v>
      </c>
      <c r="D226" s="303" t="s">
        <v>3389</v>
      </c>
      <c r="E226" s="303" t="s">
        <v>193</v>
      </c>
      <c r="F226" s="303" t="s">
        <v>73</v>
      </c>
      <c r="G226" s="316" t="s">
        <v>878</v>
      </c>
      <c r="H226" s="305">
        <v>8980799162</v>
      </c>
      <c r="I226" s="316" t="s">
        <v>3390</v>
      </c>
      <c r="J226" s="305" t="s">
        <v>122</v>
      </c>
      <c r="K226" s="316" t="s">
        <v>3391</v>
      </c>
      <c r="L226" s="303" t="s">
        <v>49</v>
      </c>
      <c r="M226" s="303" t="s">
        <v>2623</v>
      </c>
      <c r="N226" s="303"/>
      <c r="O226" s="307"/>
      <c r="P226" s="317"/>
      <c r="Q226" s="305"/>
      <c r="R226" s="309"/>
      <c r="S226" s="8"/>
      <c r="T226" s="9"/>
      <c r="U226" s="9"/>
    </row>
    <row r="227" spans="1:21" ht="15.75" hidden="1" thickTop="1">
      <c r="A227" s="288">
        <f t="shared" si="3"/>
        <v>226</v>
      </c>
      <c r="B227" s="322">
        <v>46052</v>
      </c>
      <c r="C227" s="292" t="s">
        <v>3392</v>
      </c>
      <c r="D227" s="292" t="s">
        <v>3393</v>
      </c>
      <c r="E227" s="292"/>
      <c r="F227" s="292" t="s">
        <v>23</v>
      </c>
      <c r="G227" s="315" t="s">
        <v>1487</v>
      </c>
      <c r="H227" s="294">
        <v>9994413311</v>
      </c>
      <c r="I227" s="315" t="s">
        <v>3394</v>
      </c>
      <c r="J227" s="294" t="s">
        <v>122</v>
      </c>
      <c r="K227" s="315" t="s">
        <v>3395</v>
      </c>
      <c r="L227" s="292" t="s">
        <v>49</v>
      </c>
      <c r="M227" s="292" t="s">
        <v>50</v>
      </c>
      <c r="N227" s="292"/>
      <c r="O227" s="296"/>
      <c r="P227" s="312"/>
      <c r="Q227" s="294"/>
      <c r="R227" s="298"/>
      <c r="S227" s="8"/>
      <c r="T227" s="9"/>
      <c r="U227" s="9"/>
    </row>
    <row r="228" spans="1:21" ht="15.75" hidden="1" thickTop="1">
      <c r="A228" s="299">
        <f t="shared" si="3"/>
        <v>227</v>
      </c>
      <c r="B228" s="323">
        <v>46052</v>
      </c>
      <c r="C228" s="303"/>
      <c r="D228" s="303" t="s">
        <v>2762</v>
      </c>
      <c r="E228" s="303" t="s">
        <v>22</v>
      </c>
      <c r="F228" s="303" t="s">
        <v>73</v>
      </c>
      <c r="G228" s="316" t="s">
        <v>878</v>
      </c>
      <c r="H228" s="305">
        <v>8007266829</v>
      </c>
      <c r="I228" s="316" t="s">
        <v>3396</v>
      </c>
      <c r="J228" s="305" t="s">
        <v>567</v>
      </c>
      <c r="K228" s="316" t="s">
        <v>3397</v>
      </c>
      <c r="L228" s="303" t="s">
        <v>49</v>
      </c>
      <c r="M228" s="303" t="s">
        <v>50</v>
      </c>
      <c r="N228" s="303"/>
      <c r="O228" s="307"/>
      <c r="P228" s="317"/>
      <c r="Q228" s="305"/>
      <c r="R228" s="309"/>
      <c r="S228" s="8"/>
      <c r="T228" s="9"/>
      <c r="U228" s="9"/>
    </row>
    <row r="229" spans="1:21" ht="15.75" hidden="1" thickTop="1">
      <c r="A229" s="288">
        <f t="shared" si="3"/>
        <v>228</v>
      </c>
      <c r="B229" s="322">
        <v>46052</v>
      </c>
      <c r="C229" s="292" t="s">
        <v>3398</v>
      </c>
      <c r="D229" s="292" t="s">
        <v>3399</v>
      </c>
      <c r="E229" s="292" t="s">
        <v>22</v>
      </c>
      <c r="F229" s="292" t="s">
        <v>60</v>
      </c>
      <c r="G229" s="315" t="s">
        <v>180</v>
      </c>
      <c r="H229" s="294">
        <v>9209398739</v>
      </c>
      <c r="I229" s="315" t="s">
        <v>3400</v>
      </c>
      <c r="J229" s="294" t="s">
        <v>1113</v>
      </c>
      <c r="K229" s="315" t="s">
        <v>3401</v>
      </c>
      <c r="L229" s="292" t="s">
        <v>49</v>
      </c>
      <c r="M229" s="292" t="s">
        <v>40</v>
      </c>
      <c r="N229" s="292"/>
      <c r="O229" s="296"/>
      <c r="P229" s="312"/>
      <c r="Q229" s="294"/>
      <c r="R229" s="298"/>
      <c r="S229" s="8"/>
      <c r="T229" s="9"/>
      <c r="U229" s="9"/>
    </row>
    <row r="230" spans="1:21" ht="15.75" hidden="1" thickTop="1">
      <c r="A230" s="299">
        <f t="shared" si="3"/>
        <v>229</v>
      </c>
      <c r="B230" s="323">
        <v>46052</v>
      </c>
      <c r="C230" s="303" t="s">
        <v>3402</v>
      </c>
      <c r="D230" s="303" t="s">
        <v>2762</v>
      </c>
      <c r="E230" s="303" t="s">
        <v>22</v>
      </c>
      <c r="F230" s="303" t="s">
        <v>83</v>
      </c>
      <c r="G230" s="316" t="s">
        <v>852</v>
      </c>
      <c r="H230" s="305">
        <v>8007363933</v>
      </c>
      <c r="I230" s="316" t="s">
        <v>3403</v>
      </c>
      <c r="J230" s="346" t="s">
        <v>1113</v>
      </c>
      <c r="K230" s="316" t="s">
        <v>3404</v>
      </c>
      <c r="L230" s="303" t="s">
        <v>49</v>
      </c>
      <c r="M230" s="303" t="s">
        <v>2623</v>
      </c>
      <c r="N230" s="303"/>
      <c r="O230" s="307"/>
      <c r="P230" s="317"/>
      <c r="Q230" s="305"/>
      <c r="R230" s="309"/>
      <c r="S230" s="8"/>
      <c r="T230" s="9"/>
      <c r="U230" s="9"/>
    </row>
    <row r="231" spans="1:21" ht="15.75" hidden="1" thickTop="1">
      <c r="A231" s="288">
        <f t="shared" si="3"/>
        <v>230</v>
      </c>
      <c r="B231" s="322">
        <v>46052</v>
      </c>
      <c r="C231" s="292"/>
      <c r="D231" s="292" t="s">
        <v>2762</v>
      </c>
      <c r="E231" s="292" t="s">
        <v>22</v>
      </c>
      <c r="F231" s="292" t="s">
        <v>44</v>
      </c>
      <c r="G231" s="315" t="s">
        <v>45</v>
      </c>
      <c r="H231" s="294">
        <v>7972637701</v>
      </c>
      <c r="I231" s="315" t="s">
        <v>3405</v>
      </c>
      <c r="J231" s="294" t="s">
        <v>122</v>
      </c>
      <c r="K231" s="315" t="s">
        <v>3406</v>
      </c>
      <c r="L231" s="292" t="s">
        <v>49</v>
      </c>
      <c r="M231" s="292" t="s">
        <v>50</v>
      </c>
      <c r="N231" s="292"/>
      <c r="O231" s="296"/>
      <c r="P231" s="312"/>
      <c r="Q231" s="294"/>
      <c r="R231" s="298"/>
      <c r="S231" s="8"/>
      <c r="T231" s="9"/>
      <c r="U231" s="9"/>
    </row>
    <row r="232" spans="1:21" ht="15.75" hidden="1" thickTop="1">
      <c r="A232" s="299">
        <f t="shared" si="3"/>
        <v>231</v>
      </c>
      <c r="B232" s="323">
        <v>46052</v>
      </c>
      <c r="C232" s="303" t="s">
        <v>3407</v>
      </c>
      <c r="D232" s="303" t="s">
        <v>3408</v>
      </c>
      <c r="E232" s="303" t="s">
        <v>199</v>
      </c>
      <c r="F232" s="303" t="s">
        <v>44</v>
      </c>
      <c r="G232" s="316" t="s">
        <v>44</v>
      </c>
      <c r="H232" s="305">
        <v>9829224661</v>
      </c>
      <c r="I232" s="316" t="s">
        <v>3409</v>
      </c>
      <c r="J232" s="305" t="s">
        <v>122</v>
      </c>
      <c r="K232" s="316" t="s">
        <v>3410</v>
      </c>
      <c r="L232" s="303" t="s">
        <v>49</v>
      </c>
      <c r="M232" s="303" t="s">
        <v>50</v>
      </c>
      <c r="N232" s="303"/>
      <c r="O232" s="307"/>
      <c r="P232" s="317"/>
      <c r="Q232" s="305"/>
      <c r="R232" s="309"/>
      <c r="S232" s="8"/>
      <c r="T232" s="9"/>
      <c r="U232" s="9"/>
    </row>
    <row r="233" spans="1:21" ht="15.75" hidden="1" thickTop="1">
      <c r="A233" s="288">
        <f t="shared" si="3"/>
        <v>232</v>
      </c>
      <c r="B233" s="322">
        <v>46052</v>
      </c>
      <c r="C233" s="292" t="s">
        <v>3411</v>
      </c>
      <c r="D233" s="292" t="s">
        <v>183</v>
      </c>
      <c r="E233" s="292" t="s">
        <v>22</v>
      </c>
      <c r="F233" s="292" t="s">
        <v>60</v>
      </c>
      <c r="G233" s="315" t="s">
        <v>1667</v>
      </c>
      <c r="H233" s="294">
        <v>9324580052</v>
      </c>
      <c r="I233" s="315" t="s">
        <v>3412</v>
      </c>
      <c r="J233" s="294" t="s">
        <v>1113</v>
      </c>
      <c r="K233" s="315" t="s">
        <v>3413</v>
      </c>
      <c r="L233" s="292" t="s">
        <v>58</v>
      </c>
      <c r="M233" s="292" t="s">
        <v>40</v>
      </c>
      <c r="N233" s="292"/>
      <c r="O233" s="296"/>
      <c r="P233" s="312"/>
      <c r="Q233" s="294"/>
      <c r="R233" s="298"/>
      <c r="S233" s="8"/>
      <c r="T233" s="9"/>
      <c r="U233" s="9"/>
    </row>
    <row r="234" spans="1:21" ht="15.75" hidden="1" thickTop="1">
      <c r="A234" s="299">
        <f t="shared" si="3"/>
        <v>233</v>
      </c>
      <c r="B234" s="323">
        <v>46052</v>
      </c>
      <c r="C234" s="303" t="s">
        <v>3414</v>
      </c>
      <c r="D234" s="303" t="s">
        <v>810</v>
      </c>
      <c r="E234" s="303" t="s">
        <v>595</v>
      </c>
      <c r="F234" s="303" t="s">
        <v>23</v>
      </c>
      <c r="G234" s="316" t="s">
        <v>1487</v>
      </c>
      <c r="H234" s="305">
        <v>8895196401</v>
      </c>
      <c r="I234" s="316"/>
      <c r="J234" s="305" t="s">
        <v>122</v>
      </c>
      <c r="K234" s="316" t="s">
        <v>3415</v>
      </c>
      <c r="L234" s="303" t="s">
        <v>58</v>
      </c>
      <c r="M234" s="303" t="s">
        <v>2623</v>
      </c>
      <c r="N234" s="303"/>
      <c r="O234" s="307"/>
      <c r="P234" s="317"/>
      <c r="Q234" s="305"/>
      <c r="R234" s="309"/>
      <c r="S234" s="8"/>
      <c r="T234" s="9"/>
      <c r="U234" s="9"/>
    </row>
    <row r="235" spans="1:21" ht="15.75" hidden="1" thickTop="1">
      <c r="A235" s="288">
        <f t="shared" si="3"/>
        <v>234</v>
      </c>
      <c r="B235" s="322">
        <v>46052</v>
      </c>
      <c r="C235" s="315" t="s">
        <v>3416</v>
      </c>
      <c r="D235" s="315" t="s">
        <v>3417</v>
      </c>
      <c r="E235" s="292"/>
      <c r="F235" s="292" t="s">
        <v>3418</v>
      </c>
      <c r="G235" s="315" t="s">
        <v>3418</v>
      </c>
      <c r="H235" s="294">
        <v>7906231898</v>
      </c>
      <c r="I235" s="315"/>
      <c r="J235" s="294" t="s">
        <v>122</v>
      </c>
      <c r="K235" s="315" t="s">
        <v>3419</v>
      </c>
      <c r="L235" s="292" t="s">
        <v>58</v>
      </c>
      <c r="M235" s="292" t="s">
        <v>2623</v>
      </c>
      <c r="N235" s="292"/>
      <c r="O235" s="296"/>
      <c r="P235" s="312"/>
      <c r="Q235" s="294"/>
      <c r="R235" s="298"/>
      <c r="S235" s="8"/>
      <c r="T235" s="9"/>
      <c r="U235" s="9"/>
    </row>
    <row r="236" spans="1:21" ht="15.75" hidden="1" thickTop="1">
      <c r="A236" s="299">
        <f t="shared" si="3"/>
        <v>235</v>
      </c>
      <c r="B236" s="323">
        <v>46052</v>
      </c>
      <c r="C236" s="303" t="s">
        <v>3420</v>
      </c>
      <c r="D236" s="303" t="s">
        <v>3421</v>
      </c>
      <c r="E236" s="303" t="s">
        <v>82</v>
      </c>
      <c r="F236" s="303" t="s">
        <v>73</v>
      </c>
      <c r="G236" s="316" t="s">
        <v>3422</v>
      </c>
      <c r="H236" s="305">
        <v>9345888979</v>
      </c>
      <c r="I236" s="303" t="s">
        <v>3423</v>
      </c>
      <c r="J236" s="305" t="s">
        <v>1698</v>
      </c>
      <c r="K236" s="316" t="s">
        <v>3424</v>
      </c>
      <c r="L236" s="303" t="s">
        <v>27</v>
      </c>
      <c r="M236" s="303" t="s">
        <v>28</v>
      </c>
      <c r="N236" s="303" t="s">
        <v>3425</v>
      </c>
      <c r="O236" s="307">
        <v>46052</v>
      </c>
      <c r="P236" s="313">
        <v>8647000</v>
      </c>
      <c r="Q236" s="305" t="s">
        <v>292</v>
      </c>
      <c r="R236" s="309"/>
      <c r="S236" s="8"/>
      <c r="T236" s="9"/>
      <c r="U236" s="9"/>
    </row>
    <row r="237" spans="1:21" ht="15.75" hidden="1" thickTop="1">
      <c r="A237" s="288">
        <f t="shared" si="3"/>
        <v>236</v>
      </c>
      <c r="B237" s="322">
        <v>46052</v>
      </c>
      <c r="C237" s="292"/>
      <c r="D237" s="292" t="s">
        <v>1951</v>
      </c>
      <c r="E237" s="292" t="s">
        <v>22</v>
      </c>
      <c r="F237" s="292" t="s">
        <v>60</v>
      </c>
      <c r="G237" s="315" t="s">
        <v>1801</v>
      </c>
      <c r="H237" s="294">
        <v>8411007431</v>
      </c>
      <c r="I237" s="315"/>
      <c r="J237" s="294" t="s">
        <v>567</v>
      </c>
      <c r="K237" s="315" t="s">
        <v>3005</v>
      </c>
      <c r="L237" s="315" t="s">
        <v>58</v>
      </c>
      <c r="M237" s="292" t="s">
        <v>40</v>
      </c>
      <c r="N237" s="292"/>
      <c r="O237" s="296"/>
      <c r="P237" s="312"/>
      <c r="Q237" s="294"/>
      <c r="R237" s="298"/>
      <c r="S237" s="8"/>
      <c r="T237" s="9"/>
      <c r="U237" s="9"/>
    </row>
    <row r="238" spans="1:21" ht="15.75" hidden="1" thickTop="1">
      <c r="A238" s="299">
        <f t="shared" si="3"/>
        <v>237</v>
      </c>
      <c r="B238" s="323">
        <v>46052</v>
      </c>
      <c r="C238" s="303" t="s">
        <v>3426</v>
      </c>
      <c r="D238" s="303" t="s">
        <v>3427</v>
      </c>
      <c r="E238" s="303" t="s">
        <v>22</v>
      </c>
      <c r="F238" s="303" t="s">
        <v>59</v>
      </c>
      <c r="G238" s="316" t="s">
        <v>3428</v>
      </c>
      <c r="H238" s="305"/>
      <c r="I238" s="316" t="s">
        <v>3429</v>
      </c>
      <c r="J238" s="305" t="s">
        <v>1698</v>
      </c>
      <c r="K238" s="316" t="s">
        <v>3430</v>
      </c>
      <c r="L238" s="303" t="s">
        <v>27</v>
      </c>
      <c r="M238" s="303" t="s">
        <v>28</v>
      </c>
      <c r="N238" s="303" t="s">
        <v>3431</v>
      </c>
      <c r="O238" s="307">
        <v>46052</v>
      </c>
      <c r="P238" s="313">
        <v>125000</v>
      </c>
      <c r="Q238" s="332" t="s">
        <v>70</v>
      </c>
      <c r="R238" s="309"/>
      <c r="S238" s="8"/>
      <c r="T238" s="9"/>
      <c r="U238" s="9"/>
    </row>
    <row r="239" spans="1:21" ht="15.75" hidden="1" thickTop="1">
      <c r="A239" s="288">
        <f t="shared" si="3"/>
        <v>238</v>
      </c>
      <c r="B239" s="322">
        <v>46052</v>
      </c>
      <c r="C239" s="350" t="s">
        <v>3432</v>
      </c>
      <c r="D239" s="292" t="s">
        <v>131</v>
      </c>
      <c r="E239" s="292" t="s">
        <v>22</v>
      </c>
      <c r="F239" s="292" t="s">
        <v>73</v>
      </c>
      <c r="G239" s="315" t="s">
        <v>3433</v>
      </c>
      <c r="H239" s="294">
        <v>9011042521</v>
      </c>
      <c r="I239" s="315" t="s">
        <v>3434</v>
      </c>
      <c r="J239" s="294" t="s">
        <v>56</v>
      </c>
      <c r="K239" s="315" t="s">
        <v>3435</v>
      </c>
      <c r="L239" s="292" t="s">
        <v>27</v>
      </c>
      <c r="M239" s="292" t="s">
        <v>77</v>
      </c>
      <c r="N239" s="292" t="s">
        <v>3436</v>
      </c>
      <c r="O239" s="296">
        <v>46052</v>
      </c>
      <c r="P239" s="351" t="s">
        <v>3437</v>
      </c>
      <c r="Q239" s="294" t="s">
        <v>98</v>
      </c>
      <c r="R239" s="298"/>
      <c r="S239" s="8"/>
      <c r="T239" s="9"/>
      <c r="U239" s="9"/>
    </row>
    <row r="240" spans="1:21" ht="15.75" hidden="1" thickTop="1">
      <c r="A240" s="299">
        <f t="shared" si="3"/>
        <v>239</v>
      </c>
      <c r="B240" s="323">
        <v>46052</v>
      </c>
      <c r="C240" s="303" t="s">
        <v>3438</v>
      </c>
      <c r="D240" s="303" t="s">
        <v>21</v>
      </c>
      <c r="E240" s="303" t="s">
        <v>22</v>
      </c>
      <c r="F240" s="303" t="s">
        <v>23</v>
      </c>
      <c r="G240" s="316" t="s">
        <v>3439</v>
      </c>
      <c r="H240" s="305"/>
      <c r="I240" s="316" t="s">
        <v>3440</v>
      </c>
      <c r="J240" s="305" t="s">
        <v>1698</v>
      </c>
      <c r="K240" s="316" t="s">
        <v>3441</v>
      </c>
      <c r="L240" s="303" t="s">
        <v>27</v>
      </c>
      <c r="M240" s="303" t="s">
        <v>28</v>
      </c>
      <c r="N240" s="303" t="s">
        <v>3442</v>
      </c>
      <c r="O240" s="307">
        <v>46052</v>
      </c>
      <c r="P240" s="313">
        <v>1800000</v>
      </c>
      <c r="Q240" s="332" t="s">
        <v>70</v>
      </c>
      <c r="R240" s="309"/>
      <c r="S240" s="8"/>
      <c r="T240" s="9"/>
      <c r="U240" s="9"/>
    </row>
    <row r="241" spans="1:21" ht="15.75" hidden="1" thickTop="1">
      <c r="A241" s="288">
        <f t="shared" si="3"/>
        <v>240</v>
      </c>
      <c r="B241" s="322">
        <v>46053</v>
      </c>
      <c r="C241" s="292" t="s">
        <v>2335</v>
      </c>
      <c r="D241" s="292" t="s">
        <v>21</v>
      </c>
      <c r="E241" s="292" t="s">
        <v>22</v>
      </c>
      <c r="F241" s="292" t="s">
        <v>59</v>
      </c>
      <c r="G241" s="315" t="s">
        <v>3443</v>
      </c>
      <c r="H241" s="294"/>
      <c r="I241" s="315" t="s">
        <v>3444</v>
      </c>
      <c r="J241" s="294" t="s">
        <v>25</v>
      </c>
      <c r="K241" s="315" t="s">
        <v>3445</v>
      </c>
      <c r="L241" s="292" t="s">
        <v>27</v>
      </c>
      <c r="M241" s="292" t="s">
        <v>28</v>
      </c>
      <c r="N241" s="292" t="s">
        <v>3446</v>
      </c>
      <c r="O241" s="296">
        <v>46053</v>
      </c>
      <c r="P241" s="325">
        <v>694400</v>
      </c>
      <c r="Q241" s="294" t="s">
        <v>30</v>
      </c>
      <c r="R241" s="298"/>
      <c r="S241" s="8"/>
      <c r="T241" s="9"/>
      <c r="U241" s="9"/>
    </row>
    <row r="242" spans="1:21" ht="15.75" hidden="1" thickTop="1">
      <c r="A242" s="299">
        <f t="shared" si="3"/>
        <v>241</v>
      </c>
      <c r="B242" s="323">
        <v>46053</v>
      </c>
      <c r="C242" s="303" t="s">
        <v>3447</v>
      </c>
      <c r="D242" s="303" t="s">
        <v>3448</v>
      </c>
      <c r="E242" s="303" t="s">
        <v>22</v>
      </c>
      <c r="F242" s="303" t="s">
        <v>23</v>
      </c>
      <c r="G242" s="316" t="s">
        <v>3449</v>
      </c>
      <c r="H242" s="305">
        <v>9175109394</v>
      </c>
      <c r="I242" s="316" t="s">
        <v>3450</v>
      </c>
      <c r="J242" s="305" t="s">
        <v>25</v>
      </c>
      <c r="K242" s="316" t="s">
        <v>3451</v>
      </c>
      <c r="L242" s="303" t="s">
        <v>27</v>
      </c>
      <c r="M242" s="303" t="s">
        <v>28</v>
      </c>
      <c r="N242" s="303" t="s">
        <v>3452</v>
      </c>
      <c r="O242" s="307">
        <v>46053</v>
      </c>
      <c r="P242" s="324">
        <v>685000</v>
      </c>
      <c r="Q242" s="305" t="s">
        <v>30</v>
      </c>
      <c r="R242" s="309"/>
      <c r="S242" s="8"/>
      <c r="T242" s="9"/>
      <c r="U242" s="9"/>
    </row>
    <row r="243" spans="1:21" ht="15.75" hidden="1" thickTop="1">
      <c r="A243" s="288">
        <f t="shared" si="3"/>
        <v>242</v>
      </c>
      <c r="B243" s="322">
        <v>46053</v>
      </c>
      <c r="C243" s="292" t="s">
        <v>962</v>
      </c>
      <c r="D243" s="292" t="s">
        <v>3453</v>
      </c>
      <c r="E243" s="292" t="s">
        <v>22</v>
      </c>
      <c r="F243" s="292" t="s">
        <v>32</v>
      </c>
      <c r="G243" s="315" t="s">
        <v>3454</v>
      </c>
      <c r="H243" s="294"/>
      <c r="I243" s="315" t="s">
        <v>3455</v>
      </c>
      <c r="J243" s="294" t="s">
        <v>1698</v>
      </c>
      <c r="K243" s="315" t="s">
        <v>3456</v>
      </c>
      <c r="L243" s="292" t="s">
        <v>74</v>
      </c>
      <c r="M243" s="292" t="s">
        <v>28</v>
      </c>
      <c r="N243" s="292" t="s">
        <v>3457</v>
      </c>
      <c r="O243" s="296">
        <v>46053</v>
      </c>
      <c r="P243" s="319">
        <v>717498</v>
      </c>
      <c r="Q243" s="294" t="s">
        <v>292</v>
      </c>
      <c r="R243" s="298"/>
      <c r="S243" s="8"/>
      <c r="T243" s="9"/>
      <c r="U243" s="9"/>
    </row>
    <row r="244" spans="1:21" ht="15.75" hidden="1" thickTop="1">
      <c r="A244" s="299">
        <f t="shared" si="3"/>
        <v>243</v>
      </c>
      <c r="B244" s="323">
        <v>46053</v>
      </c>
      <c r="C244" s="303" t="s">
        <v>3458</v>
      </c>
      <c r="D244" s="303" t="s">
        <v>3459</v>
      </c>
      <c r="E244" s="303" t="s">
        <v>759</v>
      </c>
      <c r="F244" s="303" t="s">
        <v>23</v>
      </c>
      <c r="G244" s="316" t="s">
        <v>421</v>
      </c>
      <c r="H244" s="305"/>
      <c r="I244" s="316" t="s">
        <v>3460</v>
      </c>
      <c r="J244" s="305" t="s">
        <v>1698</v>
      </c>
      <c r="K244" s="316" t="s">
        <v>3461</v>
      </c>
      <c r="L244" s="303" t="s">
        <v>49</v>
      </c>
      <c r="M244" s="303" t="s">
        <v>2623</v>
      </c>
      <c r="N244" s="303" t="s">
        <v>3462</v>
      </c>
      <c r="O244" s="307">
        <v>46053</v>
      </c>
      <c r="P244" s="313">
        <v>935000</v>
      </c>
      <c r="Q244" s="305" t="s">
        <v>79</v>
      </c>
      <c r="R244" s="309"/>
      <c r="S244" s="8"/>
      <c r="T244" s="9"/>
      <c r="U244" s="9"/>
    </row>
    <row r="245" spans="1:21" ht="15.75" hidden="1" thickTop="1">
      <c r="A245" s="288">
        <f t="shared" si="3"/>
        <v>244</v>
      </c>
      <c r="B245" s="322">
        <v>46053</v>
      </c>
      <c r="C245" s="292" t="s">
        <v>3463</v>
      </c>
      <c r="D245" s="292" t="s">
        <v>2146</v>
      </c>
      <c r="E245" s="292" t="s">
        <v>22</v>
      </c>
      <c r="F245" s="292" t="s">
        <v>44</v>
      </c>
      <c r="G245" s="315" t="s">
        <v>3464</v>
      </c>
      <c r="H245" s="294"/>
      <c r="I245" s="315" t="s">
        <v>3465</v>
      </c>
      <c r="J245" s="294" t="s">
        <v>1698</v>
      </c>
      <c r="K245" s="315" t="s">
        <v>3466</v>
      </c>
      <c r="L245" s="292" t="s">
        <v>74</v>
      </c>
      <c r="M245" s="292" t="s">
        <v>50</v>
      </c>
      <c r="N245" s="292" t="s">
        <v>3467</v>
      </c>
      <c r="O245" s="296">
        <v>46053</v>
      </c>
      <c r="P245" s="319">
        <v>2509958</v>
      </c>
      <c r="Q245" s="294" t="s">
        <v>79</v>
      </c>
      <c r="R245" s="298"/>
      <c r="S245" s="8"/>
      <c r="T245" s="9"/>
      <c r="U245" s="9"/>
    </row>
    <row r="246" spans="1:21" ht="30.75" hidden="1" thickTop="1">
      <c r="A246" s="299">
        <f t="shared" si="3"/>
        <v>245</v>
      </c>
      <c r="B246" s="323">
        <v>46053</v>
      </c>
      <c r="C246" s="303" t="s">
        <v>3468</v>
      </c>
      <c r="D246" s="303" t="s">
        <v>2762</v>
      </c>
      <c r="E246" s="303" t="s">
        <v>22</v>
      </c>
      <c r="F246" s="303" t="s">
        <v>73</v>
      </c>
      <c r="G246" s="338" t="s">
        <v>901</v>
      </c>
      <c r="H246" s="305">
        <v>8329129385</v>
      </c>
      <c r="I246" s="316" t="s">
        <v>3469</v>
      </c>
      <c r="J246" s="305" t="s">
        <v>122</v>
      </c>
      <c r="K246" s="316" t="s">
        <v>3470</v>
      </c>
      <c r="L246" s="316" t="s">
        <v>49</v>
      </c>
      <c r="M246" s="303" t="s">
        <v>2623</v>
      </c>
      <c r="N246" s="303"/>
      <c r="O246" s="307"/>
      <c r="P246" s="317"/>
      <c r="Q246" s="305"/>
      <c r="R246" s="309"/>
      <c r="S246" s="8"/>
      <c r="T246" s="9"/>
      <c r="U246" s="9"/>
    </row>
    <row r="247" spans="1:21" ht="30.75" hidden="1" thickTop="1">
      <c r="A247" s="288">
        <f t="shared" si="3"/>
        <v>246</v>
      </c>
      <c r="B247" s="322">
        <v>46053</v>
      </c>
      <c r="C247" s="292" t="s">
        <v>3471</v>
      </c>
      <c r="D247" s="292" t="s">
        <v>3472</v>
      </c>
      <c r="E247" s="292" t="s">
        <v>143</v>
      </c>
      <c r="F247" s="292" t="s">
        <v>44</v>
      </c>
      <c r="G247" s="339" t="s">
        <v>45</v>
      </c>
      <c r="H247" s="294">
        <v>7753942457</v>
      </c>
      <c r="I247" s="315" t="s">
        <v>3473</v>
      </c>
      <c r="J247" s="294" t="s">
        <v>122</v>
      </c>
      <c r="K247" s="315" t="s">
        <v>3474</v>
      </c>
      <c r="L247" s="315" t="s">
        <v>49</v>
      </c>
      <c r="M247" s="292" t="s">
        <v>2623</v>
      </c>
      <c r="N247" s="292"/>
      <c r="O247" s="296"/>
      <c r="P247" s="312"/>
      <c r="Q247" s="294"/>
      <c r="R247" s="298"/>
      <c r="S247" s="8"/>
      <c r="T247" s="9"/>
      <c r="U247" s="9"/>
    </row>
    <row r="248" spans="1:21" ht="15.75" hidden="1" thickTop="1">
      <c r="A248" s="299">
        <f t="shared" si="3"/>
        <v>247</v>
      </c>
      <c r="B248" s="323">
        <v>46053</v>
      </c>
      <c r="C248" s="323" t="s">
        <v>3475</v>
      </c>
      <c r="D248" s="303" t="s">
        <v>3476</v>
      </c>
      <c r="E248" s="303" t="s">
        <v>416</v>
      </c>
      <c r="F248" s="303" t="s">
        <v>73</v>
      </c>
      <c r="G248" s="338" t="s">
        <v>273</v>
      </c>
      <c r="H248" s="305"/>
      <c r="I248" s="316"/>
      <c r="J248" s="305" t="s">
        <v>63</v>
      </c>
      <c r="K248" s="316" t="s">
        <v>3477</v>
      </c>
      <c r="L248" s="316" t="s">
        <v>49</v>
      </c>
      <c r="M248" s="303" t="s">
        <v>50</v>
      </c>
      <c r="N248" s="303"/>
      <c r="O248" s="307"/>
      <c r="P248" s="317"/>
      <c r="Q248" s="305"/>
      <c r="R248" s="309"/>
      <c r="S248" s="8"/>
      <c r="T248" s="9"/>
      <c r="U248" s="9"/>
    </row>
    <row r="249" spans="1:21" ht="30.75" hidden="1" thickTop="1">
      <c r="A249" s="288">
        <f t="shared" si="3"/>
        <v>248</v>
      </c>
      <c r="B249" s="322">
        <v>46053</v>
      </c>
      <c r="C249" s="292" t="s">
        <v>3478</v>
      </c>
      <c r="D249" s="292" t="s">
        <v>3479</v>
      </c>
      <c r="E249" s="292"/>
      <c r="F249" s="292" t="s">
        <v>73</v>
      </c>
      <c r="G249" s="339" t="s">
        <v>901</v>
      </c>
      <c r="H249" s="294">
        <v>9960541587</v>
      </c>
      <c r="I249" s="315"/>
      <c r="J249" s="294" t="s">
        <v>122</v>
      </c>
      <c r="K249" s="315" t="s">
        <v>3480</v>
      </c>
      <c r="L249" s="292" t="s">
        <v>49</v>
      </c>
      <c r="M249" s="292" t="s">
        <v>50</v>
      </c>
      <c r="N249" s="292"/>
      <c r="O249" s="296"/>
      <c r="P249" s="312"/>
      <c r="Q249" s="294"/>
      <c r="R249" s="298"/>
      <c r="S249" s="8"/>
      <c r="T249" s="9"/>
      <c r="U249" s="9"/>
    </row>
    <row r="250" spans="1:21" ht="15.75" hidden="1" thickTop="1">
      <c r="A250" s="299">
        <f t="shared" si="3"/>
        <v>249</v>
      </c>
      <c r="B250" s="323">
        <v>46053</v>
      </c>
      <c r="C250" s="303"/>
      <c r="D250" s="303" t="s">
        <v>3054</v>
      </c>
      <c r="E250" s="303" t="s">
        <v>3130</v>
      </c>
      <c r="F250" s="303" t="s">
        <v>73</v>
      </c>
      <c r="G250" s="316" t="s">
        <v>3481</v>
      </c>
      <c r="H250" s="305"/>
      <c r="I250" s="303" t="s">
        <v>3482</v>
      </c>
      <c r="J250" s="305" t="s">
        <v>1113</v>
      </c>
      <c r="K250" s="303" t="s">
        <v>3483</v>
      </c>
      <c r="L250" s="303" t="s">
        <v>49</v>
      </c>
      <c r="M250" s="303" t="s">
        <v>50</v>
      </c>
      <c r="N250" s="303"/>
      <c r="O250" s="307"/>
      <c r="P250" s="317"/>
      <c r="Q250" s="305"/>
      <c r="R250" s="309"/>
      <c r="S250" s="8"/>
      <c r="T250" s="9"/>
      <c r="U250" s="9"/>
    </row>
    <row r="251" spans="1:21" ht="15.75" hidden="1" thickTop="1">
      <c r="A251" s="288">
        <f t="shared" si="3"/>
        <v>250</v>
      </c>
      <c r="B251" s="322">
        <v>46053</v>
      </c>
      <c r="C251" s="292" t="s">
        <v>3484</v>
      </c>
      <c r="D251" s="292" t="s">
        <v>3485</v>
      </c>
      <c r="E251" s="292" t="s">
        <v>22</v>
      </c>
      <c r="F251" s="292" t="s">
        <v>44</v>
      </c>
      <c r="G251" s="315" t="s">
        <v>44</v>
      </c>
      <c r="H251" s="294">
        <v>7304842446</v>
      </c>
      <c r="I251" s="315" t="s">
        <v>3486</v>
      </c>
      <c r="J251" s="294" t="s">
        <v>1113</v>
      </c>
      <c r="K251" s="315" t="s">
        <v>3487</v>
      </c>
      <c r="L251" s="292" t="s">
        <v>49</v>
      </c>
      <c r="M251" s="292" t="s">
        <v>50</v>
      </c>
      <c r="N251" s="292"/>
      <c r="O251" s="296"/>
      <c r="P251" s="312"/>
      <c r="Q251" s="294"/>
      <c r="R251" s="298"/>
      <c r="S251" s="8"/>
      <c r="T251" s="9"/>
      <c r="U251" s="9"/>
    </row>
    <row r="252" spans="1:21" ht="15.75" hidden="1" thickTop="1">
      <c r="A252" s="299">
        <f t="shared" si="3"/>
        <v>251</v>
      </c>
      <c r="B252" s="323">
        <v>46053</v>
      </c>
      <c r="C252" s="303"/>
      <c r="D252" s="303" t="s">
        <v>3488</v>
      </c>
      <c r="E252" s="303" t="s">
        <v>199</v>
      </c>
      <c r="F252" s="303" t="s">
        <v>60</v>
      </c>
      <c r="G252" s="316" t="s">
        <v>215</v>
      </c>
      <c r="H252" s="305">
        <v>9829403397</v>
      </c>
      <c r="I252" s="316" t="s">
        <v>3489</v>
      </c>
      <c r="J252" s="305" t="s">
        <v>567</v>
      </c>
      <c r="K252" s="316" t="s">
        <v>3490</v>
      </c>
      <c r="L252" s="303" t="s">
        <v>49</v>
      </c>
      <c r="M252" s="303" t="s">
        <v>40</v>
      </c>
      <c r="N252" s="303"/>
      <c r="O252" s="307"/>
      <c r="P252" s="317"/>
      <c r="Q252" s="305"/>
      <c r="R252" s="309"/>
      <c r="S252" s="8"/>
      <c r="T252" s="9"/>
      <c r="U252" s="9"/>
    </row>
    <row r="253" spans="1:21" ht="15.75" hidden="1" thickTop="1">
      <c r="A253" s="288">
        <f t="shared" si="3"/>
        <v>252</v>
      </c>
      <c r="B253" s="322">
        <v>46053</v>
      </c>
      <c r="C253" s="292" t="s">
        <v>3491</v>
      </c>
      <c r="D253" s="292" t="s">
        <v>3492</v>
      </c>
      <c r="E253" s="292"/>
      <c r="F253" s="292" t="s">
        <v>73</v>
      </c>
      <c r="G253" s="315" t="s">
        <v>3493</v>
      </c>
      <c r="H253" s="294">
        <v>8076303707</v>
      </c>
      <c r="I253" s="315" t="s">
        <v>3494</v>
      </c>
      <c r="J253" s="294" t="s">
        <v>567</v>
      </c>
      <c r="K253" s="315" t="s">
        <v>3495</v>
      </c>
      <c r="L253" s="292" t="s">
        <v>49</v>
      </c>
      <c r="M253" s="292" t="s">
        <v>2623</v>
      </c>
      <c r="N253" s="292"/>
      <c r="O253" s="296"/>
      <c r="P253" s="312"/>
      <c r="Q253" s="294"/>
      <c r="R253" s="298"/>
      <c r="S253" s="8"/>
      <c r="T253" s="9"/>
      <c r="U253" s="9"/>
    </row>
    <row r="254" spans="1:21" ht="15.75" hidden="1" thickTop="1">
      <c r="A254" s="299">
        <f t="shared" si="3"/>
        <v>253</v>
      </c>
      <c r="B254" s="323">
        <v>46054</v>
      </c>
      <c r="C254" s="303" t="s">
        <v>3496</v>
      </c>
      <c r="D254" s="303" t="s">
        <v>3497</v>
      </c>
      <c r="E254" s="303" t="s">
        <v>22</v>
      </c>
      <c r="F254" s="303" t="s">
        <v>60</v>
      </c>
      <c r="G254" s="316" t="s">
        <v>3498</v>
      </c>
      <c r="H254" s="305">
        <v>9819274629</v>
      </c>
      <c r="I254" s="316" t="s">
        <v>3499</v>
      </c>
      <c r="J254" s="305" t="s">
        <v>122</v>
      </c>
      <c r="K254" s="316" t="s">
        <v>3500</v>
      </c>
      <c r="L254" s="303" t="s">
        <v>49</v>
      </c>
      <c r="M254" s="303" t="s">
        <v>40</v>
      </c>
      <c r="N254" s="303"/>
      <c r="O254" s="307"/>
      <c r="P254" s="317"/>
      <c r="Q254" s="305"/>
      <c r="R254" s="309"/>
      <c r="S254" s="8"/>
      <c r="T254" s="9"/>
      <c r="U254" s="9"/>
    </row>
    <row r="255" spans="1:21" ht="15.75" hidden="1" thickTop="1">
      <c r="A255" s="288">
        <f t="shared" si="3"/>
        <v>254</v>
      </c>
      <c r="B255" s="322">
        <v>46054</v>
      </c>
      <c r="C255" s="292" t="s">
        <v>3501</v>
      </c>
      <c r="D255" s="292" t="s">
        <v>3502</v>
      </c>
      <c r="E255" s="292" t="s">
        <v>272</v>
      </c>
      <c r="F255" s="292" t="s">
        <v>60</v>
      </c>
      <c r="G255" s="315" t="s">
        <v>170</v>
      </c>
      <c r="H255" s="294">
        <v>9888036043</v>
      </c>
      <c r="I255" s="315" t="s">
        <v>3503</v>
      </c>
      <c r="J255" s="294" t="s">
        <v>122</v>
      </c>
      <c r="K255" s="315" t="s">
        <v>3504</v>
      </c>
      <c r="L255" s="292" t="s">
        <v>49</v>
      </c>
      <c r="M255" s="292" t="s">
        <v>40</v>
      </c>
      <c r="N255" s="292"/>
      <c r="O255" s="296"/>
      <c r="P255" s="312"/>
      <c r="Q255" s="294"/>
      <c r="R255" s="298"/>
      <c r="S255" s="8"/>
      <c r="T255" s="9"/>
      <c r="U255" s="9"/>
    </row>
    <row r="256" spans="1:21" ht="15.75" hidden="1" thickTop="1">
      <c r="A256" s="299">
        <f t="shared" si="3"/>
        <v>255</v>
      </c>
      <c r="B256" s="323">
        <v>46054</v>
      </c>
      <c r="C256" s="303" t="s">
        <v>3505</v>
      </c>
      <c r="D256" s="303" t="s">
        <v>3506</v>
      </c>
      <c r="E256" s="303" t="s">
        <v>22</v>
      </c>
      <c r="F256" s="303" t="s">
        <v>60</v>
      </c>
      <c r="G256" s="316" t="s">
        <v>180</v>
      </c>
      <c r="H256" s="305">
        <v>9588663005</v>
      </c>
      <c r="I256" s="316" t="s">
        <v>3507</v>
      </c>
      <c r="J256" s="305" t="s">
        <v>567</v>
      </c>
      <c r="K256" s="316" t="s">
        <v>3508</v>
      </c>
      <c r="L256" s="303" t="s">
        <v>49</v>
      </c>
      <c r="M256" s="303" t="s">
        <v>40</v>
      </c>
      <c r="N256" s="303"/>
      <c r="O256" s="307"/>
      <c r="P256" s="317"/>
      <c r="Q256" s="305"/>
      <c r="R256" s="309"/>
      <c r="S256" s="8"/>
      <c r="T256" s="9"/>
      <c r="U256" s="9"/>
    </row>
    <row r="257" spans="1:21" ht="15.75" hidden="1" thickTop="1">
      <c r="A257" s="288">
        <f t="shared" si="3"/>
        <v>256</v>
      </c>
      <c r="B257" s="322">
        <v>46054</v>
      </c>
      <c r="C257" s="292" t="s">
        <v>3509</v>
      </c>
      <c r="D257" s="292" t="s">
        <v>3510</v>
      </c>
      <c r="E257" s="292" t="s">
        <v>193</v>
      </c>
      <c r="F257" s="292" t="s">
        <v>83</v>
      </c>
      <c r="G257" s="315" t="s">
        <v>363</v>
      </c>
      <c r="H257" s="294">
        <v>9227706401</v>
      </c>
      <c r="I257" s="315" t="s">
        <v>3511</v>
      </c>
      <c r="J257" s="294" t="s">
        <v>1113</v>
      </c>
      <c r="K257" s="315" t="s">
        <v>3512</v>
      </c>
      <c r="L257" s="292" t="s">
        <v>49</v>
      </c>
      <c r="M257" s="292" t="s">
        <v>2623</v>
      </c>
      <c r="N257" s="292"/>
      <c r="O257" s="296"/>
      <c r="P257" s="312"/>
      <c r="Q257" s="294"/>
      <c r="R257" s="298"/>
      <c r="S257" s="8"/>
      <c r="T257" s="9"/>
      <c r="U257" s="9"/>
    </row>
    <row r="258" spans="1:21" ht="15.75" hidden="1" thickTop="1">
      <c r="A258" s="299">
        <f t="shared" ref="A258:A321" si="4">ROW()-1</f>
        <v>257</v>
      </c>
      <c r="B258" s="323">
        <v>46054</v>
      </c>
      <c r="C258" s="303"/>
      <c r="D258" s="303" t="s">
        <v>3129</v>
      </c>
      <c r="E258" s="303" t="s">
        <v>3130</v>
      </c>
      <c r="F258" s="303" t="s">
        <v>73</v>
      </c>
      <c r="G258" s="316" t="s">
        <v>2087</v>
      </c>
      <c r="H258" s="305">
        <v>9110226268</v>
      </c>
      <c r="I258" s="314"/>
      <c r="J258" s="305" t="s">
        <v>567</v>
      </c>
      <c r="K258" s="316" t="s">
        <v>3513</v>
      </c>
      <c r="L258" s="303" t="s">
        <v>49</v>
      </c>
      <c r="M258" s="303" t="s">
        <v>50</v>
      </c>
      <c r="N258" s="303"/>
      <c r="O258" s="307"/>
      <c r="P258" s="317"/>
      <c r="Q258" s="305"/>
      <c r="R258" s="309"/>
      <c r="S258" s="8"/>
      <c r="T258" s="9"/>
      <c r="U258" s="9"/>
    </row>
    <row r="259" spans="1:21" ht="15.75" hidden="1" thickTop="1">
      <c r="A259" s="288">
        <f t="shared" si="4"/>
        <v>258</v>
      </c>
      <c r="B259" s="322">
        <v>46054</v>
      </c>
      <c r="C259" s="292" t="s">
        <v>3514</v>
      </c>
      <c r="D259" s="292" t="s">
        <v>131</v>
      </c>
      <c r="E259" s="292" t="s">
        <v>22</v>
      </c>
      <c r="F259" s="292" t="s">
        <v>32</v>
      </c>
      <c r="G259" s="315" t="s">
        <v>3515</v>
      </c>
      <c r="H259" s="294">
        <v>985017117</v>
      </c>
      <c r="I259" s="315" t="s">
        <v>3516</v>
      </c>
      <c r="J259" s="294" t="s">
        <v>1698</v>
      </c>
      <c r="K259" s="315"/>
      <c r="L259" s="292" t="s">
        <v>49</v>
      </c>
      <c r="M259" s="292" t="s">
        <v>28</v>
      </c>
      <c r="N259" s="292" t="s">
        <v>3517</v>
      </c>
      <c r="O259" s="296">
        <v>46054</v>
      </c>
      <c r="P259" s="319">
        <v>467982</v>
      </c>
      <c r="Q259" s="348" t="s">
        <v>70</v>
      </c>
      <c r="R259" s="298"/>
      <c r="S259" s="8"/>
      <c r="T259" s="9"/>
      <c r="U259" s="9"/>
    </row>
    <row r="260" spans="1:21" ht="15.75" hidden="1" thickTop="1">
      <c r="A260" s="299">
        <f t="shared" si="4"/>
        <v>259</v>
      </c>
      <c r="B260" s="323">
        <v>46054</v>
      </c>
      <c r="C260" s="303" t="s">
        <v>3518</v>
      </c>
      <c r="D260" s="303" t="s">
        <v>3519</v>
      </c>
      <c r="E260" s="303" t="s">
        <v>3130</v>
      </c>
      <c r="F260" s="303" t="s">
        <v>73</v>
      </c>
      <c r="G260" s="316" t="s">
        <v>3520</v>
      </c>
      <c r="H260" s="305">
        <v>9995898304</v>
      </c>
      <c r="I260" s="316" t="s">
        <v>3521</v>
      </c>
      <c r="J260" s="305" t="s">
        <v>25</v>
      </c>
      <c r="K260" s="316" t="s">
        <v>3522</v>
      </c>
      <c r="L260" s="303" t="s">
        <v>27</v>
      </c>
      <c r="M260" s="303" t="s">
        <v>28</v>
      </c>
      <c r="N260" s="303" t="s">
        <v>3523</v>
      </c>
      <c r="O260" s="307">
        <v>46054</v>
      </c>
      <c r="P260" s="324">
        <v>669000</v>
      </c>
      <c r="Q260" s="305" t="s">
        <v>30</v>
      </c>
      <c r="R260" s="309"/>
      <c r="S260" s="8"/>
      <c r="T260" s="9"/>
      <c r="U260" s="9"/>
    </row>
    <row r="261" spans="1:21" ht="15.75" hidden="1" thickTop="1">
      <c r="A261" s="288">
        <f t="shared" si="4"/>
        <v>260</v>
      </c>
      <c r="B261" s="322">
        <v>46054</v>
      </c>
      <c r="C261" s="292" t="s">
        <v>3524</v>
      </c>
      <c r="D261" s="292" t="s">
        <v>21</v>
      </c>
      <c r="E261" s="292" t="s">
        <v>22</v>
      </c>
      <c r="F261" s="292" t="s">
        <v>59</v>
      </c>
      <c r="G261" s="315" t="s">
        <v>3525</v>
      </c>
      <c r="H261" s="294">
        <v>9438202725</v>
      </c>
      <c r="I261" s="315" t="s">
        <v>3526</v>
      </c>
      <c r="J261" s="294" t="s">
        <v>1698</v>
      </c>
      <c r="K261" s="315" t="s">
        <v>3527</v>
      </c>
      <c r="L261" s="292" t="s">
        <v>27</v>
      </c>
      <c r="M261" s="292" t="s">
        <v>28</v>
      </c>
      <c r="N261" s="292" t="s">
        <v>3528</v>
      </c>
      <c r="O261" s="296">
        <v>46054</v>
      </c>
      <c r="P261" s="319">
        <v>200000</v>
      </c>
      <c r="Q261" s="348" t="s">
        <v>70</v>
      </c>
      <c r="R261" s="298"/>
      <c r="S261" s="8"/>
      <c r="T261" s="9"/>
      <c r="U261" s="9"/>
    </row>
    <row r="262" spans="1:21" ht="15.75" hidden="1" thickTop="1">
      <c r="A262" s="299">
        <f t="shared" si="4"/>
        <v>261</v>
      </c>
      <c r="B262" s="323">
        <v>46054</v>
      </c>
      <c r="C262" s="303" t="s">
        <v>3524</v>
      </c>
      <c r="D262" s="303" t="s">
        <v>21</v>
      </c>
      <c r="E262" s="303" t="s">
        <v>22</v>
      </c>
      <c r="F262" s="303" t="s">
        <v>83</v>
      </c>
      <c r="G262" s="316" t="s">
        <v>3529</v>
      </c>
      <c r="H262" s="305" t="s">
        <v>3530</v>
      </c>
      <c r="I262" s="316" t="s">
        <v>3531</v>
      </c>
      <c r="J262" s="305" t="s">
        <v>1698</v>
      </c>
      <c r="K262" s="316" t="s">
        <v>3532</v>
      </c>
      <c r="L262" s="303" t="s">
        <v>27</v>
      </c>
      <c r="M262" s="303" t="s">
        <v>28</v>
      </c>
      <c r="N262" s="303" t="s">
        <v>3533</v>
      </c>
      <c r="O262" s="307">
        <v>46054</v>
      </c>
      <c r="P262" s="313">
        <v>1500000</v>
      </c>
      <c r="Q262" s="303" t="s">
        <v>70</v>
      </c>
      <c r="R262" s="309"/>
      <c r="S262" s="8"/>
      <c r="T262" s="9"/>
      <c r="U262" s="9"/>
    </row>
    <row r="263" spans="1:21" ht="15.75" hidden="1" thickTop="1">
      <c r="A263" s="288">
        <f t="shared" si="4"/>
        <v>262</v>
      </c>
      <c r="B263" s="322">
        <v>46055</v>
      </c>
      <c r="C263" s="292" t="s">
        <v>2357</v>
      </c>
      <c r="D263" s="292" t="s">
        <v>21</v>
      </c>
      <c r="E263" s="292" t="s">
        <v>22</v>
      </c>
      <c r="F263" s="292" t="s">
        <v>60</v>
      </c>
      <c r="G263" s="315" t="s">
        <v>3534</v>
      </c>
      <c r="H263" s="294">
        <v>7666717341</v>
      </c>
      <c r="I263" s="315" t="s">
        <v>3535</v>
      </c>
      <c r="J263" s="294" t="s">
        <v>1698</v>
      </c>
      <c r="K263" s="315" t="s">
        <v>3536</v>
      </c>
      <c r="L263" s="292" t="s">
        <v>27</v>
      </c>
      <c r="M263" s="292" t="s">
        <v>40</v>
      </c>
      <c r="N263" s="292" t="s">
        <v>3537</v>
      </c>
      <c r="O263" s="296">
        <v>46055</v>
      </c>
      <c r="P263" s="319">
        <v>175985</v>
      </c>
      <c r="Q263" s="292" t="s">
        <v>292</v>
      </c>
      <c r="R263" s="298"/>
      <c r="S263" s="8"/>
      <c r="T263" s="9"/>
      <c r="U263" s="9"/>
    </row>
    <row r="264" spans="1:21" ht="15.75" hidden="1" thickTop="1">
      <c r="A264" s="299">
        <f t="shared" si="4"/>
        <v>263</v>
      </c>
      <c r="B264" s="323">
        <v>46055</v>
      </c>
      <c r="C264" s="303" t="s">
        <v>3298</v>
      </c>
      <c r="D264" s="303" t="s">
        <v>21</v>
      </c>
      <c r="E264" s="303" t="s">
        <v>22</v>
      </c>
      <c r="F264" s="303" t="s">
        <v>36</v>
      </c>
      <c r="G264" s="316" t="s">
        <v>3538</v>
      </c>
      <c r="H264" s="305"/>
      <c r="I264" s="316" t="s">
        <v>3539</v>
      </c>
      <c r="J264" s="305" t="s">
        <v>1698</v>
      </c>
      <c r="K264" s="316" t="s">
        <v>3540</v>
      </c>
      <c r="L264" s="303" t="s">
        <v>27</v>
      </c>
      <c r="M264" s="303" t="s">
        <v>28</v>
      </c>
      <c r="N264" s="303" t="s">
        <v>3541</v>
      </c>
      <c r="O264" s="307">
        <v>46055</v>
      </c>
      <c r="P264" s="313">
        <v>790000</v>
      </c>
      <c r="Q264" s="303" t="s">
        <v>70</v>
      </c>
      <c r="R264" s="309"/>
      <c r="S264" s="8"/>
      <c r="T264" s="9"/>
      <c r="U264" s="9"/>
    </row>
    <row r="265" spans="1:21" ht="15.75" hidden="1" thickTop="1">
      <c r="A265" s="288">
        <f t="shared" si="4"/>
        <v>264</v>
      </c>
      <c r="B265" s="322">
        <v>46055</v>
      </c>
      <c r="C265" s="292" t="s">
        <v>2335</v>
      </c>
      <c r="D265" s="292" t="s">
        <v>1596</v>
      </c>
      <c r="E265" s="292" t="s">
        <v>22</v>
      </c>
      <c r="F265" s="292" t="s">
        <v>60</v>
      </c>
      <c r="G265" s="315" t="s">
        <v>3542</v>
      </c>
      <c r="H265" s="294"/>
      <c r="I265" s="315" t="s">
        <v>3543</v>
      </c>
      <c r="J265" s="294" t="s">
        <v>25</v>
      </c>
      <c r="K265" s="315" t="s">
        <v>3544</v>
      </c>
      <c r="L265" s="292" t="s">
        <v>27</v>
      </c>
      <c r="M265" s="292" t="s">
        <v>40</v>
      </c>
      <c r="N265" s="292" t="s">
        <v>3545</v>
      </c>
      <c r="O265" s="296">
        <v>46055</v>
      </c>
      <c r="P265" s="325">
        <v>168770</v>
      </c>
      <c r="Q265" s="294" t="s">
        <v>30</v>
      </c>
      <c r="R265" s="298"/>
      <c r="S265" s="8"/>
      <c r="T265" s="9"/>
      <c r="U265" s="9"/>
    </row>
    <row r="266" spans="1:21" ht="15.75" hidden="1" thickTop="1">
      <c r="A266" s="299">
        <f t="shared" si="4"/>
        <v>265</v>
      </c>
      <c r="B266" s="323">
        <v>46055</v>
      </c>
      <c r="C266" s="303" t="s">
        <v>3546</v>
      </c>
      <c r="D266" s="303" t="s">
        <v>3547</v>
      </c>
      <c r="E266" s="303" t="s">
        <v>22</v>
      </c>
      <c r="F266" s="303" t="s">
        <v>23</v>
      </c>
      <c r="G266" s="316" t="s">
        <v>3548</v>
      </c>
      <c r="H266" s="305">
        <v>8855803220</v>
      </c>
      <c r="I266" s="316" t="s">
        <v>3549</v>
      </c>
      <c r="J266" s="305" t="s">
        <v>1698</v>
      </c>
      <c r="K266" s="316" t="s">
        <v>3550</v>
      </c>
      <c r="L266" s="303" t="s">
        <v>27</v>
      </c>
      <c r="M266" s="303" t="s">
        <v>50</v>
      </c>
      <c r="N266" s="303" t="s">
        <v>3551</v>
      </c>
      <c r="O266" s="307">
        <v>46055</v>
      </c>
      <c r="P266" s="313">
        <v>885000</v>
      </c>
      <c r="Q266" s="332" t="s">
        <v>302</v>
      </c>
      <c r="R266" s="309" t="s">
        <v>3552</v>
      </c>
      <c r="S266" s="8"/>
      <c r="T266" s="9"/>
      <c r="U266" s="9"/>
    </row>
    <row r="267" spans="1:21" ht="15.75" hidden="1" thickTop="1">
      <c r="A267" s="288">
        <f t="shared" si="4"/>
        <v>266</v>
      </c>
      <c r="B267" s="322">
        <v>46055</v>
      </c>
      <c r="C267" s="292" t="s">
        <v>3553</v>
      </c>
      <c r="D267" s="292" t="s">
        <v>3554</v>
      </c>
      <c r="E267" s="292" t="s">
        <v>22</v>
      </c>
      <c r="F267" s="292" t="s">
        <v>73</v>
      </c>
      <c r="G267" s="315" t="s">
        <v>3555</v>
      </c>
      <c r="H267" s="294"/>
      <c r="I267" s="315" t="s">
        <v>3556</v>
      </c>
      <c r="J267" s="294" t="s">
        <v>56</v>
      </c>
      <c r="K267" s="315" t="s">
        <v>3557</v>
      </c>
      <c r="L267" s="292" t="s">
        <v>27</v>
      </c>
      <c r="M267" s="292" t="s">
        <v>50</v>
      </c>
      <c r="N267" s="292" t="s">
        <v>3558</v>
      </c>
      <c r="O267" s="296">
        <v>46055</v>
      </c>
      <c r="P267" s="352">
        <v>1000000</v>
      </c>
      <c r="Q267" s="348" t="s">
        <v>98</v>
      </c>
      <c r="R267" s="298"/>
      <c r="S267" s="8"/>
      <c r="T267" s="9"/>
      <c r="U267" s="9"/>
    </row>
    <row r="268" spans="1:21" ht="15.75" hidden="1" thickTop="1">
      <c r="A268" s="299">
        <f t="shared" si="4"/>
        <v>267</v>
      </c>
      <c r="B268" s="323">
        <v>46056</v>
      </c>
      <c r="C268" s="303" t="s">
        <v>3559</v>
      </c>
      <c r="D268" s="303" t="s">
        <v>3560</v>
      </c>
      <c r="E268" s="303" t="s">
        <v>22</v>
      </c>
      <c r="F268" s="303" t="s">
        <v>59</v>
      </c>
      <c r="G268" s="316" t="s">
        <v>3561</v>
      </c>
      <c r="H268" s="305">
        <v>8349101121</v>
      </c>
      <c r="I268" s="316" t="s">
        <v>3562</v>
      </c>
      <c r="J268" s="305" t="s">
        <v>1698</v>
      </c>
      <c r="K268" s="316" t="s">
        <v>1570</v>
      </c>
      <c r="L268" s="303" t="s">
        <v>27</v>
      </c>
      <c r="M268" s="303" t="s">
        <v>28</v>
      </c>
      <c r="N268" s="303" t="s">
        <v>3563</v>
      </c>
      <c r="O268" s="307">
        <v>46056</v>
      </c>
      <c r="P268" s="313">
        <v>1660000</v>
      </c>
      <c r="Q268" s="305" t="s">
        <v>79</v>
      </c>
      <c r="R268" s="309"/>
      <c r="S268" s="8"/>
      <c r="T268" s="9"/>
      <c r="U268" s="9"/>
    </row>
    <row r="269" spans="1:21" ht="15.75" hidden="1" thickTop="1">
      <c r="A269" s="288">
        <f t="shared" si="4"/>
        <v>268</v>
      </c>
      <c r="B269" s="322">
        <v>46056</v>
      </c>
      <c r="C269" s="292" t="s">
        <v>3564</v>
      </c>
      <c r="D269" s="292" t="s">
        <v>293</v>
      </c>
      <c r="E269" s="292" t="s">
        <v>22</v>
      </c>
      <c r="F269" s="292" t="s">
        <v>73</v>
      </c>
      <c r="G269" s="315" t="s">
        <v>3565</v>
      </c>
      <c r="H269" s="294">
        <v>7021770499</v>
      </c>
      <c r="I269" s="315" t="s">
        <v>3566</v>
      </c>
      <c r="J269" s="294" t="s">
        <v>1698</v>
      </c>
      <c r="K269" s="315" t="s">
        <v>3567</v>
      </c>
      <c r="L269" s="292" t="s">
        <v>27</v>
      </c>
      <c r="M269" s="292" t="s">
        <v>40</v>
      </c>
      <c r="N269" s="292" t="s">
        <v>3568</v>
      </c>
      <c r="O269" s="296">
        <v>46056</v>
      </c>
      <c r="P269" s="319">
        <v>3097785</v>
      </c>
      <c r="Q269" s="348" t="s">
        <v>292</v>
      </c>
      <c r="R269" s="298"/>
      <c r="S269" s="8"/>
      <c r="T269" s="9"/>
      <c r="U269" s="9"/>
    </row>
    <row r="270" spans="1:21" ht="15.75" hidden="1" thickTop="1">
      <c r="A270" s="299">
        <f t="shared" si="4"/>
        <v>269</v>
      </c>
      <c r="B270" s="323">
        <v>46055</v>
      </c>
      <c r="C270" s="303" t="s">
        <v>3569</v>
      </c>
      <c r="D270" s="303" t="s">
        <v>3570</v>
      </c>
      <c r="E270" s="303" t="s">
        <v>143</v>
      </c>
      <c r="F270" s="303" t="s">
        <v>73</v>
      </c>
      <c r="G270" s="316" t="s">
        <v>3571</v>
      </c>
      <c r="H270" s="305">
        <v>9971263279</v>
      </c>
      <c r="I270" s="316" t="s">
        <v>3572</v>
      </c>
      <c r="J270" s="305" t="s">
        <v>567</v>
      </c>
      <c r="K270" s="316" t="s">
        <v>3573</v>
      </c>
      <c r="L270" s="303" t="s">
        <v>49</v>
      </c>
      <c r="M270" s="303" t="s">
        <v>50</v>
      </c>
      <c r="N270" s="303"/>
      <c r="O270" s="307"/>
      <c r="P270" s="317"/>
      <c r="Q270" s="305"/>
      <c r="R270" s="309"/>
      <c r="S270" s="8"/>
      <c r="T270" s="9"/>
      <c r="U270" s="9"/>
    </row>
    <row r="271" spans="1:21" ht="15.75" hidden="1" thickTop="1">
      <c r="A271" s="288">
        <f t="shared" si="4"/>
        <v>270</v>
      </c>
      <c r="B271" s="322">
        <v>46055</v>
      </c>
      <c r="C271" s="292" t="s">
        <v>3574</v>
      </c>
      <c r="D271" s="292" t="s">
        <v>3575</v>
      </c>
      <c r="E271" s="292" t="s">
        <v>22</v>
      </c>
      <c r="F271" s="292" t="s">
        <v>83</v>
      </c>
      <c r="G271" s="315" t="s">
        <v>363</v>
      </c>
      <c r="H271" s="294">
        <v>9359082879</v>
      </c>
      <c r="I271" s="315" t="s">
        <v>3576</v>
      </c>
      <c r="J271" s="294" t="s">
        <v>1698</v>
      </c>
      <c r="K271" s="315" t="s">
        <v>3577</v>
      </c>
      <c r="L271" s="292" t="s">
        <v>27</v>
      </c>
      <c r="M271" s="292" t="s">
        <v>2623</v>
      </c>
      <c r="N271" s="292"/>
      <c r="O271" s="296"/>
      <c r="P271" s="312"/>
      <c r="Q271" s="294"/>
      <c r="R271" s="298"/>
      <c r="S271" s="8"/>
      <c r="T271" s="9"/>
      <c r="U271" s="9"/>
    </row>
    <row r="272" spans="1:21" ht="15.75" hidden="1" thickTop="1">
      <c r="A272" s="299">
        <f t="shared" si="4"/>
        <v>271</v>
      </c>
      <c r="B272" s="323">
        <v>46055</v>
      </c>
      <c r="C272" s="303" t="s">
        <v>3578</v>
      </c>
      <c r="D272" s="303" t="s">
        <v>2762</v>
      </c>
      <c r="E272" s="303" t="s">
        <v>22</v>
      </c>
      <c r="F272" s="303" t="s">
        <v>73</v>
      </c>
      <c r="G272" s="316" t="s">
        <v>273</v>
      </c>
      <c r="H272" s="305">
        <v>7276105672</v>
      </c>
      <c r="I272" s="316"/>
      <c r="J272" s="305" t="s">
        <v>122</v>
      </c>
      <c r="K272" s="316" t="s">
        <v>3579</v>
      </c>
      <c r="L272" s="303" t="s">
        <v>49</v>
      </c>
      <c r="M272" s="303" t="s">
        <v>50</v>
      </c>
      <c r="N272" s="303"/>
      <c r="O272" s="307"/>
      <c r="P272" s="317"/>
      <c r="Q272" s="305"/>
      <c r="R272" s="309"/>
      <c r="S272" s="8"/>
      <c r="T272" s="9"/>
      <c r="U272" s="9"/>
    </row>
    <row r="273" spans="1:21" ht="15.75" hidden="1" thickTop="1">
      <c r="A273" s="288">
        <f t="shared" si="4"/>
        <v>272</v>
      </c>
      <c r="B273" s="322">
        <v>46055</v>
      </c>
      <c r="C273" s="292" t="s">
        <v>3580</v>
      </c>
      <c r="D273" s="292" t="s">
        <v>3581</v>
      </c>
      <c r="E273" s="292" t="s">
        <v>193</v>
      </c>
      <c r="F273" s="292" t="s">
        <v>73</v>
      </c>
      <c r="G273" s="315" t="s">
        <v>3582</v>
      </c>
      <c r="H273" s="294">
        <v>9274496151</v>
      </c>
      <c r="I273" s="315" t="s">
        <v>3583</v>
      </c>
      <c r="J273" s="294" t="s">
        <v>567</v>
      </c>
      <c r="K273" s="315" t="s">
        <v>3584</v>
      </c>
      <c r="L273" s="292" t="s">
        <v>49</v>
      </c>
      <c r="M273" s="292" t="s">
        <v>2623</v>
      </c>
      <c r="N273" s="292"/>
      <c r="O273" s="296"/>
      <c r="P273" s="312"/>
      <c r="Q273" s="294"/>
      <c r="R273" s="298"/>
      <c r="S273" s="8"/>
      <c r="T273" s="9"/>
      <c r="U273" s="9"/>
    </row>
    <row r="274" spans="1:21" ht="15.75" hidden="1" thickTop="1">
      <c r="A274" s="299">
        <f t="shared" si="4"/>
        <v>273</v>
      </c>
      <c r="B274" s="323">
        <v>46055</v>
      </c>
      <c r="C274" s="303" t="s">
        <v>3585</v>
      </c>
      <c r="D274" s="303" t="s">
        <v>2762</v>
      </c>
      <c r="E274" s="303" t="s">
        <v>22</v>
      </c>
      <c r="F274" s="303" t="s">
        <v>73</v>
      </c>
      <c r="G274" s="316" t="s">
        <v>3586</v>
      </c>
      <c r="H274" s="305">
        <v>9545487854</v>
      </c>
      <c r="I274" s="316" t="s">
        <v>3587</v>
      </c>
      <c r="J274" s="305" t="s">
        <v>122</v>
      </c>
      <c r="K274" s="316" t="s">
        <v>3588</v>
      </c>
      <c r="L274" s="303" t="s">
        <v>49</v>
      </c>
      <c r="M274" s="303" t="s">
        <v>50</v>
      </c>
      <c r="N274" s="303"/>
      <c r="O274" s="307"/>
      <c r="P274" s="317"/>
      <c r="Q274" s="305"/>
      <c r="R274" s="309"/>
      <c r="S274" s="8"/>
      <c r="T274" s="9"/>
      <c r="U274" s="9"/>
    </row>
    <row r="275" spans="1:21" ht="15.75" hidden="1" thickTop="1">
      <c r="A275" s="288">
        <f t="shared" si="4"/>
        <v>274</v>
      </c>
      <c r="B275" s="322">
        <v>46055</v>
      </c>
      <c r="C275" s="292"/>
      <c r="D275" s="292" t="s">
        <v>3589</v>
      </c>
      <c r="E275" s="292" t="s">
        <v>193</v>
      </c>
      <c r="F275" s="292" t="s">
        <v>60</v>
      </c>
      <c r="G275" s="315" t="s">
        <v>244</v>
      </c>
      <c r="H275" s="294">
        <v>8460547657</v>
      </c>
      <c r="I275" s="295"/>
      <c r="J275" s="294" t="s">
        <v>567</v>
      </c>
      <c r="K275" s="315" t="s">
        <v>3590</v>
      </c>
      <c r="L275" s="292" t="s">
        <v>49</v>
      </c>
      <c r="M275" s="292" t="s">
        <v>40</v>
      </c>
      <c r="N275" s="292"/>
      <c r="O275" s="296"/>
      <c r="P275" s="312"/>
      <c r="Q275" s="294"/>
      <c r="R275" s="298"/>
      <c r="S275" s="8"/>
      <c r="T275" s="9"/>
      <c r="U275" s="9"/>
    </row>
    <row r="276" spans="1:21" ht="15.75" hidden="1" thickTop="1">
      <c r="A276" s="299">
        <f t="shared" si="4"/>
        <v>275</v>
      </c>
      <c r="B276" s="323">
        <v>46056</v>
      </c>
      <c r="C276" s="303" t="s">
        <v>3591</v>
      </c>
      <c r="D276" s="303" t="s">
        <v>3592</v>
      </c>
      <c r="E276" s="303" t="s">
        <v>22</v>
      </c>
      <c r="F276" s="303" t="s">
        <v>73</v>
      </c>
      <c r="G276" s="316" t="s">
        <v>3593</v>
      </c>
      <c r="H276" s="305">
        <v>7972987766</v>
      </c>
      <c r="I276" s="316" t="s">
        <v>3594</v>
      </c>
      <c r="J276" s="305" t="s">
        <v>63</v>
      </c>
      <c r="K276" s="316" t="s">
        <v>3595</v>
      </c>
      <c r="L276" s="303" t="s">
        <v>49</v>
      </c>
      <c r="M276" s="303" t="s">
        <v>50</v>
      </c>
      <c r="N276" s="303"/>
      <c r="O276" s="307"/>
      <c r="P276" s="317"/>
      <c r="Q276" s="305"/>
      <c r="R276" s="309"/>
      <c r="S276" s="8"/>
      <c r="T276" s="9"/>
      <c r="U276" s="9"/>
    </row>
    <row r="277" spans="1:21" ht="15.75" hidden="1" thickTop="1">
      <c r="A277" s="288">
        <f t="shared" si="4"/>
        <v>276</v>
      </c>
      <c r="B277" s="322">
        <v>46056</v>
      </c>
      <c r="C277" s="292" t="s">
        <v>3596</v>
      </c>
      <c r="D277" s="292" t="s">
        <v>3597</v>
      </c>
      <c r="E277" s="292" t="s">
        <v>193</v>
      </c>
      <c r="F277" s="292" t="s">
        <v>23</v>
      </c>
      <c r="G277" s="315" t="s">
        <v>1188</v>
      </c>
      <c r="H277" s="294">
        <v>9510173437</v>
      </c>
      <c r="I277" s="292" t="s">
        <v>3598</v>
      </c>
      <c r="J277" s="294" t="s">
        <v>122</v>
      </c>
      <c r="K277" s="315" t="s">
        <v>3599</v>
      </c>
      <c r="L277" s="292" t="s">
        <v>49</v>
      </c>
      <c r="M277" s="292" t="s">
        <v>2623</v>
      </c>
      <c r="N277" s="292"/>
      <c r="O277" s="296"/>
      <c r="P277" s="312"/>
      <c r="Q277" s="294"/>
      <c r="R277" s="298"/>
      <c r="S277" s="8"/>
      <c r="T277" s="9"/>
      <c r="U277" s="9"/>
    </row>
    <row r="278" spans="1:21" ht="15.75" hidden="1" thickTop="1">
      <c r="A278" s="299">
        <f t="shared" si="4"/>
        <v>277</v>
      </c>
      <c r="B278" s="323">
        <v>46056</v>
      </c>
      <c r="C278" s="316" t="s">
        <v>1188</v>
      </c>
      <c r="D278" s="316" t="s">
        <v>2743</v>
      </c>
      <c r="E278" s="303" t="s">
        <v>193</v>
      </c>
      <c r="F278" s="303" t="s">
        <v>23</v>
      </c>
      <c r="G278" s="316" t="s">
        <v>1188</v>
      </c>
      <c r="H278" s="305">
        <v>8866380848</v>
      </c>
      <c r="I278" s="316" t="s">
        <v>3600</v>
      </c>
      <c r="J278" s="305" t="s">
        <v>122</v>
      </c>
      <c r="K278" s="316" t="s">
        <v>3601</v>
      </c>
      <c r="L278" s="303" t="s">
        <v>49</v>
      </c>
      <c r="M278" s="303" t="s">
        <v>2623</v>
      </c>
      <c r="N278" s="303"/>
      <c r="O278" s="307"/>
      <c r="P278" s="317"/>
      <c r="Q278" s="305"/>
      <c r="R278" s="309"/>
      <c r="S278" s="8"/>
      <c r="T278" s="9"/>
      <c r="U278" s="9"/>
    </row>
    <row r="279" spans="1:21" ht="15.75" hidden="1" thickTop="1">
      <c r="A279" s="288">
        <f t="shared" si="4"/>
        <v>278</v>
      </c>
      <c r="B279" s="322">
        <v>46056</v>
      </c>
      <c r="C279" s="315" t="s">
        <v>3591</v>
      </c>
      <c r="D279" s="315" t="s">
        <v>3592</v>
      </c>
      <c r="E279" s="292" t="s">
        <v>22</v>
      </c>
      <c r="F279" s="292" t="s">
        <v>60</v>
      </c>
      <c r="G279" s="315" t="s">
        <v>3602</v>
      </c>
      <c r="H279" s="294">
        <v>7972987766</v>
      </c>
      <c r="I279" s="315" t="s">
        <v>3594</v>
      </c>
      <c r="J279" s="294" t="s">
        <v>56</v>
      </c>
      <c r="K279" s="315" t="s">
        <v>3595</v>
      </c>
      <c r="L279" s="292" t="s">
        <v>49</v>
      </c>
      <c r="M279" s="292" t="s">
        <v>40</v>
      </c>
      <c r="N279" s="292"/>
      <c r="O279" s="296"/>
      <c r="P279" s="312"/>
      <c r="Q279" s="294"/>
      <c r="R279" s="298"/>
      <c r="S279" s="8"/>
      <c r="T279" s="9"/>
      <c r="U279" s="9"/>
    </row>
    <row r="280" spans="1:21" ht="15.75" hidden="1" thickTop="1">
      <c r="A280" s="299">
        <f t="shared" si="4"/>
        <v>279</v>
      </c>
      <c r="B280" s="323">
        <v>46056</v>
      </c>
      <c r="C280" s="303" t="s">
        <v>3596</v>
      </c>
      <c r="D280" s="303" t="s">
        <v>3597</v>
      </c>
      <c r="E280" s="303" t="s">
        <v>193</v>
      </c>
      <c r="F280" s="303" t="s">
        <v>60</v>
      </c>
      <c r="G280" s="316" t="s">
        <v>180</v>
      </c>
      <c r="H280" s="305">
        <v>9510173437</v>
      </c>
      <c r="I280" s="314"/>
      <c r="J280" s="305" t="s">
        <v>567</v>
      </c>
      <c r="K280" s="316"/>
      <c r="L280" s="303" t="s">
        <v>49</v>
      </c>
      <c r="M280" s="303" t="s">
        <v>40</v>
      </c>
      <c r="N280" s="303"/>
      <c r="O280" s="307"/>
      <c r="P280" s="317"/>
      <c r="Q280" s="305"/>
      <c r="R280" s="309"/>
      <c r="S280" s="8"/>
      <c r="T280" s="9"/>
      <c r="U280" s="9"/>
    </row>
    <row r="281" spans="1:21" ht="15.75" hidden="1" thickTop="1">
      <c r="A281" s="288">
        <f t="shared" si="4"/>
        <v>280</v>
      </c>
      <c r="B281" s="322">
        <v>46056</v>
      </c>
      <c r="C281" s="292" t="s">
        <v>3603</v>
      </c>
      <c r="D281" s="292" t="s">
        <v>3604</v>
      </c>
      <c r="E281" s="292" t="s">
        <v>22</v>
      </c>
      <c r="F281" s="292" t="s">
        <v>60</v>
      </c>
      <c r="G281" s="315" t="s">
        <v>3605</v>
      </c>
      <c r="H281" s="294">
        <v>9607590325</v>
      </c>
      <c r="I281" s="315" t="s">
        <v>3606</v>
      </c>
      <c r="J281" s="294" t="s">
        <v>122</v>
      </c>
      <c r="K281" s="315" t="s">
        <v>3607</v>
      </c>
      <c r="L281" s="292" t="s">
        <v>49</v>
      </c>
      <c r="M281" s="292" t="s">
        <v>40</v>
      </c>
      <c r="N281" s="292"/>
      <c r="O281" s="296"/>
      <c r="P281" s="312"/>
      <c r="Q281" s="294"/>
      <c r="R281" s="298"/>
      <c r="S281" s="8"/>
      <c r="T281" s="9"/>
      <c r="U281" s="9"/>
    </row>
    <row r="282" spans="1:21" ht="15.75" hidden="1" thickTop="1">
      <c r="A282" s="299">
        <f t="shared" si="4"/>
        <v>281</v>
      </c>
      <c r="B282" s="323">
        <v>46056</v>
      </c>
      <c r="C282" s="303" t="s">
        <v>3608</v>
      </c>
      <c r="D282" s="303" t="s">
        <v>3386</v>
      </c>
      <c r="E282" s="303" t="s">
        <v>22</v>
      </c>
      <c r="F282" s="316" t="s">
        <v>60</v>
      </c>
      <c r="G282" s="303" t="s">
        <v>3609</v>
      </c>
      <c r="H282" s="305">
        <v>6361166196</v>
      </c>
      <c r="I282" s="316"/>
      <c r="J282" s="305" t="s">
        <v>122</v>
      </c>
      <c r="K282" s="316"/>
      <c r="L282" s="303" t="s">
        <v>49</v>
      </c>
      <c r="M282" s="303" t="s">
        <v>40</v>
      </c>
      <c r="N282" s="303"/>
      <c r="O282" s="307"/>
      <c r="P282" s="317"/>
      <c r="Q282" s="305"/>
      <c r="R282" s="309"/>
      <c r="S282" s="8"/>
      <c r="T282" s="9"/>
      <c r="U282" s="9"/>
    </row>
    <row r="283" spans="1:21" ht="15.75" hidden="1" thickTop="1">
      <c r="A283" s="288">
        <f t="shared" si="4"/>
        <v>282</v>
      </c>
      <c r="B283" s="322">
        <v>46056</v>
      </c>
      <c r="C283" s="292" t="s">
        <v>3610</v>
      </c>
      <c r="D283" s="292" t="s">
        <v>3611</v>
      </c>
      <c r="E283" s="292" t="s">
        <v>22</v>
      </c>
      <c r="F283" s="292" t="s">
        <v>44</v>
      </c>
      <c r="G283" s="315" t="s">
        <v>44</v>
      </c>
      <c r="H283" s="294">
        <v>9867424987</v>
      </c>
      <c r="I283" s="315" t="s">
        <v>3612</v>
      </c>
      <c r="J283" s="294" t="s">
        <v>122</v>
      </c>
      <c r="K283" s="315" t="s">
        <v>3613</v>
      </c>
      <c r="L283" s="292" t="s">
        <v>49</v>
      </c>
      <c r="M283" s="292" t="s">
        <v>2623</v>
      </c>
      <c r="N283" s="292"/>
      <c r="O283" s="296"/>
      <c r="P283" s="312"/>
      <c r="Q283" s="294"/>
      <c r="R283" s="298"/>
      <c r="S283" s="8"/>
      <c r="T283" s="9"/>
      <c r="U283" s="9"/>
    </row>
    <row r="284" spans="1:21" ht="15.75" hidden="1" thickTop="1">
      <c r="A284" s="299">
        <f t="shared" si="4"/>
        <v>283</v>
      </c>
      <c r="B284" s="323">
        <v>46057</v>
      </c>
      <c r="C284" s="303" t="s">
        <v>3614</v>
      </c>
      <c r="D284" s="303" t="s">
        <v>3615</v>
      </c>
      <c r="E284" s="303" t="s">
        <v>741</v>
      </c>
      <c r="F284" s="303" t="s">
        <v>59</v>
      </c>
      <c r="G284" s="316" t="s">
        <v>3616</v>
      </c>
      <c r="H284" s="305">
        <v>9031656641</v>
      </c>
      <c r="I284" s="316" t="s">
        <v>3617</v>
      </c>
      <c r="J284" s="305" t="s">
        <v>1698</v>
      </c>
      <c r="K284" s="316" t="s">
        <v>3618</v>
      </c>
      <c r="L284" s="303" t="s">
        <v>27</v>
      </c>
      <c r="M284" s="303" t="s">
        <v>2623</v>
      </c>
      <c r="N284" s="303" t="s">
        <v>3619</v>
      </c>
      <c r="O284" s="307">
        <v>46057</v>
      </c>
      <c r="P284" s="313">
        <v>3000000</v>
      </c>
      <c r="Q284" s="332" t="s">
        <v>70</v>
      </c>
      <c r="R284" s="309"/>
      <c r="S284" s="8"/>
      <c r="T284" s="9"/>
      <c r="U284" s="9"/>
    </row>
    <row r="285" spans="1:21" ht="15.75" hidden="1" thickTop="1">
      <c r="A285" s="288">
        <f t="shared" si="4"/>
        <v>284</v>
      </c>
      <c r="B285" s="322">
        <v>46057</v>
      </c>
      <c r="C285" s="292" t="s">
        <v>3620</v>
      </c>
      <c r="D285" s="292" t="s">
        <v>3621</v>
      </c>
      <c r="E285" s="292" t="s">
        <v>22</v>
      </c>
      <c r="F285" s="292" t="s">
        <v>32</v>
      </c>
      <c r="G285" s="315" t="s">
        <v>3622</v>
      </c>
      <c r="H285" s="294"/>
      <c r="I285" s="315" t="s">
        <v>3623</v>
      </c>
      <c r="J285" s="294" t="s">
        <v>56</v>
      </c>
      <c r="K285" s="315" t="s">
        <v>1597</v>
      </c>
      <c r="L285" s="292" t="s">
        <v>49</v>
      </c>
      <c r="M285" s="292" t="s">
        <v>50</v>
      </c>
      <c r="N285" s="292" t="s">
        <v>3624</v>
      </c>
      <c r="O285" s="296">
        <v>46057</v>
      </c>
      <c r="P285" s="325">
        <v>893894</v>
      </c>
      <c r="Q285" s="348" t="s">
        <v>98</v>
      </c>
      <c r="R285" s="298"/>
      <c r="S285" s="8"/>
      <c r="T285" s="9"/>
      <c r="U285" s="9"/>
    </row>
    <row r="286" spans="1:21" ht="15.75" hidden="1" thickTop="1">
      <c r="A286" s="299">
        <f t="shared" si="4"/>
        <v>285</v>
      </c>
      <c r="B286" s="323">
        <v>46057</v>
      </c>
      <c r="C286" s="303" t="s">
        <v>3625</v>
      </c>
      <c r="D286" s="303" t="s">
        <v>3626</v>
      </c>
      <c r="E286" s="303" t="s">
        <v>143</v>
      </c>
      <c r="F286" s="303" t="s">
        <v>73</v>
      </c>
      <c r="G286" s="316" t="s">
        <v>3627</v>
      </c>
      <c r="H286" s="305">
        <v>7985566795</v>
      </c>
      <c r="I286" s="316" t="s">
        <v>3628</v>
      </c>
      <c r="J286" s="305" t="s">
        <v>567</v>
      </c>
      <c r="K286" s="316" t="s">
        <v>3629</v>
      </c>
      <c r="L286" s="303" t="s">
        <v>49</v>
      </c>
      <c r="M286" s="303" t="s">
        <v>50</v>
      </c>
      <c r="N286" s="303"/>
      <c r="O286" s="307"/>
      <c r="P286" s="317"/>
      <c r="Q286" s="305"/>
      <c r="R286" s="309"/>
      <c r="S286" s="8"/>
      <c r="T286" s="9"/>
      <c r="U286" s="9"/>
    </row>
    <row r="287" spans="1:21" ht="15.75" hidden="1" thickTop="1">
      <c r="A287" s="288">
        <f t="shared" si="4"/>
        <v>286</v>
      </c>
      <c r="B287" s="322">
        <v>46057</v>
      </c>
      <c r="C287" s="292" t="s">
        <v>3630</v>
      </c>
      <c r="D287" s="292" t="s">
        <v>2762</v>
      </c>
      <c r="E287" s="292" t="s">
        <v>22</v>
      </c>
      <c r="F287" s="292" t="s">
        <v>44</v>
      </c>
      <c r="G287" s="315" t="s">
        <v>2791</v>
      </c>
      <c r="H287" s="294">
        <v>8094725854</v>
      </c>
      <c r="I287" s="292" t="s">
        <v>3631</v>
      </c>
      <c r="J287" s="294" t="s">
        <v>567</v>
      </c>
      <c r="K287" s="315" t="s">
        <v>3630</v>
      </c>
      <c r="L287" s="292" t="s">
        <v>49</v>
      </c>
      <c r="M287" s="292" t="s">
        <v>50</v>
      </c>
      <c r="N287" s="292"/>
      <c r="O287" s="296"/>
      <c r="P287" s="312"/>
      <c r="Q287" s="294"/>
      <c r="R287" s="298"/>
      <c r="S287" s="8"/>
      <c r="T287" s="9"/>
      <c r="U287" s="9"/>
    </row>
    <row r="288" spans="1:21" ht="15.75" hidden="1" thickTop="1">
      <c r="A288" s="299">
        <f t="shared" si="4"/>
        <v>287</v>
      </c>
      <c r="B288" s="323">
        <v>46057</v>
      </c>
      <c r="C288" s="303" t="s">
        <v>3632</v>
      </c>
      <c r="D288" s="303" t="s">
        <v>3633</v>
      </c>
      <c r="E288" s="303"/>
      <c r="F288" s="303" t="s">
        <v>73</v>
      </c>
      <c r="G288" s="316" t="s">
        <v>2998</v>
      </c>
      <c r="H288" s="305">
        <v>8899698688</v>
      </c>
      <c r="I288" s="316" t="s">
        <v>3634</v>
      </c>
      <c r="J288" s="305" t="s">
        <v>122</v>
      </c>
      <c r="K288" s="316" t="s">
        <v>3635</v>
      </c>
      <c r="L288" s="303" t="s">
        <v>49</v>
      </c>
      <c r="M288" s="316" t="s">
        <v>2623</v>
      </c>
      <c r="N288" s="303"/>
      <c r="O288" s="307"/>
      <c r="P288" s="317"/>
      <c r="Q288" s="305"/>
      <c r="R288" s="309"/>
      <c r="S288" s="8"/>
      <c r="T288" s="9"/>
      <c r="U288" s="9"/>
    </row>
    <row r="289" spans="1:21" ht="15.75" hidden="1" thickTop="1">
      <c r="A289" s="288">
        <f t="shared" si="4"/>
        <v>288</v>
      </c>
      <c r="B289" s="322">
        <v>46057</v>
      </c>
      <c r="C289" s="292" t="s">
        <v>3636</v>
      </c>
      <c r="D289" s="292" t="s">
        <v>1060</v>
      </c>
      <c r="E289" s="292" t="s">
        <v>199</v>
      </c>
      <c r="F289" s="292" t="s">
        <v>73</v>
      </c>
      <c r="G289" s="315" t="s">
        <v>3637</v>
      </c>
      <c r="H289" s="294">
        <v>8209248088</v>
      </c>
      <c r="I289" s="315" t="s">
        <v>3638</v>
      </c>
      <c r="J289" s="294" t="s">
        <v>122</v>
      </c>
      <c r="K289" s="315"/>
      <c r="L289" s="292" t="s">
        <v>49</v>
      </c>
      <c r="M289" s="292" t="s">
        <v>2623</v>
      </c>
      <c r="N289" s="292"/>
      <c r="O289" s="296"/>
      <c r="P289" s="312"/>
      <c r="Q289" s="294"/>
      <c r="R289" s="298"/>
      <c r="S289" s="8"/>
      <c r="T289" s="9"/>
      <c r="U289" s="9"/>
    </row>
    <row r="290" spans="1:21" ht="15.75" hidden="1" thickTop="1">
      <c r="A290" s="299">
        <f t="shared" si="4"/>
        <v>289</v>
      </c>
      <c r="B290" s="323">
        <v>46057</v>
      </c>
      <c r="C290" s="303" t="s">
        <v>3639</v>
      </c>
      <c r="D290" s="303" t="s">
        <v>3640</v>
      </c>
      <c r="E290" s="303"/>
      <c r="F290" s="303" t="s">
        <v>44</v>
      </c>
      <c r="G290" s="316" t="s">
        <v>45</v>
      </c>
      <c r="H290" s="305">
        <v>8825023069</v>
      </c>
      <c r="I290" s="316" t="s">
        <v>3641</v>
      </c>
      <c r="J290" s="305" t="s">
        <v>122</v>
      </c>
      <c r="K290" s="316" t="s">
        <v>3642</v>
      </c>
      <c r="L290" s="303" t="s">
        <v>49</v>
      </c>
      <c r="M290" s="303" t="s">
        <v>50</v>
      </c>
      <c r="N290" s="303"/>
      <c r="O290" s="307"/>
      <c r="P290" s="317"/>
      <c r="Q290" s="305"/>
      <c r="R290" s="309"/>
      <c r="S290" s="8"/>
      <c r="T290" s="9"/>
      <c r="U290" s="9"/>
    </row>
    <row r="291" spans="1:21" ht="15.75" hidden="1" thickTop="1">
      <c r="A291" s="288">
        <f t="shared" si="4"/>
        <v>290</v>
      </c>
      <c r="B291" s="322">
        <v>46058</v>
      </c>
      <c r="C291" s="292"/>
      <c r="D291" s="292" t="s">
        <v>3072</v>
      </c>
      <c r="E291" s="292" t="s">
        <v>82</v>
      </c>
      <c r="F291" s="292" t="s">
        <v>83</v>
      </c>
      <c r="G291" s="315" t="s">
        <v>852</v>
      </c>
      <c r="H291" s="294" t="s">
        <v>3643</v>
      </c>
      <c r="I291" s="315" t="s">
        <v>3644</v>
      </c>
      <c r="J291" s="294" t="s">
        <v>1113</v>
      </c>
      <c r="K291" s="315" t="s">
        <v>3645</v>
      </c>
      <c r="L291" s="292" t="s">
        <v>49</v>
      </c>
      <c r="M291" s="292" t="s">
        <v>2623</v>
      </c>
      <c r="N291" s="292"/>
      <c r="O291" s="296"/>
      <c r="P291" s="312"/>
      <c r="Q291" s="294"/>
      <c r="R291" s="298"/>
      <c r="S291" s="8"/>
      <c r="T291" s="9"/>
      <c r="U291" s="9"/>
    </row>
    <row r="292" spans="1:21" ht="15.75" hidden="1" thickTop="1">
      <c r="A292" s="299">
        <f t="shared" si="4"/>
        <v>291</v>
      </c>
      <c r="B292" s="323">
        <v>46058</v>
      </c>
      <c r="C292" s="303" t="s">
        <v>3646</v>
      </c>
      <c r="D292" s="303" t="s">
        <v>3129</v>
      </c>
      <c r="E292" s="303" t="s">
        <v>3130</v>
      </c>
      <c r="F292" s="303" t="s">
        <v>32</v>
      </c>
      <c r="G292" s="316" t="s">
        <v>3647</v>
      </c>
      <c r="H292" s="305">
        <v>6366936443</v>
      </c>
      <c r="I292" s="316" t="s">
        <v>3648</v>
      </c>
      <c r="J292" s="305" t="s">
        <v>1113</v>
      </c>
      <c r="K292" s="316" t="s">
        <v>3649</v>
      </c>
      <c r="L292" s="303" t="s">
        <v>49</v>
      </c>
      <c r="M292" s="303" t="s">
        <v>50</v>
      </c>
      <c r="N292" s="303"/>
      <c r="O292" s="307"/>
      <c r="P292" s="317"/>
      <c r="Q292" s="305"/>
      <c r="R292" s="309"/>
      <c r="S292" s="8"/>
      <c r="T292" s="9"/>
      <c r="U292" s="9"/>
    </row>
    <row r="293" spans="1:21" ht="15.75" hidden="1" thickTop="1">
      <c r="A293" s="288">
        <f t="shared" si="4"/>
        <v>292</v>
      </c>
      <c r="B293" s="322">
        <v>46058</v>
      </c>
      <c r="C293" s="292" t="s">
        <v>3650</v>
      </c>
      <c r="D293" s="292" t="s">
        <v>3651</v>
      </c>
      <c r="E293" s="292"/>
      <c r="F293" s="292" t="s">
        <v>60</v>
      </c>
      <c r="G293" s="315" t="s">
        <v>135</v>
      </c>
      <c r="H293" s="294">
        <v>7276566581</v>
      </c>
      <c r="I293" s="315" t="s">
        <v>3652</v>
      </c>
      <c r="J293" s="294" t="s">
        <v>56</v>
      </c>
      <c r="K293" s="315" t="s">
        <v>3650</v>
      </c>
      <c r="L293" s="292" t="s">
        <v>49</v>
      </c>
      <c r="M293" s="292" t="s">
        <v>40</v>
      </c>
      <c r="N293" s="292"/>
      <c r="O293" s="296"/>
      <c r="P293" s="312"/>
      <c r="Q293" s="294"/>
      <c r="R293" s="298"/>
      <c r="S293" s="8"/>
      <c r="T293" s="9"/>
      <c r="U293" s="9"/>
    </row>
    <row r="294" spans="1:21" ht="15.75" hidden="1" thickTop="1">
      <c r="A294" s="299">
        <f t="shared" si="4"/>
        <v>293</v>
      </c>
      <c r="B294" s="323">
        <v>46059</v>
      </c>
      <c r="C294" s="303" t="s">
        <v>3653</v>
      </c>
      <c r="D294" s="303" t="s">
        <v>3654</v>
      </c>
      <c r="E294" s="303" t="s">
        <v>22</v>
      </c>
      <c r="F294" s="303" t="s">
        <v>23</v>
      </c>
      <c r="G294" s="316" t="s">
        <v>3655</v>
      </c>
      <c r="H294" s="305">
        <v>7030077116</v>
      </c>
      <c r="I294" s="316" t="s">
        <v>3656</v>
      </c>
      <c r="J294" s="305" t="s">
        <v>1698</v>
      </c>
      <c r="K294" s="316" t="s">
        <v>3657</v>
      </c>
      <c r="L294" s="303" t="s">
        <v>27</v>
      </c>
      <c r="M294" s="303" t="s">
        <v>28</v>
      </c>
      <c r="N294" s="303" t="s">
        <v>3658</v>
      </c>
      <c r="O294" s="307">
        <v>46059</v>
      </c>
      <c r="P294" s="313">
        <v>540000</v>
      </c>
      <c r="Q294" s="332" t="s">
        <v>292</v>
      </c>
      <c r="R294" s="309"/>
      <c r="S294" s="8"/>
      <c r="T294" s="9"/>
      <c r="U294" s="9"/>
    </row>
    <row r="295" spans="1:21" ht="15.75" hidden="1" thickTop="1">
      <c r="A295" s="288">
        <f t="shared" si="4"/>
        <v>294</v>
      </c>
      <c r="B295" s="322">
        <v>46059</v>
      </c>
      <c r="C295" s="292" t="s">
        <v>3659</v>
      </c>
      <c r="D295" s="292" t="s">
        <v>3660</v>
      </c>
      <c r="E295" s="292" t="s">
        <v>22</v>
      </c>
      <c r="F295" s="292" t="s">
        <v>44</v>
      </c>
      <c r="G295" s="315" t="s">
        <v>45</v>
      </c>
      <c r="H295" s="294">
        <v>9881592110</v>
      </c>
      <c r="I295" s="315"/>
      <c r="J295" s="294" t="s">
        <v>122</v>
      </c>
      <c r="K295" s="315" t="s">
        <v>3661</v>
      </c>
      <c r="L295" s="292" t="s">
        <v>49</v>
      </c>
      <c r="M295" s="292" t="s">
        <v>2623</v>
      </c>
      <c r="N295" s="292"/>
      <c r="O295" s="296"/>
      <c r="P295" s="312"/>
      <c r="Q295" s="294"/>
      <c r="R295" s="298"/>
      <c r="S295" s="8"/>
      <c r="T295" s="9"/>
      <c r="U295" s="9"/>
    </row>
    <row r="296" spans="1:21" ht="15.75" hidden="1" thickTop="1">
      <c r="A296" s="299">
        <f t="shared" si="4"/>
        <v>295</v>
      </c>
      <c r="B296" s="323">
        <v>46059</v>
      </c>
      <c r="C296" s="303" t="s">
        <v>2335</v>
      </c>
      <c r="D296" s="303" t="s">
        <v>21</v>
      </c>
      <c r="E296" s="303" t="s">
        <v>22</v>
      </c>
      <c r="F296" s="303" t="s">
        <v>32</v>
      </c>
      <c r="G296" s="316"/>
      <c r="H296" s="305"/>
      <c r="I296" s="316"/>
      <c r="J296" s="305" t="s">
        <v>1698</v>
      </c>
      <c r="K296" s="316" t="s">
        <v>2056</v>
      </c>
      <c r="L296" s="303" t="s">
        <v>27</v>
      </c>
      <c r="M296" s="303" t="s">
        <v>2623</v>
      </c>
      <c r="N296" s="303"/>
      <c r="O296" s="307"/>
      <c r="P296" s="317"/>
      <c r="Q296" s="305"/>
      <c r="R296" s="309"/>
      <c r="S296" s="8"/>
      <c r="T296" s="9"/>
      <c r="U296" s="9"/>
    </row>
    <row r="297" spans="1:21" ht="15.75" hidden="1" thickTop="1">
      <c r="A297" s="288">
        <f t="shared" si="4"/>
        <v>296</v>
      </c>
      <c r="B297" s="322">
        <v>46059</v>
      </c>
      <c r="C297" s="292" t="s">
        <v>3662</v>
      </c>
      <c r="D297" s="292" t="s">
        <v>3663</v>
      </c>
      <c r="E297" s="292" t="s">
        <v>22</v>
      </c>
      <c r="F297" s="292" t="s">
        <v>32</v>
      </c>
      <c r="G297" s="315"/>
      <c r="H297" s="294"/>
      <c r="I297" s="315"/>
      <c r="J297" s="294" t="s">
        <v>1698</v>
      </c>
      <c r="K297" s="315"/>
      <c r="L297" s="292" t="s">
        <v>27</v>
      </c>
      <c r="M297" s="292" t="s">
        <v>50</v>
      </c>
      <c r="N297" s="292"/>
      <c r="O297" s="296"/>
      <c r="P297" s="312"/>
      <c r="Q297" s="294"/>
      <c r="R297" s="298"/>
      <c r="S297" s="8"/>
      <c r="T297" s="9"/>
      <c r="U297" s="9"/>
    </row>
    <row r="298" spans="1:21" ht="15.75" hidden="1" thickTop="1">
      <c r="A298" s="299">
        <f t="shared" si="4"/>
        <v>297</v>
      </c>
      <c r="B298" s="323">
        <v>46059</v>
      </c>
      <c r="C298" s="303" t="s">
        <v>3664</v>
      </c>
      <c r="D298" s="303" t="s">
        <v>3665</v>
      </c>
      <c r="E298" s="303" t="s">
        <v>22</v>
      </c>
      <c r="F298" s="303" t="s">
        <v>73</v>
      </c>
      <c r="G298" s="316" t="s">
        <v>3666</v>
      </c>
      <c r="H298" s="305"/>
      <c r="I298" s="353" t="s">
        <v>3667</v>
      </c>
      <c r="J298" s="305" t="s">
        <v>1698</v>
      </c>
      <c r="K298" s="316" t="s">
        <v>3668</v>
      </c>
      <c r="L298" s="303" t="s">
        <v>74</v>
      </c>
      <c r="M298" s="303" t="s">
        <v>50</v>
      </c>
      <c r="N298" s="303" t="s">
        <v>3669</v>
      </c>
      <c r="O298" s="307">
        <v>46059</v>
      </c>
      <c r="P298" s="313">
        <v>1900000</v>
      </c>
      <c r="Q298" s="305" t="s">
        <v>302</v>
      </c>
      <c r="R298" s="309"/>
      <c r="S298" s="8"/>
      <c r="T298" s="9"/>
      <c r="U298" s="9"/>
    </row>
    <row r="299" spans="1:21" ht="15.75" hidden="1" thickTop="1">
      <c r="A299" s="288">
        <f t="shared" si="4"/>
        <v>298</v>
      </c>
      <c r="B299" s="322">
        <v>46059</v>
      </c>
      <c r="C299" s="292" t="s">
        <v>3670</v>
      </c>
      <c r="D299" s="292" t="s">
        <v>3671</v>
      </c>
      <c r="E299" s="292" t="s">
        <v>82</v>
      </c>
      <c r="F299" s="292" t="s">
        <v>73</v>
      </c>
      <c r="G299" s="315" t="s">
        <v>3493</v>
      </c>
      <c r="H299" s="294">
        <v>9344963966</v>
      </c>
      <c r="I299" s="315" t="s">
        <v>3672</v>
      </c>
      <c r="J299" s="294" t="s">
        <v>1113</v>
      </c>
      <c r="K299" s="315" t="s">
        <v>3673</v>
      </c>
      <c r="L299" s="292" t="s">
        <v>49</v>
      </c>
      <c r="M299" s="292" t="s">
        <v>50</v>
      </c>
      <c r="N299" s="292"/>
      <c r="O299" s="296"/>
      <c r="P299" s="312"/>
      <c r="Q299" s="294"/>
      <c r="R299" s="298"/>
      <c r="S299" s="8"/>
      <c r="T299" s="9"/>
      <c r="U299" s="9"/>
    </row>
    <row r="300" spans="1:21" ht="15.75" hidden="1" thickTop="1">
      <c r="A300" s="299">
        <f t="shared" si="4"/>
        <v>299</v>
      </c>
      <c r="B300" s="323">
        <v>46059</v>
      </c>
      <c r="C300" s="303"/>
      <c r="D300" s="303" t="s">
        <v>3674</v>
      </c>
      <c r="E300" s="303" t="s">
        <v>193</v>
      </c>
      <c r="F300" s="303" t="s">
        <v>73</v>
      </c>
      <c r="G300" s="316" t="s">
        <v>3675</v>
      </c>
      <c r="H300" s="305">
        <v>7050382559</v>
      </c>
      <c r="I300" s="316" t="s">
        <v>3676</v>
      </c>
      <c r="J300" s="305" t="s">
        <v>63</v>
      </c>
      <c r="K300" s="316" t="s">
        <v>3677</v>
      </c>
      <c r="L300" s="303" t="s">
        <v>49</v>
      </c>
      <c r="M300" s="303" t="s">
        <v>2623</v>
      </c>
      <c r="N300" s="303"/>
      <c r="O300" s="307"/>
      <c r="P300" s="317"/>
      <c r="Q300" s="305"/>
      <c r="R300" s="309"/>
      <c r="S300" s="8"/>
      <c r="T300" s="9"/>
      <c r="U300" s="9"/>
    </row>
    <row r="301" spans="1:21" ht="30.75" hidden="1" thickTop="1">
      <c r="A301" s="288">
        <f t="shared" si="4"/>
        <v>300</v>
      </c>
      <c r="B301" s="322">
        <v>46059</v>
      </c>
      <c r="C301" s="292" t="s">
        <v>3678</v>
      </c>
      <c r="D301" s="292" t="s">
        <v>3679</v>
      </c>
      <c r="E301" s="292" t="s">
        <v>162</v>
      </c>
      <c r="F301" s="292" t="s">
        <v>23</v>
      </c>
      <c r="G301" s="339" t="s">
        <v>23</v>
      </c>
      <c r="H301" s="318">
        <v>8839256547</v>
      </c>
      <c r="I301" s="339" t="s">
        <v>3680</v>
      </c>
      <c r="J301" s="318" t="s">
        <v>122</v>
      </c>
      <c r="K301" s="339" t="s">
        <v>3681</v>
      </c>
      <c r="L301" s="292" t="s">
        <v>49</v>
      </c>
      <c r="M301" s="292" t="s">
        <v>50</v>
      </c>
      <c r="N301" s="292"/>
      <c r="O301" s="296"/>
      <c r="P301" s="312"/>
      <c r="Q301" s="294"/>
      <c r="R301" s="298"/>
      <c r="S301" s="8"/>
      <c r="T301" s="9"/>
      <c r="U301" s="9"/>
    </row>
    <row r="302" spans="1:21" ht="15.75" hidden="1" thickTop="1">
      <c r="A302" s="299">
        <f t="shared" si="4"/>
        <v>301</v>
      </c>
      <c r="B302" s="323">
        <v>46059</v>
      </c>
      <c r="C302" s="303"/>
      <c r="D302" s="303" t="s">
        <v>3314</v>
      </c>
      <c r="E302" s="303" t="s">
        <v>214</v>
      </c>
      <c r="F302" s="303" t="s">
        <v>73</v>
      </c>
      <c r="G302" s="316" t="s">
        <v>273</v>
      </c>
      <c r="H302" s="305">
        <v>9849036920</v>
      </c>
      <c r="I302" s="316" t="s">
        <v>3682</v>
      </c>
      <c r="J302" s="305" t="s">
        <v>1698</v>
      </c>
      <c r="K302" s="316" t="s">
        <v>3683</v>
      </c>
      <c r="L302" s="303" t="s">
        <v>49</v>
      </c>
      <c r="M302" s="303" t="s">
        <v>50</v>
      </c>
      <c r="N302" s="303"/>
      <c r="O302" s="307"/>
      <c r="P302" s="317"/>
      <c r="Q302" s="305"/>
      <c r="R302" s="309"/>
      <c r="S302" s="8"/>
      <c r="T302" s="9"/>
      <c r="U302" s="9"/>
    </row>
    <row r="303" spans="1:21" ht="15.75" hidden="1" thickTop="1">
      <c r="A303" s="288">
        <f t="shared" si="4"/>
        <v>302</v>
      </c>
      <c r="B303" s="322">
        <v>46059</v>
      </c>
      <c r="C303" s="292" t="s">
        <v>3684</v>
      </c>
      <c r="D303" s="292" t="s">
        <v>3685</v>
      </c>
      <c r="E303" s="292" t="s">
        <v>22</v>
      </c>
      <c r="F303" s="292" t="s">
        <v>44</v>
      </c>
      <c r="G303" s="315" t="s">
        <v>45</v>
      </c>
      <c r="H303" s="294">
        <v>9637384842</v>
      </c>
      <c r="I303" s="315" t="s">
        <v>3686</v>
      </c>
      <c r="J303" s="294" t="s">
        <v>567</v>
      </c>
      <c r="K303" s="315" t="s">
        <v>3687</v>
      </c>
      <c r="L303" s="292" t="s">
        <v>49</v>
      </c>
      <c r="M303" s="292" t="s">
        <v>50</v>
      </c>
      <c r="N303" s="292"/>
      <c r="O303" s="296"/>
      <c r="P303" s="312"/>
      <c r="Q303" s="294"/>
      <c r="R303" s="298"/>
      <c r="S303" s="8"/>
      <c r="T303" s="9"/>
      <c r="U303" s="9"/>
    </row>
    <row r="304" spans="1:21" ht="30.75" hidden="1" thickTop="1">
      <c r="A304" s="299">
        <f t="shared" si="4"/>
        <v>303</v>
      </c>
      <c r="B304" s="323">
        <v>46059</v>
      </c>
      <c r="C304" s="303" t="s">
        <v>3688</v>
      </c>
      <c r="D304" s="303" t="s">
        <v>3689</v>
      </c>
      <c r="E304" s="303" t="s">
        <v>22</v>
      </c>
      <c r="F304" s="316" t="s">
        <v>60</v>
      </c>
      <c r="G304" s="303" t="s">
        <v>180</v>
      </c>
      <c r="H304" s="346">
        <v>9850269949</v>
      </c>
      <c r="I304" s="338" t="s">
        <v>3690</v>
      </c>
      <c r="J304" s="346" t="s">
        <v>567</v>
      </c>
      <c r="K304" s="338" t="s">
        <v>3691</v>
      </c>
      <c r="L304" s="303" t="s">
        <v>49</v>
      </c>
      <c r="M304" s="303" t="s">
        <v>40</v>
      </c>
      <c r="N304" s="303"/>
      <c r="O304" s="307"/>
      <c r="P304" s="317"/>
      <c r="Q304" s="305"/>
      <c r="R304" s="309"/>
      <c r="S304" s="8"/>
      <c r="T304" s="9"/>
      <c r="U304" s="9"/>
    </row>
    <row r="305" spans="1:21" ht="30.75" hidden="1" thickTop="1">
      <c r="A305" s="288">
        <f t="shared" si="4"/>
        <v>304</v>
      </c>
      <c r="B305" s="322">
        <v>46059</v>
      </c>
      <c r="C305" s="292"/>
      <c r="D305" s="292" t="s">
        <v>2762</v>
      </c>
      <c r="E305" s="292" t="s">
        <v>22</v>
      </c>
      <c r="F305" s="292" t="s">
        <v>60</v>
      </c>
      <c r="G305" s="339" t="s">
        <v>180</v>
      </c>
      <c r="H305" s="318">
        <v>9552540509</v>
      </c>
      <c r="I305" s="339"/>
      <c r="J305" s="318" t="s">
        <v>122</v>
      </c>
      <c r="K305" s="292" t="s">
        <v>3692</v>
      </c>
      <c r="L305" s="292" t="s">
        <v>49</v>
      </c>
      <c r="M305" s="292" t="s">
        <v>40</v>
      </c>
      <c r="N305" s="292"/>
      <c r="O305" s="296"/>
      <c r="P305" s="312"/>
      <c r="Q305" s="294"/>
      <c r="R305" s="298"/>
      <c r="S305" s="8"/>
      <c r="T305" s="9"/>
      <c r="U305" s="9"/>
    </row>
    <row r="306" spans="1:21" ht="15.75" hidden="1" thickTop="1">
      <c r="A306" s="299">
        <f t="shared" si="4"/>
        <v>305</v>
      </c>
      <c r="B306" s="323">
        <v>46060</v>
      </c>
      <c r="C306" s="303" t="s">
        <v>3693</v>
      </c>
      <c r="D306" s="303" t="s">
        <v>21</v>
      </c>
      <c r="E306" s="303" t="s">
        <v>22</v>
      </c>
      <c r="F306" s="303" t="s">
        <v>73</v>
      </c>
      <c r="G306" s="316" t="s">
        <v>3694</v>
      </c>
      <c r="H306" s="354">
        <v>9923964089</v>
      </c>
      <c r="I306" s="303" t="s">
        <v>3695</v>
      </c>
      <c r="J306" s="305" t="s">
        <v>56</v>
      </c>
      <c r="K306" s="303"/>
      <c r="L306" s="303" t="s">
        <v>74</v>
      </c>
      <c r="M306" s="303" t="s">
        <v>28</v>
      </c>
      <c r="N306" s="303" t="s">
        <v>3696</v>
      </c>
      <c r="O306" s="307">
        <v>46060</v>
      </c>
      <c r="P306" s="324">
        <v>11111834</v>
      </c>
      <c r="Q306" s="332" t="s">
        <v>98</v>
      </c>
      <c r="R306" s="309"/>
      <c r="S306" s="8"/>
      <c r="T306" s="9"/>
      <c r="U306" s="9"/>
    </row>
    <row r="307" spans="1:21" ht="15.75" hidden="1" thickTop="1">
      <c r="A307" s="288">
        <f t="shared" si="4"/>
        <v>306</v>
      </c>
      <c r="B307" s="322">
        <v>46060</v>
      </c>
      <c r="C307" s="292" t="s">
        <v>3697</v>
      </c>
      <c r="D307" s="292" t="s">
        <v>2146</v>
      </c>
      <c r="E307" s="292" t="s">
        <v>22</v>
      </c>
      <c r="F307" s="292" t="s">
        <v>60</v>
      </c>
      <c r="G307" s="315" t="s">
        <v>3698</v>
      </c>
      <c r="H307" s="355">
        <v>9795009443</v>
      </c>
      <c r="I307" s="292" t="s">
        <v>3699</v>
      </c>
      <c r="J307" s="294" t="s">
        <v>25</v>
      </c>
      <c r="K307" s="292" t="s">
        <v>3700</v>
      </c>
      <c r="L307" s="292" t="s">
        <v>49</v>
      </c>
      <c r="M307" s="292" t="s">
        <v>50</v>
      </c>
      <c r="N307" s="292" t="s">
        <v>3528</v>
      </c>
      <c r="O307" s="296">
        <v>46060</v>
      </c>
      <c r="P307" s="325">
        <v>525000</v>
      </c>
      <c r="Q307" s="294" t="s">
        <v>30</v>
      </c>
      <c r="R307" s="298"/>
      <c r="S307" s="8"/>
      <c r="T307" s="9"/>
      <c r="U307" s="9"/>
    </row>
    <row r="308" spans="1:21" ht="15.75" hidden="1" thickTop="1">
      <c r="A308" s="299">
        <f t="shared" si="4"/>
        <v>307</v>
      </c>
      <c r="B308" s="323">
        <v>46060</v>
      </c>
      <c r="C308" s="303" t="s">
        <v>3039</v>
      </c>
      <c r="D308" s="303" t="s">
        <v>3040</v>
      </c>
      <c r="E308" s="303" t="s">
        <v>22</v>
      </c>
      <c r="F308" s="303" t="s">
        <v>44</v>
      </c>
      <c r="G308" s="316" t="s">
        <v>3701</v>
      </c>
      <c r="H308" s="354">
        <v>9767754195</v>
      </c>
      <c r="I308" s="356" t="s">
        <v>3041</v>
      </c>
      <c r="J308" s="305" t="s">
        <v>122</v>
      </c>
      <c r="K308" s="303" t="s">
        <v>3042</v>
      </c>
      <c r="L308" s="303" t="s">
        <v>49</v>
      </c>
      <c r="M308" s="303" t="s">
        <v>50</v>
      </c>
      <c r="N308" s="303"/>
      <c r="O308" s="307"/>
      <c r="P308" s="317"/>
      <c r="Q308" s="305"/>
      <c r="R308" s="309"/>
      <c r="S308" s="8"/>
      <c r="T308" s="9"/>
      <c r="U308" s="9"/>
    </row>
    <row r="309" spans="1:21" ht="15.75" hidden="1" thickTop="1">
      <c r="A309" s="288">
        <f t="shared" si="4"/>
        <v>308</v>
      </c>
      <c r="B309" s="322">
        <v>46060</v>
      </c>
      <c r="C309" s="292"/>
      <c r="D309" s="292" t="s">
        <v>3386</v>
      </c>
      <c r="E309" s="292" t="s">
        <v>22</v>
      </c>
      <c r="F309" s="292" t="s">
        <v>44</v>
      </c>
      <c r="G309" s="315" t="s">
        <v>44</v>
      </c>
      <c r="H309" s="294">
        <v>9225542435</v>
      </c>
      <c r="I309" s="292" t="s">
        <v>3702</v>
      </c>
      <c r="J309" s="294" t="s">
        <v>122</v>
      </c>
      <c r="K309" s="292" t="s">
        <v>3703</v>
      </c>
      <c r="L309" s="292" t="s">
        <v>49</v>
      </c>
      <c r="M309" s="292" t="s">
        <v>2623</v>
      </c>
      <c r="N309" s="292"/>
      <c r="O309" s="296"/>
      <c r="P309" s="312"/>
      <c r="Q309" s="294"/>
      <c r="R309" s="298"/>
      <c r="S309" s="8"/>
      <c r="T309" s="9"/>
      <c r="U309" s="9"/>
    </row>
    <row r="310" spans="1:21" ht="15.75" hidden="1" thickTop="1">
      <c r="A310" s="299">
        <f t="shared" si="4"/>
        <v>309</v>
      </c>
      <c r="B310" s="323">
        <v>46060</v>
      </c>
      <c r="C310" s="303" t="s">
        <v>3704</v>
      </c>
      <c r="D310" s="303" t="s">
        <v>21</v>
      </c>
      <c r="E310" s="303" t="s">
        <v>22</v>
      </c>
      <c r="F310" s="303" t="s">
        <v>73</v>
      </c>
      <c r="G310" s="316"/>
      <c r="H310" s="305"/>
      <c r="I310" s="303"/>
      <c r="J310" s="305" t="s">
        <v>1698</v>
      </c>
      <c r="K310" s="303"/>
      <c r="L310" s="303" t="s">
        <v>27</v>
      </c>
      <c r="M310" s="303" t="s">
        <v>28</v>
      </c>
      <c r="N310" s="303" t="s">
        <v>3705</v>
      </c>
      <c r="O310" s="307">
        <v>46060</v>
      </c>
      <c r="P310" s="313">
        <v>3156888</v>
      </c>
      <c r="Q310" s="305" t="s">
        <v>70</v>
      </c>
      <c r="R310" s="309"/>
      <c r="S310" s="8"/>
      <c r="T310" s="9"/>
      <c r="U310" s="9"/>
    </row>
    <row r="311" spans="1:21" ht="15.75" hidden="1" thickTop="1">
      <c r="A311" s="288">
        <f t="shared" si="4"/>
        <v>310</v>
      </c>
      <c r="B311" s="322">
        <v>46060</v>
      </c>
      <c r="C311" s="292" t="s">
        <v>3706</v>
      </c>
      <c r="D311" s="292" t="s">
        <v>21</v>
      </c>
      <c r="E311" s="292" t="s">
        <v>22</v>
      </c>
      <c r="F311" s="292" t="s">
        <v>60</v>
      </c>
      <c r="G311" s="315" t="s">
        <v>3707</v>
      </c>
      <c r="H311" s="355">
        <v>8390009933</v>
      </c>
      <c r="I311" s="292" t="s">
        <v>3708</v>
      </c>
      <c r="J311" s="294" t="s">
        <v>1698</v>
      </c>
      <c r="K311" s="292"/>
      <c r="L311" s="292" t="s">
        <v>27</v>
      </c>
      <c r="M311" s="292" t="s">
        <v>28</v>
      </c>
      <c r="N311" s="292" t="s">
        <v>3709</v>
      </c>
      <c r="O311" s="296">
        <v>46060</v>
      </c>
      <c r="P311" s="319"/>
      <c r="Q311" s="294" t="s">
        <v>292</v>
      </c>
      <c r="R311" s="298"/>
      <c r="S311" s="8"/>
      <c r="T311" s="9"/>
      <c r="U311" s="9"/>
    </row>
    <row r="312" spans="1:21" ht="15.75" hidden="1" thickTop="1">
      <c r="A312" s="299">
        <f t="shared" si="4"/>
        <v>311</v>
      </c>
      <c r="B312" s="323">
        <v>46060</v>
      </c>
      <c r="C312" s="303" t="s">
        <v>3710</v>
      </c>
      <c r="D312" s="303" t="s">
        <v>31</v>
      </c>
      <c r="E312" s="303" t="s">
        <v>22</v>
      </c>
      <c r="F312" s="303" t="s">
        <v>59</v>
      </c>
      <c r="G312" s="316" t="s">
        <v>3711</v>
      </c>
      <c r="H312" s="354">
        <v>9962317389</v>
      </c>
      <c r="I312" s="303" t="s">
        <v>3712</v>
      </c>
      <c r="J312" s="305" t="s">
        <v>1698</v>
      </c>
      <c r="K312" s="303" t="s">
        <v>3713</v>
      </c>
      <c r="L312" s="303" t="s">
        <v>27</v>
      </c>
      <c r="M312" s="303" t="s">
        <v>28</v>
      </c>
      <c r="N312" s="303" t="s">
        <v>3714</v>
      </c>
      <c r="O312" s="307">
        <v>46060</v>
      </c>
      <c r="P312" s="313"/>
      <c r="Q312" s="305" t="s">
        <v>292</v>
      </c>
      <c r="R312" s="309"/>
      <c r="S312" s="8"/>
      <c r="T312" s="9"/>
      <c r="U312" s="9"/>
    </row>
    <row r="313" spans="1:21" ht="15.75" hidden="1" thickTop="1">
      <c r="A313" s="288">
        <f t="shared" si="4"/>
        <v>312</v>
      </c>
      <c r="B313" s="322">
        <v>46060</v>
      </c>
      <c r="C313" s="292" t="s">
        <v>3715</v>
      </c>
      <c r="D313" s="292" t="s">
        <v>410</v>
      </c>
      <c r="E313" s="292" t="s">
        <v>22</v>
      </c>
      <c r="F313" s="292" t="s">
        <v>73</v>
      </c>
      <c r="G313" s="315" t="s">
        <v>3716</v>
      </c>
      <c r="H313" s="355">
        <v>8805020689</v>
      </c>
      <c r="I313" s="292" t="s">
        <v>3717</v>
      </c>
      <c r="J313" s="294" t="s">
        <v>1698</v>
      </c>
      <c r="K313" s="292" t="s">
        <v>3718</v>
      </c>
      <c r="L313" s="292" t="s">
        <v>27</v>
      </c>
      <c r="M313" s="292" t="s">
        <v>28</v>
      </c>
      <c r="N313" s="292" t="s">
        <v>3719</v>
      </c>
      <c r="O313" s="296">
        <v>46060</v>
      </c>
      <c r="P313" s="319">
        <v>3652582</v>
      </c>
      <c r="Q313" s="294" t="s">
        <v>79</v>
      </c>
      <c r="R313" s="298"/>
      <c r="S313" s="8"/>
      <c r="T313" s="9"/>
      <c r="U313" s="9"/>
    </row>
    <row r="314" spans="1:21" ht="15.75" hidden="1" thickTop="1">
      <c r="A314" s="299">
        <f t="shared" si="4"/>
        <v>313</v>
      </c>
      <c r="B314" s="323">
        <v>46061</v>
      </c>
      <c r="C314" s="303" t="s">
        <v>3720</v>
      </c>
      <c r="D314" s="303" t="s">
        <v>3721</v>
      </c>
      <c r="E314" s="303" t="s">
        <v>22</v>
      </c>
      <c r="F314" s="303" t="s">
        <v>1561</v>
      </c>
      <c r="G314" s="316" t="s">
        <v>3722</v>
      </c>
      <c r="H314" s="354">
        <v>7758924541</v>
      </c>
      <c r="I314" s="303" t="s">
        <v>3723</v>
      </c>
      <c r="J314" s="305" t="s">
        <v>1698</v>
      </c>
      <c r="K314" s="303" t="s">
        <v>3724</v>
      </c>
      <c r="L314" s="303" t="s">
        <v>27</v>
      </c>
      <c r="M314" s="303" t="s">
        <v>2623</v>
      </c>
      <c r="N314" s="303" t="s">
        <v>3725</v>
      </c>
      <c r="O314" s="307">
        <v>46061</v>
      </c>
      <c r="P314" s="313">
        <v>3437396.78</v>
      </c>
      <c r="Q314" s="305" t="s">
        <v>70</v>
      </c>
      <c r="R314" s="309"/>
      <c r="S314" s="8"/>
      <c r="T314" s="9"/>
      <c r="U314" s="9"/>
    </row>
    <row r="315" spans="1:21" ht="15.75" hidden="1" thickTop="1">
      <c r="A315" s="288">
        <f t="shared" si="4"/>
        <v>314</v>
      </c>
      <c r="B315" s="322">
        <v>46061</v>
      </c>
      <c r="C315" s="292" t="s">
        <v>3726</v>
      </c>
      <c r="D315" s="292" t="s">
        <v>3727</v>
      </c>
      <c r="E315" s="292" t="s">
        <v>3130</v>
      </c>
      <c r="F315" s="292" t="s">
        <v>59</v>
      </c>
      <c r="G315" s="315" t="s">
        <v>3728</v>
      </c>
      <c r="H315" s="355">
        <v>6366936443</v>
      </c>
      <c r="I315" s="292" t="s">
        <v>3648</v>
      </c>
      <c r="J315" s="294" t="s">
        <v>25</v>
      </c>
      <c r="K315" s="292" t="s">
        <v>3649</v>
      </c>
      <c r="L315" s="292" t="s">
        <v>27</v>
      </c>
      <c r="M315" s="292" t="s">
        <v>2623</v>
      </c>
      <c r="N315" s="292" t="s">
        <v>3533</v>
      </c>
      <c r="O315" s="296">
        <v>46062</v>
      </c>
      <c r="P315" s="325">
        <v>21150000</v>
      </c>
      <c r="Q315" s="294" t="s">
        <v>30</v>
      </c>
      <c r="R315" s="298"/>
      <c r="S315" s="8"/>
      <c r="T315" s="9"/>
      <c r="U315" s="9"/>
    </row>
    <row r="316" spans="1:21" ht="15.75" hidden="1" thickTop="1">
      <c r="A316" s="299">
        <f t="shared" si="4"/>
        <v>315</v>
      </c>
      <c r="B316" s="323">
        <v>46061</v>
      </c>
      <c r="C316" s="303" t="s">
        <v>3729</v>
      </c>
      <c r="D316" s="303" t="s">
        <v>3730</v>
      </c>
      <c r="E316" s="303" t="s">
        <v>22</v>
      </c>
      <c r="F316" s="303" t="s">
        <v>23</v>
      </c>
      <c r="G316" s="316" t="s">
        <v>3731</v>
      </c>
      <c r="H316" s="354">
        <v>9834541322</v>
      </c>
      <c r="I316" s="314"/>
      <c r="J316" s="305" t="s">
        <v>122</v>
      </c>
      <c r="K316" s="303" t="s">
        <v>3732</v>
      </c>
      <c r="L316" s="303" t="s">
        <v>49</v>
      </c>
      <c r="M316" s="303" t="s">
        <v>50</v>
      </c>
      <c r="N316" s="303"/>
      <c r="O316" s="307"/>
      <c r="P316" s="317"/>
      <c r="Q316" s="305"/>
      <c r="R316" s="309"/>
      <c r="S316" s="8"/>
      <c r="T316" s="9"/>
      <c r="U316" s="9"/>
    </row>
    <row r="317" spans="1:21" ht="15.75" hidden="1" thickTop="1">
      <c r="A317" s="288">
        <f t="shared" si="4"/>
        <v>316</v>
      </c>
      <c r="B317" s="322">
        <v>46061</v>
      </c>
      <c r="C317" s="292" t="s">
        <v>3733</v>
      </c>
      <c r="D317" s="292" t="s">
        <v>3734</v>
      </c>
      <c r="E317" s="292" t="s">
        <v>595</v>
      </c>
      <c r="F317" s="292" t="s">
        <v>83</v>
      </c>
      <c r="G317" s="315" t="s">
        <v>363</v>
      </c>
      <c r="H317" s="355">
        <v>8981012401</v>
      </c>
      <c r="I317" s="292" t="s">
        <v>3735</v>
      </c>
      <c r="J317" s="294" t="s">
        <v>122</v>
      </c>
      <c r="K317" s="292" t="s">
        <v>3736</v>
      </c>
      <c r="L317" s="292" t="s">
        <v>49</v>
      </c>
      <c r="M317" s="292" t="s">
        <v>2623</v>
      </c>
      <c r="N317" s="292"/>
      <c r="O317" s="296"/>
      <c r="P317" s="312"/>
      <c r="Q317" s="294"/>
      <c r="R317" s="298"/>
      <c r="S317" s="8"/>
      <c r="T317" s="9"/>
      <c r="U317" s="9"/>
    </row>
    <row r="318" spans="1:21" ht="15.75" hidden="1" thickTop="1">
      <c r="A318" s="299">
        <f t="shared" si="4"/>
        <v>317</v>
      </c>
      <c r="B318" s="323">
        <v>46062</v>
      </c>
      <c r="C318" s="303" t="s">
        <v>3737</v>
      </c>
      <c r="D318" s="303" t="s">
        <v>3738</v>
      </c>
      <c r="E318" s="303" t="s">
        <v>214</v>
      </c>
      <c r="F318" s="303" t="s">
        <v>60</v>
      </c>
      <c r="G318" s="316" t="s">
        <v>3739</v>
      </c>
      <c r="H318" s="305"/>
      <c r="I318" s="303" t="s">
        <v>3740</v>
      </c>
      <c r="J318" s="305" t="s">
        <v>25</v>
      </c>
      <c r="K318" s="303"/>
      <c r="L318" s="303" t="s">
        <v>74</v>
      </c>
      <c r="M318" s="303" t="s">
        <v>40</v>
      </c>
      <c r="N318" s="303" t="s">
        <v>3741</v>
      </c>
      <c r="O318" s="307">
        <v>46062</v>
      </c>
      <c r="P318" s="357">
        <v>51937937</v>
      </c>
      <c r="Q318" s="305" t="s">
        <v>30</v>
      </c>
      <c r="R318" s="309"/>
      <c r="S318" s="8"/>
      <c r="T318" s="9"/>
      <c r="U318" s="9"/>
    </row>
    <row r="319" spans="1:21" ht="15.75" hidden="1" thickTop="1">
      <c r="A319" s="288">
        <f t="shared" si="4"/>
        <v>318</v>
      </c>
      <c r="B319" s="322">
        <v>46062</v>
      </c>
      <c r="C319" s="292"/>
      <c r="D319" s="292" t="s">
        <v>2762</v>
      </c>
      <c r="E319" s="292" t="s">
        <v>22</v>
      </c>
      <c r="F319" s="292" t="s">
        <v>73</v>
      </c>
      <c r="G319" s="315" t="s">
        <v>3742</v>
      </c>
      <c r="H319" s="294">
        <v>9881138383</v>
      </c>
      <c r="I319" s="292" t="s">
        <v>3743</v>
      </c>
      <c r="J319" s="294" t="s">
        <v>1113</v>
      </c>
      <c r="K319" s="292" t="s">
        <v>3744</v>
      </c>
      <c r="L319" s="292" t="s">
        <v>49</v>
      </c>
      <c r="M319" s="292" t="s">
        <v>50</v>
      </c>
      <c r="N319" s="292"/>
      <c r="O319" s="296"/>
      <c r="P319" s="358"/>
      <c r="Q319" s="294"/>
      <c r="R319" s="298"/>
      <c r="S319" s="8"/>
      <c r="T319" s="9"/>
      <c r="U319" s="9"/>
    </row>
    <row r="320" spans="1:21" ht="15.75" hidden="1" thickTop="1">
      <c r="A320" s="299">
        <f t="shared" si="4"/>
        <v>319</v>
      </c>
      <c r="B320" s="323">
        <v>46062</v>
      </c>
      <c r="C320" s="303" t="s">
        <v>3745</v>
      </c>
      <c r="D320" s="303" t="s">
        <v>3746</v>
      </c>
      <c r="E320" s="303" t="s">
        <v>143</v>
      </c>
      <c r="F320" s="303" t="s">
        <v>44</v>
      </c>
      <c r="G320" s="316" t="s">
        <v>1967</v>
      </c>
      <c r="H320" s="305">
        <v>7982466305</v>
      </c>
      <c r="I320" s="303"/>
      <c r="J320" s="305" t="s">
        <v>122</v>
      </c>
      <c r="K320" s="303"/>
      <c r="L320" s="303" t="s">
        <v>49</v>
      </c>
      <c r="M320" s="303" t="s">
        <v>2623</v>
      </c>
      <c r="N320" s="303"/>
      <c r="O320" s="307"/>
      <c r="P320" s="359"/>
      <c r="Q320" s="305"/>
      <c r="R320" s="309"/>
      <c r="S320" s="8"/>
      <c r="T320" s="9"/>
      <c r="U320" s="9"/>
    </row>
    <row r="321" spans="1:21" ht="15.75" hidden="1" thickTop="1">
      <c r="A321" s="288">
        <f t="shared" si="4"/>
        <v>320</v>
      </c>
      <c r="B321" s="322">
        <v>46062</v>
      </c>
      <c r="C321" s="292" t="s">
        <v>3747</v>
      </c>
      <c r="D321" s="292" t="s">
        <v>3748</v>
      </c>
      <c r="E321" s="292" t="s">
        <v>595</v>
      </c>
      <c r="F321" s="292" t="s">
        <v>73</v>
      </c>
      <c r="G321" s="315" t="s">
        <v>1368</v>
      </c>
      <c r="H321" s="294">
        <v>7407633108</v>
      </c>
      <c r="I321" s="292" t="s">
        <v>3749</v>
      </c>
      <c r="J321" s="294" t="s">
        <v>567</v>
      </c>
      <c r="K321" s="292" t="s">
        <v>3750</v>
      </c>
      <c r="L321" s="292" t="s">
        <v>49</v>
      </c>
      <c r="M321" s="292" t="s">
        <v>50</v>
      </c>
      <c r="N321" s="292"/>
      <c r="O321" s="296"/>
      <c r="P321" s="358"/>
      <c r="Q321" s="294"/>
      <c r="R321" s="298"/>
      <c r="S321" s="8"/>
      <c r="T321" s="9"/>
      <c r="U321" s="9"/>
    </row>
    <row r="322" spans="1:21" ht="15.75" hidden="1" thickTop="1">
      <c r="A322" s="299">
        <f t="shared" ref="A322:A385" si="5">ROW()-1</f>
        <v>321</v>
      </c>
      <c r="B322" s="323">
        <v>46062</v>
      </c>
      <c r="C322" s="303" t="s">
        <v>3751</v>
      </c>
      <c r="D322" s="303" t="s">
        <v>3752</v>
      </c>
      <c r="E322" s="303" t="s">
        <v>82</v>
      </c>
      <c r="F322" s="303" t="s">
        <v>73</v>
      </c>
      <c r="G322" s="316" t="s">
        <v>1368</v>
      </c>
      <c r="H322" s="305">
        <v>9943099664</v>
      </c>
      <c r="I322" s="303" t="s">
        <v>3753</v>
      </c>
      <c r="J322" s="305" t="s">
        <v>63</v>
      </c>
      <c r="K322" s="303" t="s">
        <v>3754</v>
      </c>
      <c r="L322" s="303" t="s">
        <v>49</v>
      </c>
      <c r="M322" s="303" t="s">
        <v>2623</v>
      </c>
      <c r="N322" s="303"/>
      <c r="O322" s="307"/>
      <c r="P322" s="359"/>
      <c r="Q322" s="305"/>
      <c r="R322" s="309"/>
      <c r="S322" s="8"/>
      <c r="T322" s="9"/>
      <c r="U322" s="9"/>
    </row>
    <row r="323" spans="1:21" ht="15.75" hidden="1" thickTop="1">
      <c r="A323" s="288">
        <f t="shared" si="5"/>
        <v>322</v>
      </c>
      <c r="B323" s="322">
        <v>46062</v>
      </c>
      <c r="C323" s="292" t="s">
        <v>3755</v>
      </c>
      <c r="D323" s="292" t="s">
        <v>3756</v>
      </c>
      <c r="E323" s="292" t="s">
        <v>214</v>
      </c>
      <c r="F323" s="292" t="s">
        <v>83</v>
      </c>
      <c r="G323" s="315" t="s">
        <v>1941</v>
      </c>
      <c r="H323" s="294">
        <v>6301528656</v>
      </c>
      <c r="I323" s="292" t="s">
        <v>3757</v>
      </c>
      <c r="J323" s="294" t="s">
        <v>1113</v>
      </c>
      <c r="K323" s="292" t="s">
        <v>3758</v>
      </c>
      <c r="L323" s="292" t="s">
        <v>49</v>
      </c>
      <c r="M323" s="292" t="s">
        <v>2623</v>
      </c>
      <c r="N323" s="292"/>
      <c r="O323" s="296"/>
      <c r="P323" s="358"/>
      <c r="Q323" s="294"/>
      <c r="R323" s="298"/>
      <c r="S323" s="8"/>
      <c r="T323" s="9"/>
      <c r="U323" s="9"/>
    </row>
    <row r="324" spans="1:21" ht="45.75" hidden="1" thickTop="1">
      <c r="A324" s="299">
        <f t="shared" si="5"/>
        <v>323</v>
      </c>
      <c r="B324" s="360">
        <v>46062</v>
      </c>
      <c r="C324" s="314" t="s">
        <v>3759</v>
      </c>
      <c r="D324" s="314" t="s">
        <v>3760</v>
      </c>
      <c r="E324" s="314" t="s">
        <v>22</v>
      </c>
      <c r="F324" s="314" t="s">
        <v>44</v>
      </c>
      <c r="G324" s="338" t="s">
        <v>45</v>
      </c>
      <c r="H324" s="346">
        <v>7680931143</v>
      </c>
      <c r="I324" s="337" t="s">
        <v>3761</v>
      </c>
      <c r="J324" s="346" t="s">
        <v>1113</v>
      </c>
      <c r="K324" s="314" t="s">
        <v>3762</v>
      </c>
      <c r="L324" s="314" t="s">
        <v>49</v>
      </c>
      <c r="M324" s="314" t="s">
        <v>2623</v>
      </c>
      <c r="N324" s="314"/>
      <c r="O324" s="307"/>
      <c r="P324" s="359"/>
      <c r="Q324" s="305"/>
      <c r="R324" s="309"/>
      <c r="S324" s="8"/>
      <c r="T324" s="9"/>
      <c r="U324" s="9"/>
    </row>
    <row r="325" spans="1:21" ht="15.75" hidden="1" thickTop="1">
      <c r="A325" s="288">
        <f t="shared" si="5"/>
        <v>324</v>
      </c>
      <c r="B325" s="322">
        <v>46062</v>
      </c>
      <c r="C325" s="292" t="s">
        <v>3763</v>
      </c>
      <c r="D325" s="292" t="s">
        <v>3764</v>
      </c>
      <c r="E325" s="292" t="s">
        <v>22</v>
      </c>
      <c r="F325" s="292" t="s">
        <v>32</v>
      </c>
      <c r="G325" s="315"/>
      <c r="H325" s="318"/>
      <c r="I325" s="292"/>
      <c r="J325" s="294" t="s">
        <v>1698</v>
      </c>
      <c r="K325" s="339"/>
      <c r="L325" s="292" t="s">
        <v>27</v>
      </c>
      <c r="M325" s="292" t="s">
        <v>50</v>
      </c>
      <c r="N325" s="292"/>
      <c r="O325" s="296"/>
      <c r="P325" s="312"/>
      <c r="Q325" s="294"/>
      <c r="R325" s="298"/>
      <c r="S325" s="8"/>
      <c r="T325" s="9"/>
      <c r="U325" s="9"/>
    </row>
    <row r="326" spans="1:21" ht="15.75" hidden="1" thickTop="1">
      <c r="A326" s="299">
        <f t="shared" si="5"/>
        <v>325</v>
      </c>
      <c r="B326" s="323">
        <v>46062</v>
      </c>
      <c r="C326" s="303" t="s">
        <v>3765</v>
      </c>
      <c r="D326" s="303" t="s">
        <v>198</v>
      </c>
      <c r="E326" s="303" t="s">
        <v>199</v>
      </c>
      <c r="F326" s="303" t="s">
        <v>73</v>
      </c>
      <c r="G326" s="316" t="s">
        <v>273</v>
      </c>
      <c r="H326" s="305">
        <v>8003590731</v>
      </c>
      <c r="I326" s="303" t="s">
        <v>3766</v>
      </c>
      <c r="J326" s="305" t="s">
        <v>1113</v>
      </c>
      <c r="K326" s="303" t="s">
        <v>3767</v>
      </c>
      <c r="L326" s="303" t="s">
        <v>49</v>
      </c>
      <c r="M326" s="303" t="s">
        <v>50</v>
      </c>
      <c r="N326" s="303"/>
      <c r="O326" s="307"/>
      <c r="P326" s="317"/>
      <c r="Q326" s="305"/>
      <c r="R326" s="309"/>
      <c r="S326" s="8"/>
      <c r="T326" s="9"/>
      <c r="U326" s="9"/>
    </row>
    <row r="327" spans="1:21" ht="15.75" hidden="1" thickTop="1">
      <c r="A327" s="288">
        <f t="shared" si="5"/>
        <v>326</v>
      </c>
      <c r="B327" s="322">
        <v>46062</v>
      </c>
      <c r="C327" s="292" t="s">
        <v>3768</v>
      </c>
      <c r="D327" s="292"/>
      <c r="E327" s="292"/>
      <c r="F327" s="292"/>
      <c r="G327" s="315"/>
      <c r="H327" s="318"/>
      <c r="I327" s="295"/>
      <c r="J327" s="294" t="s">
        <v>1698</v>
      </c>
      <c r="K327" s="339"/>
      <c r="L327" s="292" t="s">
        <v>27</v>
      </c>
      <c r="M327" s="292" t="s">
        <v>50</v>
      </c>
      <c r="N327" s="292"/>
      <c r="O327" s="296"/>
      <c r="P327" s="312"/>
      <c r="Q327" s="294"/>
      <c r="R327" s="298"/>
      <c r="S327" s="8"/>
      <c r="T327" s="9"/>
      <c r="U327" s="9"/>
    </row>
    <row r="328" spans="1:21" ht="15.75" hidden="1" thickTop="1">
      <c r="A328" s="299">
        <f t="shared" si="5"/>
        <v>327</v>
      </c>
      <c r="B328" s="323">
        <v>46062</v>
      </c>
      <c r="C328" s="303" t="s">
        <v>3769</v>
      </c>
      <c r="D328" s="303" t="s">
        <v>3459</v>
      </c>
      <c r="E328" s="303" t="s">
        <v>759</v>
      </c>
      <c r="F328" s="303" t="s">
        <v>32</v>
      </c>
      <c r="G328" s="316" t="s">
        <v>3770</v>
      </c>
      <c r="H328" s="346"/>
      <c r="I328" s="338"/>
      <c r="J328" s="346" t="s">
        <v>1113</v>
      </c>
      <c r="K328" s="338"/>
      <c r="L328" s="303" t="s">
        <v>49</v>
      </c>
      <c r="M328" s="303" t="s">
        <v>2623</v>
      </c>
      <c r="N328" s="303" t="s">
        <v>3771</v>
      </c>
      <c r="O328" s="307">
        <v>46063</v>
      </c>
      <c r="P328" s="324">
        <v>1363759</v>
      </c>
      <c r="Q328" s="305"/>
      <c r="R328" s="309"/>
      <c r="S328" s="8"/>
      <c r="T328" s="9"/>
      <c r="U328" s="9"/>
    </row>
    <row r="329" spans="1:21" ht="15.75" hidden="1" thickTop="1">
      <c r="A329" s="288">
        <f t="shared" si="5"/>
        <v>328</v>
      </c>
      <c r="B329" s="322">
        <v>46063</v>
      </c>
      <c r="C329" s="292" t="s">
        <v>3772</v>
      </c>
      <c r="D329" s="292" t="s">
        <v>1951</v>
      </c>
      <c r="E329" s="292" t="s">
        <v>22</v>
      </c>
      <c r="F329" s="292" t="s">
        <v>60</v>
      </c>
      <c r="G329" s="339" t="s">
        <v>3470</v>
      </c>
      <c r="H329" s="318"/>
      <c r="I329" s="339"/>
      <c r="J329" s="294" t="s">
        <v>1698</v>
      </c>
      <c r="K329" s="339"/>
      <c r="L329" s="292" t="s">
        <v>27</v>
      </c>
      <c r="M329" s="292" t="s">
        <v>50</v>
      </c>
      <c r="N329" s="292"/>
      <c r="O329" s="296"/>
      <c r="P329" s="312"/>
      <c r="Q329" s="294"/>
      <c r="R329" s="298"/>
      <c r="S329" s="8"/>
      <c r="T329" s="9"/>
      <c r="U329" s="9"/>
    </row>
    <row r="330" spans="1:21" ht="30.75" hidden="1" thickTop="1">
      <c r="A330" s="299">
        <f t="shared" si="5"/>
        <v>329</v>
      </c>
      <c r="B330" s="323">
        <v>46063</v>
      </c>
      <c r="C330" s="303" t="s">
        <v>3773</v>
      </c>
      <c r="D330" s="303" t="s">
        <v>2212</v>
      </c>
      <c r="E330" s="303" t="s">
        <v>22</v>
      </c>
      <c r="F330" s="303" t="s">
        <v>60</v>
      </c>
      <c r="G330" s="338" t="s">
        <v>3774</v>
      </c>
      <c r="H330" s="346"/>
      <c r="I330" s="361" t="s">
        <v>3775</v>
      </c>
      <c r="J330" s="305" t="s">
        <v>1698</v>
      </c>
      <c r="K330" s="338" t="s">
        <v>3776</v>
      </c>
      <c r="L330" s="303" t="s">
        <v>27</v>
      </c>
      <c r="M330" s="303" t="s">
        <v>28</v>
      </c>
      <c r="N330" s="314" t="s">
        <v>3777</v>
      </c>
      <c r="O330" s="307">
        <v>46091</v>
      </c>
      <c r="P330" s="313">
        <v>750000</v>
      </c>
      <c r="Q330" s="305" t="s">
        <v>292</v>
      </c>
      <c r="R330" s="309"/>
      <c r="S330" s="8"/>
      <c r="T330" s="9"/>
      <c r="U330" s="9"/>
    </row>
    <row r="331" spans="1:21" ht="15.75" hidden="1" thickTop="1">
      <c r="A331" s="288">
        <f t="shared" si="5"/>
        <v>330</v>
      </c>
      <c r="B331" s="322">
        <v>46063</v>
      </c>
      <c r="C331" s="292" t="s">
        <v>3778</v>
      </c>
      <c r="D331" s="292" t="s">
        <v>3779</v>
      </c>
      <c r="E331" s="292" t="s">
        <v>759</v>
      </c>
      <c r="F331" s="292" t="s">
        <v>59</v>
      </c>
      <c r="G331" s="315" t="s">
        <v>3780</v>
      </c>
      <c r="H331" s="318"/>
      <c r="I331" s="362" t="s">
        <v>3781</v>
      </c>
      <c r="J331" s="294" t="s">
        <v>1698</v>
      </c>
      <c r="K331" s="339" t="s">
        <v>3782</v>
      </c>
      <c r="L331" s="292" t="s">
        <v>27</v>
      </c>
      <c r="M331" s="292" t="s">
        <v>28</v>
      </c>
      <c r="N331" s="295" t="s">
        <v>3783</v>
      </c>
      <c r="O331" s="296">
        <v>46091</v>
      </c>
      <c r="P331" s="325">
        <v>1000000</v>
      </c>
      <c r="Q331" s="294"/>
      <c r="R331" s="298"/>
      <c r="S331" s="8"/>
      <c r="T331" s="9"/>
      <c r="U331" s="9"/>
    </row>
    <row r="332" spans="1:21" ht="30.75" hidden="1" thickTop="1">
      <c r="A332" s="299">
        <f t="shared" si="5"/>
        <v>331</v>
      </c>
      <c r="B332" s="323">
        <v>46063</v>
      </c>
      <c r="C332" s="303" t="s">
        <v>3784</v>
      </c>
      <c r="D332" s="338" t="s">
        <v>198</v>
      </c>
      <c r="E332" s="338" t="s">
        <v>199</v>
      </c>
      <c r="F332" s="303" t="s">
        <v>23</v>
      </c>
      <c r="G332" s="338" t="s">
        <v>3785</v>
      </c>
      <c r="H332" s="346">
        <v>9828867508</v>
      </c>
      <c r="I332" s="316" t="s">
        <v>3786</v>
      </c>
      <c r="J332" s="305" t="s">
        <v>1113</v>
      </c>
      <c r="K332" s="303" t="s">
        <v>3787</v>
      </c>
      <c r="L332" s="303" t="s">
        <v>49</v>
      </c>
      <c r="M332" s="303" t="s">
        <v>50</v>
      </c>
      <c r="N332" s="303"/>
      <c r="O332" s="307"/>
      <c r="P332" s="317"/>
      <c r="Q332" s="305"/>
      <c r="R332" s="309"/>
      <c r="S332" s="8"/>
      <c r="T332" s="9"/>
      <c r="U332" s="9"/>
    </row>
    <row r="333" spans="1:21" ht="15.75" hidden="1" thickTop="1">
      <c r="A333" s="288">
        <f t="shared" si="5"/>
        <v>332</v>
      </c>
      <c r="B333" s="322">
        <v>46063</v>
      </c>
      <c r="C333" s="292" t="s">
        <v>3788</v>
      </c>
      <c r="D333" s="292" t="s">
        <v>3789</v>
      </c>
      <c r="E333" s="292" t="s">
        <v>82</v>
      </c>
      <c r="F333" s="292" t="s">
        <v>83</v>
      </c>
      <c r="G333" s="315" t="s">
        <v>3790</v>
      </c>
      <c r="H333" s="318">
        <v>9677871711</v>
      </c>
      <c r="I333" s="292" t="s">
        <v>3791</v>
      </c>
      <c r="J333" s="294" t="s">
        <v>1438</v>
      </c>
      <c r="K333" s="292"/>
      <c r="L333" s="292" t="s">
        <v>49</v>
      </c>
      <c r="M333" s="292" t="s">
        <v>2623</v>
      </c>
      <c r="N333" s="292"/>
      <c r="O333" s="296"/>
      <c r="P333" s="312"/>
      <c r="Q333" s="294"/>
      <c r="R333" s="298"/>
      <c r="S333" s="8"/>
      <c r="T333" s="9"/>
      <c r="U333" s="9"/>
    </row>
    <row r="334" spans="1:21" ht="15.75" hidden="1" thickTop="1">
      <c r="A334" s="299">
        <f t="shared" si="5"/>
        <v>333</v>
      </c>
      <c r="B334" s="323">
        <v>46063</v>
      </c>
      <c r="C334" s="303" t="s">
        <v>3792</v>
      </c>
      <c r="D334" s="303" t="s">
        <v>3793</v>
      </c>
      <c r="E334" s="303" t="s">
        <v>22</v>
      </c>
      <c r="F334" s="303" t="s">
        <v>53</v>
      </c>
      <c r="G334" s="316" t="s">
        <v>2064</v>
      </c>
      <c r="H334" s="346">
        <v>9823151832</v>
      </c>
      <c r="I334" s="314"/>
      <c r="J334" s="305" t="s">
        <v>122</v>
      </c>
      <c r="K334" s="303" t="s">
        <v>3792</v>
      </c>
      <c r="L334" s="303" t="s">
        <v>49</v>
      </c>
      <c r="M334" s="303" t="s">
        <v>2623</v>
      </c>
      <c r="N334" s="303"/>
      <c r="O334" s="307"/>
      <c r="P334" s="317"/>
      <c r="Q334" s="305"/>
      <c r="R334" s="309"/>
      <c r="S334" s="8"/>
      <c r="T334" s="9"/>
      <c r="U334" s="9"/>
    </row>
    <row r="335" spans="1:21" ht="30.75" hidden="1" thickTop="1">
      <c r="A335" s="288">
        <f t="shared" si="5"/>
        <v>334</v>
      </c>
      <c r="B335" s="322">
        <v>46063</v>
      </c>
      <c r="C335" s="292" t="s">
        <v>3794</v>
      </c>
      <c r="D335" s="292" t="s">
        <v>3795</v>
      </c>
      <c r="E335" s="292" t="s">
        <v>22</v>
      </c>
      <c r="F335" s="292" t="s">
        <v>60</v>
      </c>
      <c r="G335" s="339" t="s">
        <v>244</v>
      </c>
      <c r="H335" s="318">
        <v>9322001609</v>
      </c>
      <c r="I335" s="318"/>
      <c r="J335" s="318" t="s">
        <v>1438</v>
      </c>
      <c r="K335" s="318" t="s">
        <v>3796</v>
      </c>
      <c r="L335" s="292" t="s">
        <v>49</v>
      </c>
      <c r="M335" s="292" t="s">
        <v>40</v>
      </c>
      <c r="N335" s="292"/>
      <c r="O335" s="296"/>
      <c r="P335" s="312"/>
      <c r="Q335" s="294"/>
      <c r="R335" s="298"/>
      <c r="S335" s="8"/>
      <c r="T335" s="9"/>
      <c r="U335" s="9"/>
    </row>
    <row r="336" spans="1:21" ht="30.75" hidden="1" thickTop="1">
      <c r="A336" s="299">
        <f t="shared" si="5"/>
        <v>335</v>
      </c>
      <c r="B336" s="323">
        <v>46063</v>
      </c>
      <c r="C336" s="303" t="s">
        <v>3797</v>
      </c>
      <c r="D336" s="303" t="s">
        <v>3798</v>
      </c>
      <c r="E336" s="303" t="s">
        <v>82</v>
      </c>
      <c r="F336" s="303" t="s">
        <v>23</v>
      </c>
      <c r="G336" s="338" t="s">
        <v>1487</v>
      </c>
      <c r="H336" s="346">
        <v>9843660606</v>
      </c>
      <c r="I336" s="346"/>
      <c r="J336" s="346" t="s">
        <v>63</v>
      </c>
      <c r="K336" s="303" t="s">
        <v>3799</v>
      </c>
      <c r="L336" s="303" t="s">
        <v>49</v>
      </c>
      <c r="M336" s="303" t="s">
        <v>50</v>
      </c>
      <c r="N336" s="303"/>
      <c r="O336" s="307"/>
      <c r="P336" s="317"/>
      <c r="Q336" s="305"/>
      <c r="R336" s="309"/>
      <c r="S336" s="8"/>
      <c r="T336" s="9"/>
      <c r="U336" s="9"/>
    </row>
    <row r="337" spans="1:21" ht="30.75" hidden="1" thickTop="1">
      <c r="A337" s="288">
        <f t="shared" si="5"/>
        <v>336</v>
      </c>
      <c r="B337" s="322">
        <v>46063</v>
      </c>
      <c r="C337" s="292"/>
      <c r="D337" s="292" t="s">
        <v>2762</v>
      </c>
      <c r="E337" s="292" t="s">
        <v>22</v>
      </c>
      <c r="F337" s="292" t="s">
        <v>83</v>
      </c>
      <c r="G337" s="339" t="s">
        <v>852</v>
      </c>
      <c r="H337" s="318">
        <v>9766141512</v>
      </c>
      <c r="I337" s="295"/>
      <c r="J337" s="294" t="s">
        <v>122</v>
      </c>
      <c r="K337" s="292" t="s">
        <v>3800</v>
      </c>
      <c r="L337" s="292" t="s">
        <v>49</v>
      </c>
      <c r="M337" s="292" t="s">
        <v>2623</v>
      </c>
      <c r="N337" s="292"/>
      <c r="O337" s="296"/>
      <c r="P337" s="312"/>
      <c r="Q337" s="294"/>
      <c r="R337" s="298"/>
      <c r="S337" s="8"/>
      <c r="T337" s="9"/>
      <c r="U337" s="9"/>
    </row>
    <row r="338" spans="1:21" ht="15.75" hidden="1" thickTop="1">
      <c r="A338" s="299">
        <f t="shared" si="5"/>
        <v>337</v>
      </c>
      <c r="B338" s="323">
        <v>46063</v>
      </c>
      <c r="C338" s="303"/>
      <c r="D338" s="303" t="s">
        <v>2139</v>
      </c>
      <c r="E338" s="303"/>
      <c r="F338" s="303" t="s">
        <v>23</v>
      </c>
      <c r="G338" s="316" t="s">
        <v>23</v>
      </c>
      <c r="H338" s="346">
        <v>7665961235</v>
      </c>
      <c r="I338" s="314"/>
      <c r="J338" s="305" t="s">
        <v>122</v>
      </c>
      <c r="K338" s="303" t="s">
        <v>3801</v>
      </c>
      <c r="L338" s="303" t="s">
        <v>49</v>
      </c>
      <c r="M338" s="303" t="s">
        <v>2623</v>
      </c>
      <c r="N338" s="303"/>
      <c r="O338" s="307"/>
      <c r="P338" s="317"/>
      <c r="Q338" s="305"/>
      <c r="R338" s="309"/>
      <c r="S338" s="8"/>
      <c r="T338" s="9"/>
      <c r="U338" s="9"/>
    </row>
    <row r="339" spans="1:21" ht="15.75" hidden="1" thickTop="1">
      <c r="A339" s="288">
        <f t="shared" si="5"/>
        <v>338</v>
      </c>
      <c r="B339" s="322">
        <v>46064</v>
      </c>
      <c r="C339" s="292" t="s">
        <v>3802</v>
      </c>
      <c r="D339" s="292" t="s">
        <v>3803</v>
      </c>
      <c r="E339" s="292" t="s">
        <v>22</v>
      </c>
      <c r="F339" s="292" t="s">
        <v>60</v>
      </c>
      <c r="G339" s="315" t="s">
        <v>3739</v>
      </c>
      <c r="H339" s="294">
        <v>9975476976</v>
      </c>
      <c r="I339" s="292" t="s">
        <v>3804</v>
      </c>
      <c r="J339" s="294" t="s">
        <v>567</v>
      </c>
      <c r="K339" s="292" t="s">
        <v>3805</v>
      </c>
      <c r="L339" s="292" t="s">
        <v>49</v>
      </c>
      <c r="M339" s="292" t="s">
        <v>40</v>
      </c>
      <c r="N339" s="292"/>
      <c r="O339" s="296"/>
      <c r="P339" s="312"/>
      <c r="Q339" s="294"/>
      <c r="R339" s="298"/>
      <c r="S339" s="8"/>
      <c r="T339" s="9"/>
      <c r="U339" s="9"/>
    </row>
    <row r="340" spans="1:21" ht="15.75" hidden="1" thickTop="1">
      <c r="A340" s="299">
        <f t="shared" si="5"/>
        <v>339</v>
      </c>
      <c r="B340" s="323">
        <v>46064</v>
      </c>
      <c r="C340" s="303" t="s">
        <v>3806</v>
      </c>
      <c r="D340" s="303" t="s">
        <v>3807</v>
      </c>
      <c r="E340" s="303" t="s">
        <v>162</v>
      </c>
      <c r="F340" s="303" t="s">
        <v>60</v>
      </c>
      <c r="G340" s="316" t="s">
        <v>3808</v>
      </c>
      <c r="H340" s="305">
        <v>9589947247</v>
      </c>
      <c r="I340" s="316"/>
      <c r="J340" s="305" t="s">
        <v>56</v>
      </c>
      <c r="K340" s="316"/>
      <c r="L340" s="303" t="s">
        <v>49</v>
      </c>
      <c r="M340" s="303" t="s">
        <v>40</v>
      </c>
      <c r="N340" s="303"/>
      <c r="O340" s="307"/>
      <c r="P340" s="317"/>
      <c r="Q340" s="305"/>
      <c r="R340" s="309"/>
      <c r="S340" s="8"/>
      <c r="T340" s="9"/>
      <c r="U340" s="9"/>
    </row>
    <row r="341" spans="1:21" ht="15.75" hidden="1" thickTop="1">
      <c r="A341" s="288">
        <f t="shared" si="5"/>
        <v>340</v>
      </c>
      <c r="B341" s="322">
        <v>46064</v>
      </c>
      <c r="C341" s="292" t="s">
        <v>3809</v>
      </c>
      <c r="D341" s="292" t="s">
        <v>3810</v>
      </c>
      <c r="E341" s="292" t="s">
        <v>1545</v>
      </c>
      <c r="F341" s="292" t="s">
        <v>73</v>
      </c>
      <c r="G341" s="315" t="s">
        <v>3593</v>
      </c>
      <c r="H341" s="294">
        <v>8909103572</v>
      </c>
      <c r="I341" s="292" t="s">
        <v>3811</v>
      </c>
      <c r="J341" s="294" t="s">
        <v>122</v>
      </c>
      <c r="K341" s="292" t="s">
        <v>3812</v>
      </c>
      <c r="L341" s="292" t="s">
        <v>49</v>
      </c>
      <c r="M341" s="292" t="s">
        <v>2623</v>
      </c>
      <c r="N341" s="292"/>
      <c r="O341" s="296"/>
      <c r="P341" s="312"/>
      <c r="Q341" s="294"/>
      <c r="R341" s="298"/>
      <c r="S341" s="8"/>
      <c r="T341" s="9"/>
      <c r="U341" s="9"/>
    </row>
    <row r="342" spans="1:21" ht="15.75" hidden="1" thickTop="1">
      <c r="A342" s="299">
        <f t="shared" si="5"/>
        <v>341</v>
      </c>
      <c r="B342" s="323">
        <v>46064</v>
      </c>
      <c r="C342" s="303"/>
      <c r="D342" s="303" t="s">
        <v>2762</v>
      </c>
      <c r="E342" s="303" t="s">
        <v>22</v>
      </c>
      <c r="F342" s="303" t="s">
        <v>60</v>
      </c>
      <c r="G342" s="316" t="s">
        <v>180</v>
      </c>
      <c r="H342" s="305">
        <v>9302044056</v>
      </c>
      <c r="I342" s="316"/>
      <c r="J342" s="305" t="s">
        <v>122</v>
      </c>
      <c r="K342" s="316" t="s">
        <v>3813</v>
      </c>
      <c r="L342" s="303" t="s">
        <v>49</v>
      </c>
      <c r="M342" s="303" t="s">
        <v>40</v>
      </c>
      <c r="N342" s="303"/>
      <c r="O342" s="307"/>
      <c r="P342" s="317"/>
      <c r="Q342" s="305"/>
      <c r="R342" s="309"/>
      <c r="S342" s="8"/>
      <c r="T342" s="9"/>
      <c r="U342" s="9"/>
    </row>
    <row r="343" spans="1:21" ht="15.75" hidden="1" thickTop="1">
      <c r="A343" s="288">
        <f t="shared" si="5"/>
        <v>342</v>
      </c>
      <c r="B343" s="322">
        <v>46064</v>
      </c>
      <c r="C343" s="292" t="s">
        <v>3814</v>
      </c>
      <c r="D343" s="292" t="s">
        <v>3815</v>
      </c>
      <c r="E343" s="292" t="s">
        <v>3130</v>
      </c>
      <c r="F343" s="292" t="s">
        <v>44</v>
      </c>
      <c r="G343" s="315" t="s">
        <v>45</v>
      </c>
      <c r="H343" s="294">
        <v>9880141031</v>
      </c>
      <c r="I343" s="292"/>
      <c r="J343" s="294" t="s">
        <v>122</v>
      </c>
      <c r="K343" s="292"/>
      <c r="L343" s="292" t="s">
        <v>49</v>
      </c>
      <c r="M343" s="292" t="s">
        <v>50</v>
      </c>
      <c r="N343" s="292"/>
      <c r="O343" s="296"/>
      <c r="P343" s="312"/>
      <c r="Q343" s="294"/>
      <c r="R343" s="298"/>
      <c r="S343" s="8"/>
      <c r="T343" s="9"/>
      <c r="U343" s="9"/>
    </row>
    <row r="344" spans="1:21" ht="15.75" hidden="1" thickTop="1">
      <c r="A344" s="299">
        <f t="shared" si="5"/>
        <v>343</v>
      </c>
      <c r="B344" s="323">
        <v>46064</v>
      </c>
      <c r="C344" s="303" t="s">
        <v>3816</v>
      </c>
      <c r="D344" s="303" t="s">
        <v>3816</v>
      </c>
      <c r="E344" s="303" t="s">
        <v>390</v>
      </c>
      <c r="F344" s="303" t="s">
        <v>60</v>
      </c>
      <c r="G344" s="316" t="s">
        <v>3817</v>
      </c>
      <c r="H344" s="305">
        <v>9290571381</v>
      </c>
      <c r="I344" s="316"/>
      <c r="J344" s="305" t="s">
        <v>122</v>
      </c>
      <c r="K344" s="316" t="s">
        <v>3818</v>
      </c>
      <c r="L344" s="303" t="s">
        <v>49</v>
      </c>
      <c r="M344" s="303" t="s">
        <v>40</v>
      </c>
      <c r="N344" s="303"/>
      <c r="O344" s="307"/>
      <c r="P344" s="317"/>
      <c r="Q344" s="305"/>
      <c r="R344" s="309"/>
      <c r="S344" s="8"/>
      <c r="T344" s="9"/>
      <c r="U344" s="9"/>
    </row>
    <row r="345" spans="1:21" ht="15.75" hidden="1" thickTop="1">
      <c r="A345" s="288">
        <f t="shared" si="5"/>
        <v>344</v>
      </c>
      <c r="B345" s="322">
        <v>46064</v>
      </c>
      <c r="C345" s="292"/>
      <c r="D345" s="315" t="s">
        <v>623</v>
      </c>
      <c r="E345" s="315" t="s">
        <v>193</v>
      </c>
      <c r="F345" s="292" t="s">
        <v>44</v>
      </c>
      <c r="G345" s="315" t="s">
        <v>3819</v>
      </c>
      <c r="H345" s="294">
        <v>6354877180</v>
      </c>
      <c r="I345" s="315"/>
      <c r="J345" s="294" t="s">
        <v>122</v>
      </c>
      <c r="K345" s="315" t="s">
        <v>3820</v>
      </c>
      <c r="L345" s="292" t="s">
        <v>49</v>
      </c>
      <c r="M345" s="292" t="s">
        <v>2623</v>
      </c>
      <c r="N345" s="292"/>
      <c r="O345" s="296"/>
      <c r="P345" s="312"/>
      <c r="Q345" s="294"/>
      <c r="R345" s="298"/>
      <c r="S345" s="8"/>
      <c r="T345" s="9"/>
      <c r="U345" s="9"/>
    </row>
    <row r="346" spans="1:21" ht="15.75" hidden="1" thickTop="1">
      <c r="A346" s="299">
        <f t="shared" si="5"/>
        <v>345</v>
      </c>
      <c r="B346" s="323">
        <v>46064</v>
      </c>
      <c r="C346" s="303" t="s">
        <v>3821</v>
      </c>
      <c r="D346" s="303" t="s">
        <v>131</v>
      </c>
      <c r="E346" s="303" t="s">
        <v>22</v>
      </c>
      <c r="F346" s="303" t="s">
        <v>60</v>
      </c>
      <c r="G346" s="316" t="s">
        <v>3822</v>
      </c>
      <c r="H346" s="305">
        <v>9850958386</v>
      </c>
      <c r="I346" s="316" t="s">
        <v>3823</v>
      </c>
      <c r="J346" s="305" t="s">
        <v>1698</v>
      </c>
      <c r="K346" s="316"/>
      <c r="L346" s="303" t="s">
        <v>27</v>
      </c>
      <c r="M346" s="303" t="s">
        <v>50</v>
      </c>
      <c r="N346" s="303" t="s">
        <v>3824</v>
      </c>
      <c r="O346" s="307">
        <v>46064</v>
      </c>
      <c r="P346" s="313">
        <v>195000</v>
      </c>
      <c r="Q346" s="332" t="s">
        <v>79</v>
      </c>
      <c r="R346" s="309"/>
      <c r="S346" s="8"/>
      <c r="T346" s="9"/>
      <c r="U346" s="9"/>
    </row>
    <row r="347" spans="1:21" ht="15.75" hidden="1" thickTop="1">
      <c r="A347" s="288">
        <f t="shared" si="5"/>
        <v>346</v>
      </c>
      <c r="B347" s="322">
        <v>46064</v>
      </c>
      <c r="C347" s="292" t="s">
        <v>3825</v>
      </c>
      <c r="D347" s="292" t="s">
        <v>131</v>
      </c>
      <c r="E347" s="292" t="s">
        <v>22</v>
      </c>
      <c r="F347" s="292" t="s">
        <v>83</v>
      </c>
      <c r="G347" s="315" t="s">
        <v>3826</v>
      </c>
      <c r="H347" s="294">
        <v>9359082879</v>
      </c>
      <c r="I347" s="362" t="s">
        <v>3827</v>
      </c>
      <c r="J347" s="294" t="s">
        <v>1698</v>
      </c>
      <c r="K347" s="315" t="s">
        <v>3828</v>
      </c>
      <c r="L347" s="292" t="s">
        <v>27</v>
      </c>
      <c r="M347" s="292" t="s">
        <v>2623</v>
      </c>
      <c r="N347" s="292" t="s">
        <v>3829</v>
      </c>
      <c r="O347" s="296">
        <v>46064</v>
      </c>
      <c r="P347" s="319">
        <v>100000</v>
      </c>
      <c r="Q347" s="348" t="s">
        <v>292</v>
      </c>
      <c r="R347" s="298"/>
      <c r="S347" s="8"/>
      <c r="T347" s="9"/>
      <c r="U347" s="9"/>
    </row>
    <row r="348" spans="1:21" ht="15.75" hidden="1" thickTop="1">
      <c r="A348" s="299">
        <f t="shared" si="5"/>
        <v>347</v>
      </c>
      <c r="B348" s="323">
        <v>46080</v>
      </c>
      <c r="C348" s="303" t="s">
        <v>3830</v>
      </c>
      <c r="D348" s="303" t="s">
        <v>3831</v>
      </c>
      <c r="E348" s="303" t="s">
        <v>22</v>
      </c>
      <c r="F348" s="303" t="s">
        <v>60</v>
      </c>
      <c r="G348" s="316" t="s">
        <v>3832</v>
      </c>
      <c r="H348" s="305"/>
      <c r="I348" s="361" t="s">
        <v>3833</v>
      </c>
      <c r="J348" s="305" t="s">
        <v>1698</v>
      </c>
      <c r="K348" s="316" t="s">
        <v>3834</v>
      </c>
      <c r="L348" s="303" t="s">
        <v>74</v>
      </c>
      <c r="M348" s="303" t="s">
        <v>28</v>
      </c>
      <c r="N348" s="303"/>
      <c r="O348" s="307">
        <v>46064</v>
      </c>
      <c r="P348" s="317"/>
      <c r="Q348" s="305" t="s">
        <v>70</v>
      </c>
      <c r="R348" s="309"/>
      <c r="S348" s="8"/>
      <c r="T348" s="9"/>
      <c r="U348" s="9"/>
    </row>
    <row r="349" spans="1:21" ht="15.75" hidden="1" thickTop="1">
      <c r="A349" s="288">
        <f t="shared" si="5"/>
        <v>348</v>
      </c>
      <c r="B349" s="322">
        <v>46064</v>
      </c>
      <c r="C349" s="292" t="s">
        <v>3835</v>
      </c>
      <c r="D349" s="292" t="s">
        <v>131</v>
      </c>
      <c r="E349" s="292" t="s">
        <v>22</v>
      </c>
      <c r="F349" s="292" t="s">
        <v>32</v>
      </c>
      <c r="G349" s="315" t="s">
        <v>3836</v>
      </c>
      <c r="H349" s="294"/>
      <c r="I349" s="362" t="s">
        <v>3837</v>
      </c>
      <c r="J349" s="294" t="s">
        <v>1698</v>
      </c>
      <c r="K349" s="315"/>
      <c r="L349" s="292" t="s">
        <v>27</v>
      </c>
      <c r="M349" s="292" t="s">
        <v>77</v>
      </c>
      <c r="N349" s="292" t="s">
        <v>3838</v>
      </c>
      <c r="O349" s="296">
        <v>46064</v>
      </c>
      <c r="P349" s="319">
        <v>799500</v>
      </c>
      <c r="Q349" s="294" t="s">
        <v>79</v>
      </c>
      <c r="R349" s="298"/>
      <c r="S349" s="8"/>
      <c r="T349" s="9"/>
      <c r="U349" s="9"/>
    </row>
    <row r="350" spans="1:21" ht="15.75" hidden="1" thickTop="1">
      <c r="A350" s="299">
        <f t="shared" si="5"/>
        <v>349</v>
      </c>
      <c r="B350" s="323">
        <v>46064</v>
      </c>
      <c r="C350" s="303" t="s">
        <v>3839</v>
      </c>
      <c r="D350" s="303" t="s">
        <v>3840</v>
      </c>
      <c r="E350" s="303" t="s">
        <v>193</v>
      </c>
      <c r="F350" s="303" t="s">
        <v>83</v>
      </c>
      <c r="G350" s="316" t="s">
        <v>3841</v>
      </c>
      <c r="H350" s="305"/>
      <c r="I350" s="361" t="s">
        <v>3842</v>
      </c>
      <c r="J350" s="305" t="s">
        <v>1698</v>
      </c>
      <c r="K350" s="316"/>
      <c r="L350" s="303" t="s">
        <v>49</v>
      </c>
      <c r="M350" s="303" t="s">
        <v>2623</v>
      </c>
      <c r="N350" s="303" t="s">
        <v>3829</v>
      </c>
      <c r="O350" s="307">
        <v>46064</v>
      </c>
      <c r="P350" s="313">
        <v>799500.01</v>
      </c>
      <c r="Q350" s="305" t="s">
        <v>70</v>
      </c>
      <c r="R350" s="309"/>
      <c r="S350" s="8"/>
      <c r="T350" s="9"/>
      <c r="U350" s="9"/>
    </row>
    <row r="351" spans="1:21" ht="15.75" hidden="1" thickTop="1">
      <c r="A351" s="288">
        <f t="shared" si="5"/>
        <v>350</v>
      </c>
      <c r="B351" s="322">
        <v>46064</v>
      </c>
      <c r="C351" s="322" t="s">
        <v>3843</v>
      </c>
      <c r="D351" s="292" t="s">
        <v>1951</v>
      </c>
      <c r="E351" s="292" t="s">
        <v>22</v>
      </c>
      <c r="F351" s="292" t="s">
        <v>73</v>
      </c>
      <c r="G351" s="315" t="s">
        <v>3844</v>
      </c>
      <c r="H351" s="294"/>
      <c r="I351" s="292" t="s">
        <v>3845</v>
      </c>
      <c r="J351" s="294" t="s">
        <v>1698</v>
      </c>
      <c r="K351" s="292" t="s">
        <v>3846</v>
      </c>
      <c r="L351" s="292" t="s">
        <v>27</v>
      </c>
      <c r="M351" s="292" t="s">
        <v>28</v>
      </c>
      <c r="N351" s="292" t="s">
        <v>3847</v>
      </c>
      <c r="O351" s="296">
        <v>46066</v>
      </c>
      <c r="P351" s="319">
        <v>799500.02</v>
      </c>
      <c r="Q351" s="297" t="s">
        <v>70</v>
      </c>
      <c r="R351" s="363"/>
      <c r="S351" s="8"/>
      <c r="T351" s="9"/>
      <c r="U351" s="9"/>
    </row>
    <row r="352" spans="1:21" ht="15.75" hidden="1" thickTop="1">
      <c r="A352" s="299">
        <f t="shared" si="5"/>
        <v>351</v>
      </c>
      <c r="B352" s="323">
        <v>46065</v>
      </c>
      <c r="C352" s="364" t="s">
        <v>3848</v>
      </c>
      <c r="D352" s="303" t="s">
        <v>3849</v>
      </c>
      <c r="E352" s="303" t="s">
        <v>22</v>
      </c>
      <c r="F352" s="303" t="s">
        <v>60</v>
      </c>
      <c r="G352" s="316" t="s">
        <v>180</v>
      </c>
      <c r="H352" s="305">
        <v>9890948876</v>
      </c>
      <c r="I352" s="303" t="s">
        <v>3850</v>
      </c>
      <c r="J352" s="305" t="s">
        <v>63</v>
      </c>
      <c r="K352" s="303" t="s">
        <v>3851</v>
      </c>
      <c r="L352" s="303" t="s">
        <v>49</v>
      </c>
      <c r="M352" s="303" t="s">
        <v>40</v>
      </c>
      <c r="N352" s="303"/>
      <c r="O352" s="307"/>
      <c r="P352" s="308"/>
      <c r="Q352" s="308"/>
      <c r="R352" s="365"/>
      <c r="S352" s="8"/>
      <c r="T352" s="9"/>
      <c r="U352" s="9"/>
    </row>
    <row r="353" spans="1:21" ht="15.75" hidden="1" thickTop="1">
      <c r="A353" s="288">
        <f t="shared" si="5"/>
        <v>352</v>
      </c>
      <c r="B353" s="322">
        <v>46065</v>
      </c>
      <c r="C353" s="366"/>
      <c r="D353" s="292" t="s">
        <v>2762</v>
      </c>
      <c r="E353" s="292" t="s">
        <v>22</v>
      </c>
      <c r="F353" s="292" t="s">
        <v>60</v>
      </c>
      <c r="G353" s="315" t="s">
        <v>180</v>
      </c>
      <c r="H353" s="294">
        <v>9284993627</v>
      </c>
      <c r="I353" s="295"/>
      <c r="J353" s="294" t="s">
        <v>63</v>
      </c>
      <c r="K353" s="292" t="s">
        <v>3852</v>
      </c>
      <c r="L353" s="292" t="s">
        <v>49</v>
      </c>
      <c r="M353" s="292" t="s">
        <v>40</v>
      </c>
      <c r="N353" s="292"/>
      <c r="O353" s="296"/>
      <c r="P353" s="297"/>
      <c r="Q353" s="297"/>
      <c r="R353" s="363"/>
      <c r="S353" s="8"/>
      <c r="T353" s="9"/>
      <c r="U353" s="9"/>
    </row>
    <row r="354" spans="1:21" ht="15.75" hidden="1" thickTop="1">
      <c r="A354" s="299">
        <f t="shared" si="5"/>
        <v>353</v>
      </c>
      <c r="B354" s="323">
        <v>46065</v>
      </c>
      <c r="C354" s="364"/>
      <c r="D354" s="303" t="s">
        <v>3129</v>
      </c>
      <c r="E354" s="303" t="s">
        <v>3130</v>
      </c>
      <c r="F354" s="303" t="s">
        <v>44</v>
      </c>
      <c r="G354" s="316" t="s">
        <v>45</v>
      </c>
      <c r="H354" s="305">
        <v>6362477504</v>
      </c>
      <c r="I354" s="356" t="s">
        <v>3853</v>
      </c>
      <c r="J354" s="305" t="s">
        <v>122</v>
      </c>
      <c r="K354" s="303" t="s">
        <v>3854</v>
      </c>
      <c r="L354" s="303" t="s">
        <v>49</v>
      </c>
      <c r="M354" s="303" t="s">
        <v>50</v>
      </c>
      <c r="N354" s="303"/>
      <c r="O354" s="307"/>
      <c r="P354" s="308"/>
      <c r="Q354" s="308"/>
      <c r="R354" s="365"/>
      <c r="S354" s="8"/>
      <c r="T354" s="9"/>
      <c r="U354" s="9"/>
    </row>
    <row r="355" spans="1:21" ht="15.75" hidden="1" thickTop="1">
      <c r="A355" s="288">
        <f t="shared" si="5"/>
        <v>354</v>
      </c>
      <c r="B355" s="322">
        <v>46066</v>
      </c>
      <c r="C355" s="366"/>
      <c r="D355" s="292" t="s">
        <v>3855</v>
      </c>
      <c r="E355" s="292" t="s">
        <v>22</v>
      </c>
      <c r="F355" s="292" t="s">
        <v>73</v>
      </c>
      <c r="G355" s="315" t="s">
        <v>3856</v>
      </c>
      <c r="H355" s="294">
        <v>9112937104</v>
      </c>
      <c r="I355" s="295"/>
      <c r="J355" s="294" t="s">
        <v>122</v>
      </c>
      <c r="K355" s="292" t="s">
        <v>3857</v>
      </c>
      <c r="L355" s="292" t="s">
        <v>49</v>
      </c>
      <c r="M355" s="292" t="s">
        <v>2623</v>
      </c>
      <c r="N355" s="292"/>
      <c r="O355" s="296"/>
      <c r="P355" s="297"/>
      <c r="Q355" s="297"/>
      <c r="R355" s="363"/>
      <c r="S355" s="8"/>
      <c r="T355" s="9"/>
      <c r="U355" s="9"/>
    </row>
    <row r="356" spans="1:21" ht="15.75" hidden="1" thickTop="1">
      <c r="A356" s="299">
        <f t="shared" si="5"/>
        <v>355</v>
      </c>
      <c r="B356" s="323">
        <v>46066</v>
      </c>
      <c r="C356" s="364" t="s">
        <v>3858</v>
      </c>
      <c r="D356" s="303" t="s">
        <v>3859</v>
      </c>
      <c r="E356" s="303" t="s">
        <v>22</v>
      </c>
      <c r="F356" s="303" t="s">
        <v>53</v>
      </c>
      <c r="G356" s="316" t="s">
        <v>1967</v>
      </c>
      <c r="H356" s="305">
        <v>7498627452</v>
      </c>
      <c r="I356" s="356" t="s">
        <v>3860</v>
      </c>
      <c r="J356" s="305" t="s">
        <v>122</v>
      </c>
      <c r="K356" s="303" t="s">
        <v>3861</v>
      </c>
      <c r="L356" s="303" t="s">
        <v>49</v>
      </c>
      <c r="M356" s="303" t="s">
        <v>2623</v>
      </c>
      <c r="N356" s="303"/>
      <c r="O356" s="307"/>
      <c r="P356" s="308"/>
      <c r="Q356" s="308"/>
      <c r="R356" s="365"/>
      <c r="S356" s="8"/>
      <c r="T356" s="9"/>
      <c r="U356" s="9"/>
    </row>
    <row r="357" spans="1:21" ht="15.75" hidden="1" thickTop="1">
      <c r="A357" s="288">
        <f t="shared" si="5"/>
        <v>356</v>
      </c>
      <c r="B357" s="322">
        <v>46066</v>
      </c>
      <c r="C357" s="366"/>
      <c r="D357" s="292" t="s">
        <v>3129</v>
      </c>
      <c r="E357" s="292" t="s">
        <v>3130</v>
      </c>
      <c r="F357" s="292" t="s">
        <v>60</v>
      </c>
      <c r="G357" s="315" t="s">
        <v>180</v>
      </c>
      <c r="H357" s="294">
        <v>7019183878</v>
      </c>
      <c r="I357" s="295"/>
      <c r="J357" s="294" t="s">
        <v>122</v>
      </c>
      <c r="K357" s="292" t="s">
        <v>3862</v>
      </c>
      <c r="L357" s="292" t="s">
        <v>49</v>
      </c>
      <c r="M357" s="292" t="s">
        <v>40</v>
      </c>
      <c r="N357" s="292"/>
      <c r="O357" s="296"/>
      <c r="P357" s="297"/>
      <c r="Q357" s="297"/>
      <c r="R357" s="363"/>
      <c r="S357" s="8"/>
      <c r="T357" s="9"/>
      <c r="U357" s="9"/>
    </row>
    <row r="358" spans="1:21" ht="15.75" hidden="1" thickTop="1">
      <c r="A358" s="299">
        <f t="shared" si="5"/>
        <v>357</v>
      </c>
      <c r="B358" s="323">
        <v>46066</v>
      </c>
      <c r="C358" s="364"/>
      <c r="D358" s="364" t="s">
        <v>3863</v>
      </c>
      <c r="E358" s="303" t="s">
        <v>22</v>
      </c>
      <c r="F358" s="303" t="s">
        <v>83</v>
      </c>
      <c r="G358" s="316" t="s">
        <v>852</v>
      </c>
      <c r="H358" s="305">
        <v>9765366661</v>
      </c>
      <c r="I358" s="314"/>
      <c r="J358" s="305" t="s">
        <v>122</v>
      </c>
      <c r="K358" s="303" t="s">
        <v>3864</v>
      </c>
      <c r="L358" s="303" t="s">
        <v>49</v>
      </c>
      <c r="M358" s="303" t="s">
        <v>2623</v>
      </c>
      <c r="N358" s="303"/>
      <c r="O358" s="307"/>
      <c r="P358" s="308"/>
      <c r="Q358" s="308"/>
      <c r="R358" s="365"/>
      <c r="S358" s="8"/>
      <c r="T358" s="9"/>
      <c r="U358" s="9"/>
    </row>
    <row r="359" spans="1:21" ht="15.75" hidden="1" thickTop="1">
      <c r="A359" s="288">
        <f t="shared" si="5"/>
        <v>358</v>
      </c>
      <c r="B359" s="322">
        <v>46066</v>
      </c>
      <c r="C359" s="366"/>
      <c r="D359" s="366" t="s">
        <v>2743</v>
      </c>
      <c r="E359" s="292" t="s">
        <v>193</v>
      </c>
      <c r="F359" s="292" t="s">
        <v>73</v>
      </c>
      <c r="G359" s="315" t="s">
        <v>3856</v>
      </c>
      <c r="H359" s="294">
        <v>8469294029</v>
      </c>
      <c r="I359" s="295"/>
      <c r="J359" s="294" t="s">
        <v>122</v>
      </c>
      <c r="K359" s="292" t="s">
        <v>3865</v>
      </c>
      <c r="L359" s="292" t="s">
        <v>49</v>
      </c>
      <c r="M359" s="292" t="s">
        <v>2623</v>
      </c>
      <c r="N359" s="292"/>
      <c r="O359" s="296"/>
      <c r="P359" s="297"/>
      <c r="Q359" s="297"/>
      <c r="R359" s="363"/>
      <c r="S359" s="8"/>
      <c r="T359" s="9"/>
      <c r="U359" s="9"/>
    </row>
    <row r="360" spans="1:21" ht="15.75" hidden="1" thickTop="1">
      <c r="A360" s="299">
        <f t="shared" si="5"/>
        <v>359</v>
      </c>
      <c r="B360" s="323">
        <v>46066</v>
      </c>
      <c r="C360" s="323" t="s">
        <v>3866</v>
      </c>
      <c r="D360" s="303" t="s">
        <v>131</v>
      </c>
      <c r="E360" s="303" t="s">
        <v>22</v>
      </c>
      <c r="F360" s="303" t="s">
        <v>32</v>
      </c>
      <c r="G360" s="316" t="s">
        <v>3867</v>
      </c>
      <c r="H360" s="305"/>
      <c r="I360" s="367" t="s">
        <v>1974</v>
      </c>
      <c r="J360" s="305" t="s">
        <v>25</v>
      </c>
      <c r="K360" s="303" t="s">
        <v>3868</v>
      </c>
      <c r="L360" s="303" t="s">
        <v>49</v>
      </c>
      <c r="M360" s="303" t="s">
        <v>28</v>
      </c>
      <c r="N360" s="303" t="s">
        <v>3869</v>
      </c>
      <c r="O360" s="307">
        <v>46066</v>
      </c>
      <c r="P360" s="324">
        <v>406930</v>
      </c>
      <c r="Q360" s="308" t="s">
        <v>30</v>
      </c>
      <c r="R360" s="365"/>
      <c r="S360" s="8"/>
      <c r="T360" s="9"/>
      <c r="U360" s="9"/>
    </row>
    <row r="361" spans="1:21" ht="15.75" hidden="1" thickTop="1">
      <c r="A361" s="288">
        <f t="shared" si="5"/>
        <v>360</v>
      </c>
      <c r="B361" s="322">
        <v>46066</v>
      </c>
      <c r="C361" s="292" t="s">
        <v>3870</v>
      </c>
      <c r="D361" s="292" t="s">
        <v>131</v>
      </c>
      <c r="E361" s="292" t="s">
        <v>22</v>
      </c>
      <c r="F361" s="292" t="s">
        <v>60</v>
      </c>
      <c r="G361" s="315" t="s">
        <v>3871</v>
      </c>
      <c r="H361" s="294"/>
      <c r="I361" s="368" t="s">
        <v>3872</v>
      </c>
      <c r="J361" s="294" t="s">
        <v>1698</v>
      </c>
      <c r="K361" s="292"/>
      <c r="L361" s="292" t="s">
        <v>27</v>
      </c>
      <c r="M361" s="292" t="s">
        <v>28</v>
      </c>
      <c r="N361" s="292" t="s">
        <v>3873</v>
      </c>
      <c r="O361" s="296">
        <v>46066</v>
      </c>
      <c r="P361" s="319">
        <v>53477</v>
      </c>
      <c r="Q361" s="294" t="s">
        <v>70</v>
      </c>
      <c r="R361" s="298"/>
      <c r="S361" s="8"/>
      <c r="T361" s="9"/>
      <c r="U361" s="9"/>
    </row>
    <row r="362" spans="1:21" ht="15.75" hidden="1" thickTop="1">
      <c r="A362" s="299">
        <f t="shared" si="5"/>
        <v>361</v>
      </c>
      <c r="B362" s="323">
        <v>46066</v>
      </c>
      <c r="C362" s="303" t="s">
        <v>350</v>
      </c>
      <c r="D362" s="303" t="s">
        <v>131</v>
      </c>
      <c r="E362" s="303" t="s">
        <v>22</v>
      </c>
      <c r="F362" s="303" t="s">
        <v>60</v>
      </c>
      <c r="G362" s="316" t="s">
        <v>3874</v>
      </c>
      <c r="H362" s="305">
        <v>9822577592</v>
      </c>
      <c r="I362" s="367" t="s">
        <v>3146</v>
      </c>
      <c r="J362" s="305" t="s">
        <v>1698</v>
      </c>
      <c r="K362" s="303" t="s">
        <v>3875</v>
      </c>
      <c r="L362" s="303" t="s">
        <v>27</v>
      </c>
      <c r="M362" s="303" t="s">
        <v>40</v>
      </c>
      <c r="N362" s="303" t="s">
        <v>3876</v>
      </c>
      <c r="O362" s="307">
        <v>46066</v>
      </c>
      <c r="P362" s="313"/>
      <c r="Q362" s="305" t="s">
        <v>70</v>
      </c>
      <c r="R362" s="309"/>
      <c r="S362" s="8"/>
      <c r="T362" s="9"/>
      <c r="U362" s="9"/>
    </row>
    <row r="363" spans="1:21" ht="15.75" hidden="1" thickTop="1">
      <c r="A363" s="288">
        <f t="shared" si="5"/>
        <v>362</v>
      </c>
      <c r="B363" s="322">
        <v>46066</v>
      </c>
      <c r="C363" s="292" t="s">
        <v>3877</v>
      </c>
      <c r="D363" s="292" t="s">
        <v>131</v>
      </c>
      <c r="E363" s="292" t="s">
        <v>22</v>
      </c>
      <c r="F363" s="292" t="s">
        <v>23</v>
      </c>
      <c r="G363" s="292" t="s">
        <v>3878</v>
      </c>
      <c r="H363" s="294">
        <v>9893481678</v>
      </c>
      <c r="I363" s="368" t="s">
        <v>85</v>
      </c>
      <c r="J363" s="294" t="s">
        <v>1698</v>
      </c>
      <c r="K363" s="292" t="s">
        <v>3879</v>
      </c>
      <c r="L363" s="292" t="s">
        <v>27</v>
      </c>
      <c r="M363" s="292" t="s">
        <v>28</v>
      </c>
      <c r="N363" s="292" t="s">
        <v>3880</v>
      </c>
      <c r="O363" s="296">
        <v>46066</v>
      </c>
      <c r="P363" s="369">
        <v>5200000</v>
      </c>
      <c r="Q363" s="294" t="s">
        <v>292</v>
      </c>
      <c r="R363" s="298"/>
      <c r="S363" s="8"/>
      <c r="T363" s="9"/>
      <c r="U363" s="9"/>
    </row>
    <row r="364" spans="1:21" ht="15.75" hidden="1" thickTop="1">
      <c r="A364" s="299">
        <f t="shared" si="5"/>
        <v>363</v>
      </c>
      <c r="B364" s="323">
        <v>46067</v>
      </c>
      <c r="C364" s="303" t="s">
        <v>3881</v>
      </c>
      <c r="D364" s="303" t="s">
        <v>131</v>
      </c>
      <c r="E364" s="303" t="s">
        <v>22</v>
      </c>
      <c r="F364" s="303" t="s">
        <v>60</v>
      </c>
      <c r="G364" s="316" t="s">
        <v>3882</v>
      </c>
      <c r="H364" s="305"/>
      <c r="I364" s="367" t="s">
        <v>3883</v>
      </c>
      <c r="J364" s="305" t="s">
        <v>25</v>
      </c>
      <c r="K364" s="303" t="s">
        <v>3884</v>
      </c>
      <c r="L364" s="303" t="s">
        <v>49</v>
      </c>
      <c r="M364" s="303" t="s">
        <v>2623</v>
      </c>
      <c r="N364" s="303" t="s">
        <v>3885</v>
      </c>
      <c r="O364" s="307">
        <v>46067</v>
      </c>
      <c r="P364" s="324">
        <v>565000</v>
      </c>
      <c r="Q364" s="305" t="s">
        <v>30</v>
      </c>
      <c r="R364" s="309"/>
      <c r="S364" s="8"/>
      <c r="T364" s="9"/>
      <c r="U364" s="9"/>
    </row>
    <row r="365" spans="1:21" ht="15.75" hidden="1" thickTop="1">
      <c r="A365" s="288">
        <f t="shared" si="5"/>
        <v>364</v>
      </c>
      <c r="B365" s="322">
        <v>46067</v>
      </c>
      <c r="C365" s="292" t="s">
        <v>3886</v>
      </c>
      <c r="D365" s="292" t="s">
        <v>2762</v>
      </c>
      <c r="E365" s="292" t="s">
        <v>22</v>
      </c>
      <c r="F365" s="292" t="s">
        <v>23</v>
      </c>
      <c r="G365" s="292" t="s">
        <v>1286</v>
      </c>
      <c r="H365" s="294">
        <v>8600021673</v>
      </c>
      <c r="I365" s="370" t="s">
        <v>3887</v>
      </c>
      <c r="J365" s="294" t="s">
        <v>56</v>
      </c>
      <c r="K365" s="292" t="s">
        <v>3888</v>
      </c>
      <c r="L365" s="292" t="s">
        <v>49</v>
      </c>
      <c r="M365" s="292" t="s">
        <v>50</v>
      </c>
      <c r="N365" s="292"/>
      <c r="O365" s="296"/>
      <c r="P365" s="297"/>
      <c r="Q365" s="294" t="s">
        <v>98</v>
      </c>
      <c r="R365" s="298"/>
      <c r="S365" s="8"/>
      <c r="T365" s="9"/>
      <c r="U365" s="9"/>
    </row>
    <row r="366" spans="1:21" ht="15.75" hidden="1" thickTop="1">
      <c r="A366" s="299">
        <f t="shared" si="5"/>
        <v>365</v>
      </c>
      <c r="B366" s="323">
        <v>46067</v>
      </c>
      <c r="C366" s="303" t="s">
        <v>3889</v>
      </c>
      <c r="D366" s="303" t="s">
        <v>3890</v>
      </c>
      <c r="E366" s="303" t="s">
        <v>193</v>
      </c>
      <c r="F366" s="303" t="s">
        <v>60</v>
      </c>
      <c r="G366" s="316" t="s">
        <v>180</v>
      </c>
      <c r="H366" s="305">
        <v>9586710933</v>
      </c>
      <c r="I366" s="371" t="s">
        <v>3891</v>
      </c>
      <c r="J366" s="305" t="s">
        <v>63</v>
      </c>
      <c r="K366" s="303" t="s">
        <v>3892</v>
      </c>
      <c r="L366" s="303" t="s">
        <v>49</v>
      </c>
      <c r="M366" s="303" t="s">
        <v>40</v>
      </c>
      <c r="N366" s="303"/>
      <c r="O366" s="307"/>
      <c r="P366" s="308"/>
      <c r="Q366" s="305"/>
      <c r="R366" s="309"/>
      <c r="S366" s="8"/>
      <c r="T366" s="9"/>
      <c r="U366" s="9"/>
    </row>
    <row r="367" spans="1:21" ht="15.75" hidden="1" thickTop="1">
      <c r="A367" s="288">
        <f t="shared" si="5"/>
        <v>366</v>
      </c>
      <c r="B367" s="322">
        <v>46067</v>
      </c>
      <c r="C367" s="292" t="s">
        <v>3893</v>
      </c>
      <c r="D367" s="292" t="s">
        <v>3894</v>
      </c>
      <c r="E367" s="292" t="s">
        <v>22</v>
      </c>
      <c r="F367" s="292" t="s">
        <v>73</v>
      </c>
      <c r="G367" s="292" t="s">
        <v>3895</v>
      </c>
      <c r="H367" s="294">
        <v>9156385850</v>
      </c>
      <c r="I367" s="370" t="s">
        <v>3896</v>
      </c>
      <c r="J367" s="294" t="s">
        <v>122</v>
      </c>
      <c r="K367" s="292" t="s">
        <v>3897</v>
      </c>
      <c r="L367" s="292" t="s">
        <v>49</v>
      </c>
      <c r="M367" s="292" t="s">
        <v>2623</v>
      </c>
      <c r="N367" s="292"/>
      <c r="O367" s="296"/>
      <c r="P367" s="297"/>
      <c r="Q367" s="294"/>
      <c r="R367" s="298"/>
      <c r="S367" s="8"/>
      <c r="T367" s="9"/>
      <c r="U367" s="9"/>
    </row>
    <row r="368" spans="1:21" ht="15.75" hidden="1" thickTop="1">
      <c r="A368" s="299">
        <f t="shared" si="5"/>
        <v>367</v>
      </c>
      <c r="B368" s="323">
        <v>46068</v>
      </c>
      <c r="C368" s="303" t="s">
        <v>3898</v>
      </c>
      <c r="D368" s="303" t="s">
        <v>3899</v>
      </c>
      <c r="E368" s="303" t="s">
        <v>22</v>
      </c>
      <c r="F368" s="303" t="s">
        <v>23</v>
      </c>
      <c r="G368" s="316" t="s">
        <v>3900</v>
      </c>
      <c r="H368" s="305"/>
      <c r="I368" s="367" t="s">
        <v>3429</v>
      </c>
      <c r="J368" s="305" t="s">
        <v>1698</v>
      </c>
      <c r="K368" s="303" t="s">
        <v>3901</v>
      </c>
      <c r="L368" s="303" t="s">
        <v>74</v>
      </c>
      <c r="M368" s="303" t="s">
        <v>28</v>
      </c>
      <c r="N368" s="303" t="s">
        <v>3876</v>
      </c>
      <c r="O368" s="307">
        <v>46068</v>
      </c>
      <c r="P368" s="313">
        <v>700000</v>
      </c>
      <c r="Q368" s="305" t="s">
        <v>79</v>
      </c>
      <c r="R368" s="309"/>
      <c r="S368" s="8"/>
      <c r="T368" s="9"/>
      <c r="U368" s="9"/>
    </row>
    <row r="369" spans="1:21" ht="15.75" hidden="1" thickTop="1">
      <c r="A369" s="288">
        <f t="shared" si="5"/>
        <v>368</v>
      </c>
      <c r="B369" s="322">
        <v>46068</v>
      </c>
      <c r="C369" s="292" t="s">
        <v>3902</v>
      </c>
      <c r="D369" s="292" t="s">
        <v>3903</v>
      </c>
      <c r="E369" s="292" t="s">
        <v>214</v>
      </c>
      <c r="F369" s="292" t="s">
        <v>73</v>
      </c>
      <c r="G369" s="292" t="s">
        <v>3904</v>
      </c>
      <c r="H369" s="294"/>
      <c r="I369" s="368" t="s">
        <v>3905</v>
      </c>
      <c r="J369" s="294" t="s">
        <v>1698</v>
      </c>
      <c r="K369" s="292"/>
      <c r="L369" s="292" t="s">
        <v>49</v>
      </c>
      <c r="M369" s="292" t="s">
        <v>50</v>
      </c>
      <c r="N369" s="292" t="s">
        <v>3906</v>
      </c>
      <c r="O369" s="296">
        <v>46068</v>
      </c>
      <c r="P369" s="319">
        <v>5888697.6699999999</v>
      </c>
      <c r="Q369" s="294" t="s">
        <v>79</v>
      </c>
      <c r="R369" s="298"/>
      <c r="S369" s="8"/>
      <c r="T369" s="9"/>
      <c r="U369" s="9"/>
    </row>
    <row r="370" spans="1:21" ht="15.75" hidden="1" thickTop="1">
      <c r="A370" s="299">
        <f t="shared" si="5"/>
        <v>369</v>
      </c>
      <c r="B370" s="323">
        <v>46068</v>
      </c>
      <c r="C370" s="303" t="s">
        <v>3907</v>
      </c>
      <c r="D370" s="303" t="s">
        <v>3908</v>
      </c>
      <c r="E370" s="303" t="s">
        <v>1421</v>
      </c>
      <c r="F370" s="303" t="s">
        <v>73</v>
      </c>
      <c r="G370" s="303" t="s">
        <v>3909</v>
      </c>
      <c r="H370" s="305">
        <v>9853075822</v>
      </c>
      <c r="I370" s="371" t="s">
        <v>3910</v>
      </c>
      <c r="J370" s="305" t="s">
        <v>567</v>
      </c>
      <c r="K370" s="303" t="s">
        <v>3911</v>
      </c>
      <c r="L370" s="303" t="s">
        <v>49</v>
      </c>
      <c r="M370" s="303" t="s">
        <v>50</v>
      </c>
      <c r="N370" s="303"/>
      <c r="O370" s="307"/>
      <c r="P370" s="308"/>
      <c r="Q370" s="305"/>
      <c r="R370" s="309"/>
      <c r="S370" s="8"/>
      <c r="T370" s="9"/>
      <c r="U370" s="9"/>
    </row>
    <row r="371" spans="1:21" ht="15.75" hidden="1" thickTop="1">
      <c r="A371" s="288">
        <f t="shared" si="5"/>
        <v>370</v>
      </c>
      <c r="B371" s="322">
        <v>46068</v>
      </c>
      <c r="C371" s="292" t="s">
        <v>2190</v>
      </c>
      <c r="D371" s="292" t="s">
        <v>2730</v>
      </c>
      <c r="E371" s="292" t="s">
        <v>82</v>
      </c>
      <c r="F371" s="292" t="s">
        <v>23</v>
      </c>
      <c r="G371" s="315" t="s">
        <v>3912</v>
      </c>
      <c r="H371" s="294">
        <v>9600783068</v>
      </c>
      <c r="I371" s="370" t="s">
        <v>2192</v>
      </c>
      <c r="J371" s="294" t="s">
        <v>122</v>
      </c>
      <c r="K371" s="315" t="s">
        <v>2732</v>
      </c>
      <c r="L371" s="292" t="s">
        <v>49</v>
      </c>
      <c r="M371" s="292" t="s">
        <v>50</v>
      </c>
      <c r="N371" s="292"/>
      <c r="O371" s="296"/>
      <c r="P371" s="297"/>
      <c r="Q371" s="294"/>
      <c r="R371" s="298"/>
      <c r="S371" s="8"/>
      <c r="T371" s="9"/>
      <c r="U371" s="9"/>
    </row>
    <row r="372" spans="1:21" ht="15.75" hidden="1" thickTop="1">
      <c r="A372" s="299">
        <f t="shared" si="5"/>
        <v>371</v>
      </c>
      <c r="B372" s="323">
        <v>46068</v>
      </c>
      <c r="C372" s="303" t="s">
        <v>3913</v>
      </c>
      <c r="D372" s="303" t="s">
        <v>3914</v>
      </c>
      <c r="E372" s="303" t="s">
        <v>82</v>
      </c>
      <c r="F372" s="303" t="s">
        <v>1561</v>
      </c>
      <c r="G372" s="316" t="s">
        <v>3915</v>
      </c>
      <c r="H372" s="305">
        <v>9443360279</v>
      </c>
      <c r="I372" s="371" t="s">
        <v>3916</v>
      </c>
      <c r="J372" s="305" t="s">
        <v>567</v>
      </c>
      <c r="K372" s="303" t="s">
        <v>3917</v>
      </c>
      <c r="L372" s="303" t="s">
        <v>49</v>
      </c>
      <c r="M372" s="303" t="s">
        <v>50</v>
      </c>
      <c r="N372" s="303"/>
      <c r="O372" s="307"/>
      <c r="P372" s="308"/>
      <c r="Q372" s="305"/>
      <c r="R372" s="309"/>
      <c r="S372" s="8"/>
      <c r="T372" s="9"/>
      <c r="U372" s="9"/>
    </row>
    <row r="373" spans="1:21" ht="15.75" hidden="1" thickTop="1">
      <c r="A373" s="288">
        <f t="shared" si="5"/>
        <v>372</v>
      </c>
      <c r="B373" s="322">
        <v>46068</v>
      </c>
      <c r="C373" s="292" t="s">
        <v>3918</v>
      </c>
      <c r="D373" s="292" t="s">
        <v>3919</v>
      </c>
      <c r="E373" s="292" t="s">
        <v>22</v>
      </c>
      <c r="F373" s="292" t="s">
        <v>44</v>
      </c>
      <c r="G373" s="292" t="s">
        <v>45</v>
      </c>
      <c r="H373" s="294">
        <v>9209881633</v>
      </c>
      <c r="I373" s="370" t="s">
        <v>3920</v>
      </c>
      <c r="J373" s="294" t="s">
        <v>567</v>
      </c>
      <c r="K373" s="292" t="s">
        <v>3921</v>
      </c>
      <c r="L373" s="292" t="s">
        <v>49</v>
      </c>
      <c r="M373" s="292" t="s">
        <v>2623</v>
      </c>
      <c r="N373" s="292"/>
      <c r="O373" s="296"/>
      <c r="P373" s="297"/>
      <c r="Q373" s="294"/>
      <c r="R373" s="298"/>
      <c r="S373" s="8"/>
      <c r="T373" s="9"/>
      <c r="U373" s="9"/>
    </row>
    <row r="374" spans="1:21" ht="15.75" hidden="1" thickTop="1">
      <c r="A374" s="299">
        <f t="shared" si="5"/>
        <v>373</v>
      </c>
      <c r="B374" s="323">
        <v>46068</v>
      </c>
      <c r="C374" s="303" t="s">
        <v>3922</v>
      </c>
      <c r="D374" s="303" t="s">
        <v>3923</v>
      </c>
      <c r="E374" s="303" t="s">
        <v>22</v>
      </c>
      <c r="F374" s="303" t="s">
        <v>23</v>
      </c>
      <c r="G374" s="303" t="s">
        <v>3924</v>
      </c>
      <c r="H374" s="305">
        <v>8830937352</v>
      </c>
      <c r="I374" s="303" t="s">
        <v>3925</v>
      </c>
      <c r="J374" s="305" t="s">
        <v>567</v>
      </c>
      <c r="K374" s="303" t="s">
        <v>3926</v>
      </c>
      <c r="L374" s="303" t="s">
        <v>49</v>
      </c>
      <c r="M374" s="303" t="s">
        <v>50</v>
      </c>
      <c r="N374" s="303"/>
      <c r="O374" s="307"/>
      <c r="P374" s="308"/>
      <c r="Q374" s="305"/>
      <c r="R374" s="309"/>
      <c r="S374" s="8"/>
      <c r="T374" s="9"/>
      <c r="U374" s="9"/>
    </row>
    <row r="375" spans="1:21" ht="15.75" hidden="1" thickTop="1">
      <c r="A375" s="288">
        <f t="shared" si="5"/>
        <v>374</v>
      </c>
      <c r="B375" s="322">
        <v>46068</v>
      </c>
      <c r="C375" s="292" t="s">
        <v>3927</v>
      </c>
      <c r="D375" s="292" t="s">
        <v>3928</v>
      </c>
      <c r="E375" s="292" t="s">
        <v>272</v>
      </c>
      <c r="F375" s="292" t="s">
        <v>60</v>
      </c>
      <c r="G375" s="292" t="s">
        <v>3929</v>
      </c>
      <c r="H375" s="294">
        <v>9041923323</v>
      </c>
      <c r="I375" s="292" t="s">
        <v>3930</v>
      </c>
      <c r="J375" s="294" t="s">
        <v>63</v>
      </c>
      <c r="K375" s="292" t="s">
        <v>3931</v>
      </c>
      <c r="L375" s="292" t="s">
        <v>49</v>
      </c>
      <c r="M375" s="292" t="s">
        <v>40</v>
      </c>
      <c r="N375" s="292"/>
      <c r="O375" s="296"/>
      <c r="P375" s="297"/>
      <c r="Q375" s="294"/>
      <c r="R375" s="298"/>
      <c r="S375" s="8"/>
      <c r="T375" s="9"/>
      <c r="U375" s="9"/>
    </row>
    <row r="376" spans="1:21" ht="15.75" hidden="1" thickTop="1">
      <c r="A376" s="299">
        <f t="shared" si="5"/>
        <v>375</v>
      </c>
      <c r="B376" s="323">
        <v>46068</v>
      </c>
      <c r="C376" s="303" t="s">
        <v>912</v>
      </c>
      <c r="D376" s="303" t="s">
        <v>3932</v>
      </c>
      <c r="E376" s="303" t="s">
        <v>22</v>
      </c>
      <c r="F376" s="303" t="s">
        <v>32</v>
      </c>
      <c r="G376" s="316" t="s">
        <v>3933</v>
      </c>
      <c r="H376" s="305"/>
      <c r="I376" s="303" t="s">
        <v>3934</v>
      </c>
      <c r="J376" s="305" t="s">
        <v>1698</v>
      </c>
      <c r="K376" s="303" t="s">
        <v>3935</v>
      </c>
      <c r="L376" s="303" t="s">
        <v>27</v>
      </c>
      <c r="M376" s="316" t="s">
        <v>50</v>
      </c>
      <c r="N376" s="367" t="s">
        <v>3936</v>
      </c>
      <c r="O376" s="307">
        <v>46069</v>
      </c>
      <c r="P376" s="313">
        <v>46046</v>
      </c>
      <c r="Q376" s="305" t="s">
        <v>79</v>
      </c>
      <c r="R376" s="309"/>
      <c r="S376" s="8"/>
      <c r="T376" s="9"/>
      <c r="U376" s="9"/>
    </row>
    <row r="377" spans="1:21" ht="15.75" hidden="1" thickTop="1">
      <c r="A377" s="288">
        <f t="shared" si="5"/>
        <v>376</v>
      </c>
      <c r="B377" s="322">
        <v>46069</v>
      </c>
      <c r="C377" s="292" t="s">
        <v>3937</v>
      </c>
      <c r="D377" s="292" t="s">
        <v>2536</v>
      </c>
      <c r="E377" s="292" t="s">
        <v>22</v>
      </c>
      <c r="F377" s="292" t="s">
        <v>59</v>
      </c>
      <c r="G377" s="315" t="s">
        <v>3938</v>
      </c>
      <c r="H377" s="294">
        <v>7447420703</v>
      </c>
      <c r="I377" s="368" t="s">
        <v>3939</v>
      </c>
      <c r="J377" s="294" t="s">
        <v>1698</v>
      </c>
      <c r="K377" s="292" t="s">
        <v>3940</v>
      </c>
      <c r="L377" s="292" t="s">
        <v>117</v>
      </c>
      <c r="M377" s="315" t="s">
        <v>40</v>
      </c>
      <c r="N377" s="368" t="s">
        <v>3941</v>
      </c>
      <c r="O377" s="296">
        <v>46069</v>
      </c>
      <c r="P377" s="319">
        <v>14530</v>
      </c>
      <c r="Q377" s="294" t="s">
        <v>79</v>
      </c>
      <c r="R377" s="298"/>
      <c r="S377" s="8"/>
      <c r="T377" s="9"/>
      <c r="U377" s="9"/>
    </row>
    <row r="378" spans="1:21" ht="15.75" hidden="1" thickTop="1">
      <c r="A378" s="299">
        <f t="shared" si="5"/>
        <v>377</v>
      </c>
      <c r="B378" s="323">
        <v>46069</v>
      </c>
      <c r="C378" s="303" t="s">
        <v>3942</v>
      </c>
      <c r="D378" s="303" t="s">
        <v>131</v>
      </c>
      <c r="E378" s="303" t="s">
        <v>22</v>
      </c>
      <c r="F378" s="303" t="s">
        <v>59</v>
      </c>
      <c r="G378" s="316" t="s">
        <v>2359</v>
      </c>
      <c r="H378" s="305"/>
      <c r="I378" s="367" t="s">
        <v>3943</v>
      </c>
      <c r="J378" s="305" t="s">
        <v>1698</v>
      </c>
      <c r="K378" s="303"/>
      <c r="L378" s="303" t="s">
        <v>117</v>
      </c>
      <c r="M378" s="316" t="s">
        <v>40</v>
      </c>
      <c r="N378" s="367" t="s">
        <v>3944</v>
      </c>
      <c r="O378" s="307">
        <v>46069</v>
      </c>
      <c r="P378" s="313">
        <v>104800</v>
      </c>
      <c r="Q378" s="305" t="s">
        <v>119</v>
      </c>
      <c r="R378" s="309"/>
      <c r="S378" s="8"/>
      <c r="T378" s="9"/>
      <c r="U378" s="9"/>
    </row>
    <row r="379" spans="1:21" ht="15.75" hidden="1" thickTop="1">
      <c r="A379" s="288">
        <f t="shared" si="5"/>
        <v>378</v>
      </c>
      <c r="B379" s="322">
        <v>46069</v>
      </c>
      <c r="C379" s="292" t="s">
        <v>3945</v>
      </c>
      <c r="D379" s="292" t="s">
        <v>3946</v>
      </c>
      <c r="E379" s="292" t="s">
        <v>621</v>
      </c>
      <c r="F379" s="292" t="s">
        <v>59</v>
      </c>
      <c r="G379" s="315" t="s">
        <v>3947</v>
      </c>
      <c r="H379" s="294">
        <v>66626561</v>
      </c>
      <c r="I379" s="368" t="s">
        <v>3948</v>
      </c>
      <c r="J379" s="294" t="s">
        <v>1698</v>
      </c>
      <c r="K379" s="292" t="s">
        <v>3949</v>
      </c>
      <c r="L379" s="292" t="s">
        <v>27</v>
      </c>
      <c r="M379" s="315" t="s">
        <v>28</v>
      </c>
      <c r="N379" s="368" t="s">
        <v>3950</v>
      </c>
      <c r="O379" s="296">
        <v>46069</v>
      </c>
      <c r="P379" s="319"/>
      <c r="Q379" s="294" t="s">
        <v>70</v>
      </c>
      <c r="R379" s="298"/>
      <c r="S379" s="8"/>
      <c r="T379" s="9"/>
      <c r="U379" s="9"/>
    </row>
    <row r="380" spans="1:21" ht="15.75" hidden="1" thickTop="1">
      <c r="A380" s="299">
        <f t="shared" si="5"/>
        <v>379</v>
      </c>
      <c r="B380" s="323">
        <v>46069</v>
      </c>
      <c r="C380" s="303" t="s">
        <v>3951</v>
      </c>
      <c r="D380" s="303" t="s">
        <v>3129</v>
      </c>
      <c r="E380" s="303" t="s">
        <v>3130</v>
      </c>
      <c r="F380" s="303" t="s">
        <v>23</v>
      </c>
      <c r="G380" s="316" t="s">
        <v>188</v>
      </c>
      <c r="H380" s="305">
        <v>9900244856</v>
      </c>
      <c r="I380" s="371" t="s">
        <v>3952</v>
      </c>
      <c r="J380" s="305" t="s">
        <v>122</v>
      </c>
      <c r="K380" s="303" t="s">
        <v>3953</v>
      </c>
      <c r="L380" s="303" t="s">
        <v>49</v>
      </c>
      <c r="M380" s="303" t="s">
        <v>50</v>
      </c>
      <c r="N380" s="372"/>
      <c r="O380" s="307"/>
      <c r="P380" s="308"/>
      <c r="Q380" s="305"/>
      <c r="R380" s="309"/>
      <c r="S380" s="8"/>
      <c r="T380" s="9"/>
      <c r="U380" s="9"/>
    </row>
    <row r="381" spans="1:21" ht="15.75" hidden="1" thickTop="1">
      <c r="A381" s="288">
        <f t="shared" si="5"/>
        <v>380</v>
      </c>
      <c r="B381" s="322">
        <v>46069</v>
      </c>
      <c r="C381" s="292"/>
      <c r="D381" s="315" t="s">
        <v>2743</v>
      </c>
      <c r="E381" s="292" t="s">
        <v>193</v>
      </c>
      <c r="F381" s="292" t="s">
        <v>73</v>
      </c>
      <c r="G381" s="315" t="s">
        <v>1368</v>
      </c>
      <c r="H381" s="294">
        <v>9512109274</v>
      </c>
      <c r="I381" s="370" t="s">
        <v>3954</v>
      </c>
      <c r="J381" s="294" t="s">
        <v>122</v>
      </c>
      <c r="K381" s="292" t="s">
        <v>3955</v>
      </c>
      <c r="L381" s="292" t="s">
        <v>49</v>
      </c>
      <c r="M381" s="292" t="s">
        <v>2623</v>
      </c>
      <c r="N381" s="373"/>
      <c r="O381" s="296"/>
      <c r="P381" s="297"/>
      <c r="Q381" s="294"/>
      <c r="R381" s="298"/>
      <c r="S381" s="8"/>
      <c r="T381" s="9"/>
      <c r="U381" s="9"/>
    </row>
    <row r="382" spans="1:21" ht="15.75" hidden="1" thickTop="1">
      <c r="A382" s="299">
        <f t="shared" si="5"/>
        <v>381</v>
      </c>
      <c r="B382" s="323">
        <v>46069</v>
      </c>
      <c r="C382" s="303" t="s">
        <v>3956</v>
      </c>
      <c r="D382" s="316" t="s">
        <v>2743</v>
      </c>
      <c r="E382" s="303" t="s">
        <v>193</v>
      </c>
      <c r="F382" s="303" t="s">
        <v>44</v>
      </c>
      <c r="G382" s="316" t="s">
        <v>3957</v>
      </c>
      <c r="H382" s="305">
        <v>7285070720</v>
      </c>
      <c r="I382" s="374"/>
      <c r="J382" s="305" t="s">
        <v>122</v>
      </c>
      <c r="K382" s="303"/>
      <c r="L382" s="303" t="s">
        <v>49</v>
      </c>
      <c r="M382" s="303" t="s">
        <v>2623</v>
      </c>
      <c r="N382" s="372"/>
      <c r="O382" s="307"/>
      <c r="P382" s="308"/>
      <c r="Q382" s="305"/>
      <c r="R382" s="309"/>
      <c r="S382" s="8"/>
      <c r="T382" s="9"/>
      <c r="U382" s="9"/>
    </row>
    <row r="383" spans="1:21" ht="15.75" hidden="1" thickTop="1">
      <c r="A383" s="288">
        <f t="shared" si="5"/>
        <v>382</v>
      </c>
      <c r="B383" s="322">
        <v>46070</v>
      </c>
      <c r="C383" s="292" t="s">
        <v>3945</v>
      </c>
      <c r="D383" s="292" t="s">
        <v>3946</v>
      </c>
      <c r="E383" s="292" t="s">
        <v>621</v>
      </c>
      <c r="F383" s="292" t="s">
        <v>59</v>
      </c>
      <c r="G383" s="315" t="s">
        <v>3958</v>
      </c>
      <c r="H383" s="294">
        <v>66626561</v>
      </c>
      <c r="I383" s="368" t="s">
        <v>3948</v>
      </c>
      <c r="J383" s="294" t="s">
        <v>1698</v>
      </c>
      <c r="K383" s="292" t="s">
        <v>3949</v>
      </c>
      <c r="L383" s="292" t="s">
        <v>27</v>
      </c>
      <c r="M383" s="315" t="s">
        <v>28</v>
      </c>
      <c r="N383" s="368" t="s">
        <v>3959</v>
      </c>
      <c r="O383" s="296">
        <v>46069</v>
      </c>
      <c r="P383" s="319">
        <v>231649</v>
      </c>
      <c r="Q383" s="294" t="s">
        <v>70</v>
      </c>
      <c r="R383" s="298"/>
      <c r="S383" s="8"/>
      <c r="T383" s="9"/>
      <c r="U383" s="9"/>
    </row>
    <row r="384" spans="1:21" ht="15.75" hidden="1" thickTop="1">
      <c r="A384" s="299">
        <f t="shared" si="5"/>
        <v>383</v>
      </c>
      <c r="B384" s="323">
        <v>46070</v>
      </c>
      <c r="C384" s="303" t="s">
        <v>3960</v>
      </c>
      <c r="D384" s="303" t="s">
        <v>3961</v>
      </c>
      <c r="E384" s="303" t="s">
        <v>22</v>
      </c>
      <c r="F384" s="303" t="s">
        <v>32</v>
      </c>
      <c r="G384" s="316" t="s">
        <v>3962</v>
      </c>
      <c r="H384" s="305" t="s">
        <v>1586</v>
      </c>
      <c r="I384" s="367" t="s">
        <v>3963</v>
      </c>
      <c r="J384" s="305" t="s">
        <v>1698</v>
      </c>
      <c r="K384" s="303" t="s">
        <v>265</v>
      </c>
      <c r="L384" s="303" t="s">
        <v>27</v>
      </c>
      <c r="M384" s="316" t="s">
        <v>28</v>
      </c>
      <c r="N384" s="367"/>
      <c r="O384" s="307">
        <v>46069</v>
      </c>
      <c r="P384" s="375" t="s">
        <v>3964</v>
      </c>
      <c r="Q384" s="305" t="s">
        <v>79</v>
      </c>
      <c r="R384" s="309"/>
      <c r="S384" s="8"/>
      <c r="T384" s="9"/>
      <c r="U384" s="9"/>
    </row>
    <row r="385" spans="1:21" ht="15.75" thickTop="1">
      <c r="A385" s="288">
        <f t="shared" si="5"/>
        <v>384</v>
      </c>
      <c r="B385" s="322">
        <v>46070</v>
      </c>
      <c r="C385" s="292" t="s">
        <v>3965</v>
      </c>
      <c r="D385" s="292" t="s">
        <v>31</v>
      </c>
      <c r="E385" s="292" t="s">
        <v>22</v>
      </c>
      <c r="F385" s="292" t="s">
        <v>59</v>
      </c>
      <c r="G385" s="315" t="s">
        <v>3966</v>
      </c>
      <c r="H385" s="294" t="s">
        <v>3530</v>
      </c>
      <c r="I385" s="368" t="s">
        <v>3967</v>
      </c>
      <c r="J385" s="294" t="s">
        <v>1698</v>
      </c>
      <c r="K385" s="292" t="s">
        <v>3968</v>
      </c>
      <c r="L385" s="292" t="s">
        <v>27</v>
      </c>
      <c r="M385" s="292" t="s">
        <v>28</v>
      </c>
      <c r="N385" s="292" t="s">
        <v>3969</v>
      </c>
      <c r="O385" s="296">
        <v>46070</v>
      </c>
      <c r="P385" s="319">
        <v>90000</v>
      </c>
      <c r="Q385" s="294" t="s">
        <v>79</v>
      </c>
      <c r="R385" s="298"/>
      <c r="S385" s="8"/>
      <c r="T385" s="9"/>
      <c r="U385" s="9"/>
    </row>
    <row r="386" spans="1:21">
      <c r="A386" s="299">
        <f t="shared" ref="A386:A449" si="6">ROW()-1</f>
        <v>385</v>
      </c>
      <c r="B386" s="323">
        <v>46070</v>
      </c>
      <c r="C386" s="303" t="s">
        <v>3965</v>
      </c>
      <c r="D386" s="303" t="s">
        <v>31</v>
      </c>
      <c r="E386" s="303" t="s">
        <v>22</v>
      </c>
      <c r="F386" s="303" t="s">
        <v>32</v>
      </c>
      <c r="G386" s="316" t="s">
        <v>33</v>
      </c>
      <c r="H386" s="305"/>
      <c r="I386" s="367" t="s">
        <v>34</v>
      </c>
      <c r="J386" s="305" t="s">
        <v>1698</v>
      </c>
      <c r="K386" s="303" t="s">
        <v>26</v>
      </c>
      <c r="L386" s="303" t="s">
        <v>27</v>
      </c>
      <c r="M386" s="303" t="s">
        <v>28</v>
      </c>
      <c r="N386" s="303" t="s">
        <v>29</v>
      </c>
      <c r="O386" s="307">
        <v>46070</v>
      </c>
      <c r="P386" s="313">
        <v>560000</v>
      </c>
      <c r="Q386" s="305" t="s">
        <v>79</v>
      </c>
      <c r="R386" s="309"/>
      <c r="S386" s="8"/>
      <c r="T386" s="9"/>
      <c r="U386" s="9"/>
    </row>
    <row r="387" spans="1:21" hidden="1">
      <c r="A387" s="288">
        <f t="shared" si="6"/>
        <v>386</v>
      </c>
      <c r="B387" s="322">
        <v>46071</v>
      </c>
      <c r="C387" s="292" t="s">
        <v>3970</v>
      </c>
      <c r="D387" s="292" t="s">
        <v>131</v>
      </c>
      <c r="E387" s="292" t="s">
        <v>22</v>
      </c>
      <c r="F387" s="292" t="s">
        <v>32</v>
      </c>
      <c r="G387" s="315" t="s">
        <v>3971</v>
      </c>
      <c r="H387" s="294">
        <v>9960692753</v>
      </c>
      <c r="I387" s="368" t="s">
        <v>3972</v>
      </c>
      <c r="J387" s="294" t="s">
        <v>1698</v>
      </c>
      <c r="K387" s="292" t="s">
        <v>3973</v>
      </c>
      <c r="L387" s="292" t="s">
        <v>27</v>
      </c>
      <c r="M387" s="292" t="s">
        <v>28</v>
      </c>
      <c r="N387" s="292" t="s">
        <v>3974</v>
      </c>
      <c r="O387" s="296">
        <v>46070</v>
      </c>
      <c r="P387" s="319">
        <v>1381773</v>
      </c>
      <c r="Q387" s="294" t="s">
        <v>292</v>
      </c>
      <c r="R387" s="298"/>
      <c r="S387" s="8"/>
      <c r="T387" s="9"/>
      <c r="U387" s="9"/>
    </row>
    <row r="388" spans="1:21" hidden="1">
      <c r="A388" s="299">
        <f t="shared" si="6"/>
        <v>387</v>
      </c>
      <c r="B388" s="323">
        <v>46070</v>
      </c>
      <c r="C388" s="303" t="s">
        <v>3975</v>
      </c>
      <c r="D388" s="303" t="s">
        <v>2762</v>
      </c>
      <c r="E388" s="303" t="s">
        <v>22</v>
      </c>
      <c r="F388" s="303" t="s">
        <v>60</v>
      </c>
      <c r="G388" s="316" t="s">
        <v>180</v>
      </c>
      <c r="H388" s="305">
        <v>9767628607</v>
      </c>
      <c r="I388" s="371" t="s">
        <v>3976</v>
      </c>
      <c r="J388" s="305" t="s">
        <v>122</v>
      </c>
      <c r="K388" s="303" t="s">
        <v>3977</v>
      </c>
      <c r="L388" s="303" t="s">
        <v>49</v>
      </c>
      <c r="M388" s="303" t="s">
        <v>40</v>
      </c>
      <c r="N388" s="303"/>
      <c r="O388" s="307"/>
      <c r="P388" s="308"/>
      <c r="Q388" s="305"/>
      <c r="R388" s="309"/>
      <c r="S388" s="8"/>
      <c r="T388" s="9"/>
      <c r="U388" s="9"/>
    </row>
    <row r="389" spans="1:21" hidden="1">
      <c r="A389" s="288">
        <f t="shared" si="6"/>
        <v>388</v>
      </c>
      <c r="B389" s="322">
        <v>46070</v>
      </c>
      <c r="C389" s="292" t="s">
        <v>3978</v>
      </c>
      <c r="D389" s="292" t="s">
        <v>3979</v>
      </c>
      <c r="E389" s="292" t="s">
        <v>193</v>
      </c>
      <c r="F389" s="292" t="s">
        <v>60</v>
      </c>
      <c r="G389" s="315" t="s">
        <v>3980</v>
      </c>
      <c r="H389" s="294">
        <v>9106846576</v>
      </c>
      <c r="I389" s="370" t="s">
        <v>3981</v>
      </c>
      <c r="J389" s="294" t="s">
        <v>567</v>
      </c>
      <c r="K389" s="292" t="s">
        <v>3982</v>
      </c>
      <c r="L389" s="292" t="s">
        <v>49</v>
      </c>
      <c r="M389" s="292" t="s">
        <v>40</v>
      </c>
      <c r="N389" s="292"/>
      <c r="O389" s="296"/>
      <c r="P389" s="297"/>
      <c r="Q389" s="294"/>
      <c r="R389" s="298"/>
      <c r="S389" s="8"/>
      <c r="T389" s="9"/>
      <c r="U389" s="9"/>
    </row>
    <row r="390" spans="1:21" hidden="1">
      <c r="A390" s="299">
        <f t="shared" si="6"/>
        <v>389</v>
      </c>
      <c r="B390" s="323">
        <v>46070</v>
      </c>
      <c r="C390" s="303" t="s">
        <v>3983</v>
      </c>
      <c r="D390" s="303" t="s">
        <v>3984</v>
      </c>
      <c r="E390" s="303" t="s">
        <v>22</v>
      </c>
      <c r="F390" s="303" t="s">
        <v>60</v>
      </c>
      <c r="G390" s="316" t="s">
        <v>3985</v>
      </c>
      <c r="H390" s="305">
        <v>8485890016</v>
      </c>
      <c r="I390" s="367" t="s">
        <v>3986</v>
      </c>
      <c r="J390" s="305" t="s">
        <v>1698</v>
      </c>
      <c r="K390" s="303" t="s">
        <v>3987</v>
      </c>
      <c r="L390" s="303" t="s">
        <v>27</v>
      </c>
      <c r="M390" s="303" t="s">
        <v>40</v>
      </c>
      <c r="N390" s="303" t="s">
        <v>3988</v>
      </c>
      <c r="O390" s="307">
        <v>46073</v>
      </c>
      <c r="P390" s="313">
        <v>336411</v>
      </c>
      <c r="Q390" s="305" t="s">
        <v>292</v>
      </c>
      <c r="R390" s="309"/>
      <c r="S390" s="8"/>
      <c r="T390" s="9"/>
      <c r="U390" s="9"/>
    </row>
    <row r="391" spans="1:21" hidden="1">
      <c r="A391" s="288">
        <f t="shared" si="6"/>
        <v>390</v>
      </c>
      <c r="B391" s="322">
        <v>46070</v>
      </c>
      <c r="C391" s="292" t="s">
        <v>3989</v>
      </c>
      <c r="D391" s="292" t="s">
        <v>3990</v>
      </c>
      <c r="E391" s="292" t="s">
        <v>82</v>
      </c>
      <c r="F391" s="292" t="s">
        <v>23</v>
      </c>
      <c r="G391" s="315" t="s">
        <v>1188</v>
      </c>
      <c r="H391" s="294">
        <v>9965025852</v>
      </c>
      <c r="I391" s="370"/>
      <c r="J391" s="294" t="s">
        <v>567</v>
      </c>
      <c r="K391" s="292" t="s">
        <v>3991</v>
      </c>
      <c r="L391" s="292" t="s">
        <v>49</v>
      </c>
      <c r="M391" s="292" t="s">
        <v>50</v>
      </c>
      <c r="N391" s="292"/>
      <c r="O391" s="296"/>
      <c r="P391" s="297"/>
      <c r="Q391" s="294"/>
      <c r="R391" s="298"/>
      <c r="S391" s="8"/>
      <c r="T391" s="9"/>
      <c r="U391" s="9"/>
    </row>
    <row r="392" spans="1:21" hidden="1">
      <c r="A392" s="299">
        <f t="shared" si="6"/>
        <v>391</v>
      </c>
      <c r="B392" s="323">
        <v>46070</v>
      </c>
      <c r="C392" s="303"/>
      <c r="D392" s="303" t="s">
        <v>3992</v>
      </c>
      <c r="E392" s="303" t="s">
        <v>143</v>
      </c>
      <c r="F392" s="303" t="s">
        <v>73</v>
      </c>
      <c r="G392" s="316" t="s">
        <v>3304</v>
      </c>
      <c r="H392" s="305">
        <v>9560625861</v>
      </c>
      <c r="I392" s="371" t="s">
        <v>3993</v>
      </c>
      <c r="J392" s="305" t="s">
        <v>122</v>
      </c>
      <c r="K392" s="303" t="s">
        <v>3994</v>
      </c>
      <c r="L392" s="303" t="s">
        <v>49</v>
      </c>
      <c r="M392" s="303" t="s">
        <v>2623</v>
      </c>
      <c r="N392" s="303"/>
      <c r="O392" s="307"/>
      <c r="P392" s="308"/>
      <c r="Q392" s="305"/>
      <c r="R392" s="309"/>
      <c r="S392" s="8"/>
      <c r="T392" s="9"/>
      <c r="U392" s="9"/>
    </row>
    <row r="393" spans="1:21" hidden="1">
      <c r="A393" s="288">
        <f t="shared" si="6"/>
        <v>392</v>
      </c>
      <c r="B393" s="322">
        <v>46070</v>
      </c>
      <c r="C393" s="292" t="s">
        <v>3995</v>
      </c>
      <c r="D393" s="292" t="s">
        <v>3996</v>
      </c>
      <c r="E393" s="292" t="s">
        <v>193</v>
      </c>
      <c r="F393" s="292" t="s">
        <v>60</v>
      </c>
      <c r="G393" s="315" t="s">
        <v>138</v>
      </c>
      <c r="H393" s="294">
        <v>9712183193</v>
      </c>
      <c r="I393" s="370" t="s">
        <v>3997</v>
      </c>
      <c r="J393" s="294" t="s">
        <v>567</v>
      </c>
      <c r="K393" s="292"/>
      <c r="L393" s="292" t="s">
        <v>49</v>
      </c>
      <c r="M393" s="292" t="s">
        <v>40</v>
      </c>
      <c r="N393" s="292"/>
      <c r="O393" s="296"/>
      <c r="P393" s="297"/>
      <c r="Q393" s="294"/>
      <c r="R393" s="298"/>
      <c r="S393" s="8"/>
      <c r="T393" s="9"/>
      <c r="U393" s="9"/>
    </row>
    <row r="394" spans="1:21" hidden="1">
      <c r="A394" s="299">
        <f t="shared" si="6"/>
        <v>393</v>
      </c>
      <c r="B394" s="323">
        <v>46070</v>
      </c>
      <c r="C394" s="303" t="s">
        <v>3998</v>
      </c>
      <c r="D394" s="303" t="s">
        <v>3999</v>
      </c>
      <c r="E394" s="303" t="s">
        <v>22</v>
      </c>
      <c r="F394" s="303" t="s">
        <v>73</v>
      </c>
      <c r="G394" s="303" t="s">
        <v>321</v>
      </c>
      <c r="H394" s="305"/>
      <c r="I394" s="303" t="s">
        <v>4000</v>
      </c>
      <c r="J394" s="305" t="s">
        <v>1113</v>
      </c>
      <c r="K394" s="303" t="s">
        <v>4001</v>
      </c>
      <c r="L394" s="303" t="s">
        <v>49</v>
      </c>
      <c r="M394" s="303" t="s">
        <v>50</v>
      </c>
      <c r="N394" s="303"/>
      <c r="O394" s="307"/>
      <c r="P394" s="308"/>
      <c r="Q394" s="305"/>
      <c r="R394" s="309"/>
      <c r="S394" s="8"/>
      <c r="T394" s="9"/>
      <c r="U394" s="9"/>
    </row>
    <row r="395" spans="1:21" hidden="1">
      <c r="A395" s="288">
        <f t="shared" si="6"/>
        <v>394</v>
      </c>
      <c r="B395" s="322">
        <v>46070</v>
      </c>
      <c r="C395" s="292" t="s">
        <v>4002</v>
      </c>
      <c r="D395" s="292" t="s">
        <v>4003</v>
      </c>
      <c r="E395" s="292" t="s">
        <v>82</v>
      </c>
      <c r="F395" s="292" t="s">
        <v>44</v>
      </c>
      <c r="G395" s="315" t="s">
        <v>45</v>
      </c>
      <c r="H395" s="294">
        <v>8973633071</v>
      </c>
      <c r="I395" s="362" t="s">
        <v>4004</v>
      </c>
      <c r="J395" s="294" t="s">
        <v>63</v>
      </c>
      <c r="K395" s="292" t="s">
        <v>4005</v>
      </c>
      <c r="L395" s="292" t="s">
        <v>49</v>
      </c>
      <c r="M395" s="292" t="s">
        <v>50</v>
      </c>
      <c r="N395" s="292"/>
      <c r="O395" s="296"/>
      <c r="P395" s="297"/>
      <c r="Q395" s="294"/>
      <c r="R395" s="298"/>
      <c r="S395" s="8"/>
      <c r="T395" s="9"/>
      <c r="U395" s="9"/>
    </row>
    <row r="396" spans="1:21" hidden="1">
      <c r="A396" s="299">
        <f t="shared" si="6"/>
        <v>395</v>
      </c>
      <c r="B396" s="323">
        <v>46070</v>
      </c>
      <c r="C396" s="303" t="s">
        <v>4006</v>
      </c>
      <c r="D396" s="303" t="s">
        <v>4007</v>
      </c>
      <c r="E396" s="303" t="s">
        <v>199</v>
      </c>
      <c r="F396" s="303" t="s">
        <v>60</v>
      </c>
      <c r="G396" s="316" t="s">
        <v>135</v>
      </c>
      <c r="H396" s="305">
        <v>9358616517</v>
      </c>
      <c r="I396" s="361" t="s">
        <v>4008</v>
      </c>
      <c r="J396" s="305" t="s">
        <v>1698</v>
      </c>
      <c r="K396" s="303" t="s">
        <v>4009</v>
      </c>
      <c r="L396" s="303" t="s">
        <v>49</v>
      </c>
      <c r="M396" s="303" t="s">
        <v>40</v>
      </c>
      <c r="N396" s="303"/>
      <c r="O396" s="307"/>
      <c r="P396" s="308"/>
      <c r="Q396" s="305"/>
      <c r="R396" s="309"/>
      <c r="S396" s="8"/>
      <c r="T396" s="9"/>
      <c r="U396" s="9"/>
    </row>
    <row r="397" spans="1:21" hidden="1">
      <c r="A397" s="288">
        <f t="shared" si="6"/>
        <v>396</v>
      </c>
      <c r="B397" s="322">
        <v>46071</v>
      </c>
      <c r="C397" s="292" t="s">
        <v>4010</v>
      </c>
      <c r="D397" s="292" t="s">
        <v>4011</v>
      </c>
      <c r="E397" s="292" t="s">
        <v>214</v>
      </c>
      <c r="F397" s="292" t="s">
        <v>73</v>
      </c>
      <c r="G397" s="292" t="s">
        <v>4012</v>
      </c>
      <c r="H397" s="294">
        <v>9154751665</v>
      </c>
      <c r="I397" s="362" t="s">
        <v>4013</v>
      </c>
      <c r="J397" s="294" t="s">
        <v>1113</v>
      </c>
      <c r="K397" s="292" t="s">
        <v>4014</v>
      </c>
      <c r="L397" s="292" t="s">
        <v>49</v>
      </c>
      <c r="M397" s="292" t="s">
        <v>50</v>
      </c>
      <c r="N397" s="292"/>
      <c r="O397" s="296"/>
      <c r="P397" s="297"/>
      <c r="Q397" s="294"/>
      <c r="R397" s="298"/>
      <c r="S397" s="8"/>
      <c r="T397" s="9"/>
      <c r="U397" s="9"/>
    </row>
    <row r="398" spans="1:21" hidden="1">
      <c r="A398" s="299">
        <f t="shared" si="6"/>
        <v>397</v>
      </c>
      <c r="B398" s="323">
        <v>46071</v>
      </c>
      <c r="C398" s="303" t="s">
        <v>4015</v>
      </c>
      <c r="D398" s="303" t="s">
        <v>4016</v>
      </c>
      <c r="E398" s="303" t="s">
        <v>22</v>
      </c>
      <c r="F398" s="303" t="s">
        <v>44</v>
      </c>
      <c r="G398" s="316" t="s">
        <v>45</v>
      </c>
      <c r="H398" s="305">
        <v>9324113190</v>
      </c>
      <c r="I398" s="361" t="s">
        <v>4017</v>
      </c>
      <c r="J398" s="305" t="s">
        <v>567</v>
      </c>
      <c r="K398" s="303" t="s">
        <v>4018</v>
      </c>
      <c r="L398" s="303" t="s">
        <v>49</v>
      </c>
      <c r="M398" s="303" t="s">
        <v>50</v>
      </c>
      <c r="N398" s="303"/>
      <c r="O398" s="307"/>
      <c r="P398" s="308"/>
      <c r="Q398" s="305"/>
      <c r="R398" s="309"/>
      <c r="S398" s="8"/>
      <c r="T398" s="9"/>
      <c r="U398" s="9"/>
    </row>
    <row r="399" spans="1:21" hidden="1">
      <c r="A399" s="288">
        <f t="shared" si="6"/>
        <v>398</v>
      </c>
      <c r="B399" s="322">
        <v>46071</v>
      </c>
      <c r="C399" s="292" t="s">
        <v>4019</v>
      </c>
      <c r="D399" s="292" t="s">
        <v>4020</v>
      </c>
      <c r="E399" s="292" t="s">
        <v>22</v>
      </c>
      <c r="F399" s="292" t="s">
        <v>60</v>
      </c>
      <c r="G399" s="292" t="s">
        <v>4021</v>
      </c>
      <c r="H399" s="294">
        <v>7887471519</v>
      </c>
      <c r="I399" s="292" t="s">
        <v>4022</v>
      </c>
      <c r="J399" s="294" t="s">
        <v>567</v>
      </c>
      <c r="K399" s="292" t="s">
        <v>3378</v>
      </c>
      <c r="L399" s="292" t="s">
        <v>49</v>
      </c>
      <c r="M399" s="292" t="s">
        <v>40</v>
      </c>
      <c r="N399" s="292"/>
      <c r="O399" s="296"/>
      <c r="P399" s="297"/>
      <c r="Q399" s="294"/>
      <c r="R399" s="298"/>
      <c r="S399" s="8"/>
      <c r="T399" s="9"/>
      <c r="U399" s="9"/>
    </row>
    <row r="400" spans="1:21" ht="30" hidden="1">
      <c r="A400" s="299">
        <f t="shared" si="6"/>
        <v>399</v>
      </c>
      <c r="B400" s="323">
        <v>46071</v>
      </c>
      <c r="C400" s="303"/>
      <c r="D400" s="303" t="s">
        <v>4023</v>
      </c>
      <c r="E400" s="303" t="s">
        <v>22</v>
      </c>
      <c r="F400" s="303" t="s">
        <v>60</v>
      </c>
      <c r="G400" s="306" t="s">
        <v>3985</v>
      </c>
      <c r="H400" s="305">
        <v>9823933539</v>
      </c>
      <c r="I400" s="303"/>
      <c r="J400" s="305" t="s">
        <v>63</v>
      </c>
      <c r="K400" s="303" t="s">
        <v>4024</v>
      </c>
      <c r="L400" s="303" t="s">
        <v>27</v>
      </c>
      <c r="M400" s="303" t="s">
        <v>40</v>
      </c>
      <c r="N400" s="303"/>
      <c r="O400" s="307"/>
      <c r="P400" s="308"/>
      <c r="Q400" s="305"/>
      <c r="R400" s="309"/>
      <c r="S400" s="8"/>
      <c r="T400" s="9"/>
      <c r="U400" s="9"/>
    </row>
    <row r="401" spans="1:21" hidden="1">
      <c r="A401" s="288">
        <f t="shared" si="6"/>
        <v>400</v>
      </c>
      <c r="B401" s="322">
        <v>46071</v>
      </c>
      <c r="C401" s="292" t="s">
        <v>2762</v>
      </c>
      <c r="D401" s="292" t="s">
        <v>2762</v>
      </c>
      <c r="E401" s="292" t="s">
        <v>22</v>
      </c>
      <c r="F401" s="292" t="s">
        <v>73</v>
      </c>
      <c r="G401" s="292" t="s">
        <v>194</v>
      </c>
      <c r="H401" s="294">
        <v>8600490968</v>
      </c>
      <c r="I401" s="362" t="s">
        <v>4025</v>
      </c>
      <c r="J401" s="294" t="s">
        <v>1113</v>
      </c>
      <c r="K401" s="292" t="s">
        <v>4026</v>
      </c>
      <c r="L401" s="292" t="s">
        <v>49</v>
      </c>
      <c r="M401" s="292" t="s">
        <v>2623</v>
      </c>
      <c r="N401" s="292"/>
      <c r="O401" s="296"/>
      <c r="P401" s="297"/>
      <c r="Q401" s="294"/>
      <c r="R401" s="298"/>
      <c r="S401" s="8"/>
      <c r="T401" s="9"/>
      <c r="U401" s="9"/>
    </row>
    <row r="402" spans="1:21" hidden="1">
      <c r="A402" s="299">
        <f t="shared" si="6"/>
        <v>401</v>
      </c>
      <c r="B402" s="323">
        <v>46071</v>
      </c>
      <c r="C402" s="303"/>
      <c r="D402" s="303" t="s">
        <v>3314</v>
      </c>
      <c r="E402" s="303" t="s">
        <v>214</v>
      </c>
      <c r="F402" s="303" t="s">
        <v>23</v>
      </c>
      <c r="G402" s="306" t="s">
        <v>4027</v>
      </c>
      <c r="H402" s="305">
        <v>8003899523</v>
      </c>
      <c r="I402" s="361" t="s">
        <v>4028</v>
      </c>
      <c r="J402" s="305" t="s">
        <v>1113</v>
      </c>
      <c r="K402" s="303" t="s">
        <v>4029</v>
      </c>
      <c r="L402" s="303" t="s">
        <v>49</v>
      </c>
      <c r="M402" s="303" t="s">
        <v>50</v>
      </c>
      <c r="N402" s="303"/>
      <c r="O402" s="307"/>
      <c r="P402" s="308"/>
      <c r="Q402" s="305"/>
      <c r="R402" s="309"/>
      <c r="S402" s="8"/>
      <c r="T402" s="9"/>
      <c r="U402" s="9"/>
    </row>
    <row r="403" spans="1:21" hidden="1">
      <c r="A403" s="288">
        <f t="shared" si="6"/>
        <v>402</v>
      </c>
      <c r="B403" s="322">
        <v>46071</v>
      </c>
      <c r="C403" s="292" t="s">
        <v>4030</v>
      </c>
      <c r="D403" s="292" t="s">
        <v>4031</v>
      </c>
      <c r="E403" s="292" t="s">
        <v>22</v>
      </c>
      <c r="F403" s="292" t="s">
        <v>73</v>
      </c>
      <c r="G403" s="315" t="s">
        <v>4032</v>
      </c>
      <c r="H403" s="294">
        <v>9930496142</v>
      </c>
      <c r="I403" s="376" t="s">
        <v>4033</v>
      </c>
      <c r="J403" s="294" t="s">
        <v>1113</v>
      </c>
      <c r="K403" s="315" t="s">
        <v>4034</v>
      </c>
      <c r="L403" s="292" t="s">
        <v>49</v>
      </c>
      <c r="M403" s="292" t="s">
        <v>2623</v>
      </c>
      <c r="N403" s="292"/>
      <c r="O403" s="296"/>
      <c r="P403" s="297"/>
      <c r="Q403" s="294"/>
      <c r="R403" s="298"/>
      <c r="S403" s="8"/>
      <c r="T403" s="9"/>
      <c r="U403" s="9"/>
    </row>
    <row r="404" spans="1:21" hidden="1">
      <c r="A404" s="299">
        <f t="shared" si="6"/>
        <v>403</v>
      </c>
      <c r="B404" s="323">
        <v>46072</v>
      </c>
      <c r="C404" s="303" t="s">
        <v>4035</v>
      </c>
      <c r="D404" s="303" t="s">
        <v>2762</v>
      </c>
      <c r="E404" s="303" t="s">
        <v>22</v>
      </c>
      <c r="F404" s="303" t="s">
        <v>60</v>
      </c>
      <c r="G404" s="316" t="s">
        <v>135</v>
      </c>
      <c r="H404" s="305">
        <v>9960646213</v>
      </c>
      <c r="I404" s="303" t="s">
        <v>4036</v>
      </c>
      <c r="J404" s="305" t="s">
        <v>63</v>
      </c>
      <c r="K404" s="303"/>
      <c r="L404" s="303" t="s">
        <v>49</v>
      </c>
      <c r="M404" s="303" t="s">
        <v>40</v>
      </c>
      <c r="N404" s="303"/>
      <c r="O404" s="307"/>
      <c r="P404" s="308"/>
      <c r="Q404" s="305"/>
      <c r="R404" s="309"/>
      <c r="S404" s="8"/>
      <c r="T404" s="9"/>
      <c r="U404" s="9"/>
    </row>
    <row r="405" spans="1:21" hidden="1">
      <c r="A405" s="288">
        <f t="shared" si="6"/>
        <v>404</v>
      </c>
      <c r="B405" s="322">
        <v>46072</v>
      </c>
      <c r="C405" s="292" t="s">
        <v>4037</v>
      </c>
      <c r="D405" s="292" t="s">
        <v>2762</v>
      </c>
      <c r="E405" s="292" t="s">
        <v>22</v>
      </c>
      <c r="F405" s="292" t="s">
        <v>60</v>
      </c>
      <c r="G405" s="377" t="s">
        <v>2561</v>
      </c>
      <c r="H405" s="318">
        <v>9172651954</v>
      </c>
      <c r="I405" s="362" t="s">
        <v>4038</v>
      </c>
      <c r="J405" s="294" t="s">
        <v>122</v>
      </c>
      <c r="K405" s="294"/>
      <c r="L405" s="292" t="s">
        <v>49</v>
      </c>
      <c r="M405" s="292" t="s">
        <v>40</v>
      </c>
      <c r="N405" s="292"/>
      <c r="O405" s="296"/>
      <c r="P405" s="297"/>
      <c r="Q405" s="294"/>
      <c r="R405" s="298"/>
      <c r="S405" s="8"/>
      <c r="T405" s="9"/>
      <c r="U405" s="9"/>
    </row>
    <row r="406" spans="1:21" hidden="1">
      <c r="A406" s="299">
        <f t="shared" si="6"/>
        <v>405</v>
      </c>
      <c r="B406" s="323">
        <v>46072</v>
      </c>
      <c r="C406" s="303" t="s">
        <v>4039</v>
      </c>
      <c r="D406" s="303" t="s">
        <v>3129</v>
      </c>
      <c r="E406" s="303" t="s">
        <v>3130</v>
      </c>
      <c r="F406" s="303" t="s">
        <v>73</v>
      </c>
      <c r="G406" s="303" t="s">
        <v>4039</v>
      </c>
      <c r="H406" s="346">
        <v>9740124707</v>
      </c>
      <c r="I406" s="361" t="s">
        <v>4040</v>
      </c>
      <c r="J406" s="305" t="s">
        <v>1113</v>
      </c>
      <c r="K406" s="316" t="s">
        <v>4041</v>
      </c>
      <c r="L406" s="303" t="s">
        <v>49</v>
      </c>
      <c r="M406" s="303" t="s">
        <v>50</v>
      </c>
      <c r="N406" s="303"/>
      <c r="O406" s="307"/>
      <c r="P406" s="308"/>
      <c r="Q406" s="305"/>
      <c r="R406" s="309"/>
      <c r="S406" s="8"/>
      <c r="T406" s="9"/>
      <c r="U406" s="9"/>
    </row>
    <row r="407" spans="1:21" hidden="1">
      <c r="A407" s="288">
        <f t="shared" si="6"/>
        <v>406</v>
      </c>
      <c r="B407" s="322">
        <v>46072</v>
      </c>
      <c r="C407" s="292" t="s">
        <v>4042</v>
      </c>
      <c r="D407" s="292" t="s">
        <v>1042</v>
      </c>
      <c r="E407" s="292" t="s">
        <v>22</v>
      </c>
      <c r="F407" s="292" t="s">
        <v>83</v>
      </c>
      <c r="G407" s="362" t="s">
        <v>1941</v>
      </c>
      <c r="H407" s="318">
        <v>8693809958</v>
      </c>
      <c r="I407" s="362" t="s">
        <v>4043</v>
      </c>
      <c r="J407" s="294" t="s">
        <v>1113</v>
      </c>
      <c r="K407" s="292" t="s">
        <v>4044</v>
      </c>
      <c r="L407" s="292" t="s">
        <v>49</v>
      </c>
      <c r="M407" s="292" t="s">
        <v>2623</v>
      </c>
      <c r="N407" s="292"/>
      <c r="O407" s="296"/>
      <c r="P407" s="297"/>
      <c r="Q407" s="294"/>
      <c r="R407" s="298"/>
      <c r="S407" s="8"/>
      <c r="T407" s="9"/>
      <c r="U407" s="9"/>
    </row>
    <row r="408" spans="1:21" hidden="1">
      <c r="A408" s="299">
        <f t="shared" si="6"/>
        <v>407</v>
      </c>
      <c r="B408" s="323">
        <v>46072</v>
      </c>
      <c r="C408" s="303" t="s">
        <v>4045</v>
      </c>
      <c r="D408" s="303" t="s">
        <v>4046</v>
      </c>
      <c r="E408" s="303" t="s">
        <v>82</v>
      </c>
      <c r="F408" s="303" t="s">
        <v>44</v>
      </c>
      <c r="G408" s="303" t="s">
        <v>45</v>
      </c>
      <c r="H408" s="305">
        <v>9566828504</v>
      </c>
      <c r="I408" s="361" t="s">
        <v>4047</v>
      </c>
      <c r="J408" s="346" t="s">
        <v>1113</v>
      </c>
      <c r="K408" s="306" t="s">
        <v>4048</v>
      </c>
      <c r="L408" s="303" t="s">
        <v>49</v>
      </c>
      <c r="M408" s="303" t="s">
        <v>50</v>
      </c>
      <c r="N408" s="303"/>
      <c r="O408" s="307"/>
      <c r="P408" s="308"/>
      <c r="Q408" s="305"/>
      <c r="R408" s="309"/>
      <c r="S408" s="8"/>
      <c r="T408" s="9"/>
      <c r="U408" s="9"/>
    </row>
    <row r="409" spans="1:21" ht="30" hidden="1">
      <c r="A409" s="288">
        <f t="shared" si="6"/>
        <v>408</v>
      </c>
      <c r="B409" s="322">
        <v>46072</v>
      </c>
      <c r="C409" s="292" t="s">
        <v>4049</v>
      </c>
      <c r="D409" s="292" t="s">
        <v>4050</v>
      </c>
      <c r="E409" s="292" t="s">
        <v>22</v>
      </c>
      <c r="F409" s="292" t="s">
        <v>44</v>
      </c>
      <c r="G409" s="292" t="s">
        <v>45</v>
      </c>
      <c r="H409" s="294">
        <v>9321140114</v>
      </c>
      <c r="I409" s="362"/>
      <c r="J409" s="294" t="s">
        <v>122</v>
      </c>
      <c r="K409" s="377" t="s">
        <v>4051</v>
      </c>
      <c r="L409" s="292" t="s">
        <v>49</v>
      </c>
      <c r="M409" s="292" t="s">
        <v>2623</v>
      </c>
      <c r="N409" s="292"/>
      <c r="O409" s="296"/>
      <c r="P409" s="297"/>
      <c r="Q409" s="294"/>
      <c r="R409" s="298"/>
      <c r="S409" s="8"/>
      <c r="T409" s="9"/>
      <c r="U409" s="9"/>
    </row>
    <row r="410" spans="1:21" hidden="1">
      <c r="A410" s="299">
        <f t="shared" si="6"/>
        <v>409</v>
      </c>
      <c r="B410" s="323">
        <v>46072</v>
      </c>
      <c r="C410" s="303"/>
      <c r="D410" s="303" t="s">
        <v>4052</v>
      </c>
      <c r="E410" s="303" t="s">
        <v>3130</v>
      </c>
      <c r="F410" s="303" t="s">
        <v>23</v>
      </c>
      <c r="G410" s="316" t="s">
        <v>1188</v>
      </c>
      <c r="H410" s="305">
        <v>7899355451</v>
      </c>
      <c r="I410" s="361" t="s">
        <v>4053</v>
      </c>
      <c r="J410" s="346" t="s">
        <v>1113</v>
      </c>
      <c r="K410" s="306" t="s">
        <v>4054</v>
      </c>
      <c r="L410" s="303" t="s">
        <v>49</v>
      </c>
      <c r="M410" s="303" t="s">
        <v>50</v>
      </c>
      <c r="N410" s="303"/>
      <c r="O410" s="307"/>
      <c r="P410" s="308"/>
      <c r="Q410" s="305"/>
      <c r="R410" s="309"/>
      <c r="S410" s="8"/>
      <c r="T410" s="9"/>
      <c r="U410" s="9"/>
    </row>
    <row r="411" spans="1:21" ht="30" hidden="1">
      <c r="A411" s="288">
        <f t="shared" si="6"/>
        <v>410</v>
      </c>
      <c r="B411" s="322">
        <v>46073</v>
      </c>
      <c r="C411" s="292" t="s">
        <v>4055</v>
      </c>
      <c r="D411" s="292" t="s">
        <v>3427</v>
      </c>
      <c r="E411" s="292" t="s">
        <v>22</v>
      </c>
      <c r="F411" s="292" t="s">
        <v>32</v>
      </c>
      <c r="G411" s="315" t="s">
        <v>4056</v>
      </c>
      <c r="H411" s="294"/>
      <c r="I411" s="362" t="s">
        <v>4057</v>
      </c>
      <c r="J411" s="318" t="s">
        <v>1698</v>
      </c>
      <c r="K411" s="377"/>
      <c r="L411" s="292" t="s">
        <v>117</v>
      </c>
      <c r="M411" s="292" t="s">
        <v>50</v>
      </c>
      <c r="N411" s="292" t="s">
        <v>4058</v>
      </c>
      <c r="O411" s="296">
        <v>46074</v>
      </c>
      <c r="P411" s="319">
        <v>1587735</v>
      </c>
      <c r="Q411" s="294" t="s">
        <v>292</v>
      </c>
      <c r="R411" s="298"/>
      <c r="S411" s="8"/>
      <c r="T411" s="9"/>
      <c r="U411" s="9"/>
    </row>
    <row r="412" spans="1:21" hidden="1">
      <c r="A412" s="299">
        <f t="shared" si="6"/>
        <v>411</v>
      </c>
      <c r="B412" s="323">
        <v>46073</v>
      </c>
      <c r="C412" s="303"/>
      <c r="D412" s="303" t="s">
        <v>4059</v>
      </c>
      <c r="E412" s="303" t="s">
        <v>82</v>
      </c>
      <c r="F412" s="303" t="s">
        <v>73</v>
      </c>
      <c r="G412" s="303" t="s">
        <v>1368</v>
      </c>
      <c r="H412" s="305">
        <v>9994739719</v>
      </c>
      <c r="I412" s="378"/>
      <c r="J412" s="305" t="s">
        <v>122</v>
      </c>
      <c r="K412" s="306"/>
      <c r="L412" s="303" t="s">
        <v>49</v>
      </c>
      <c r="M412" s="303" t="s">
        <v>50</v>
      </c>
      <c r="N412" s="303"/>
      <c r="O412" s="307"/>
      <c r="P412" s="308"/>
      <c r="Q412" s="305"/>
      <c r="R412" s="309"/>
      <c r="S412" s="8"/>
      <c r="T412" s="9"/>
      <c r="U412" s="9"/>
    </row>
    <row r="413" spans="1:21" hidden="1">
      <c r="A413" s="288">
        <f t="shared" si="6"/>
        <v>412</v>
      </c>
      <c r="B413" s="322">
        <v>46073</v>
      </c>
      <c r="C413" s="292" t="s">
        <v>4060</v>
      </c>
      <c r="D413" s="292" t="s">
        <v>4061</v>
      </c>
      <c r="E413" s="292" t="s">
        <v>193</v>
      </c>
      <c r="F413" s="292" t="s">
        <v>73</v>
      </c>
      <c r="G413" s="292" t="s">
        <v>73</v>
      </c>
      <c r="H413" s="294">
        <v>9825773828</v>
      </c>
      <c r="I413" s="379"/>
      <c r="J413" s="294" t="s">
        <v>567</v>
      </c>
      <c r="K413" s="377"/>
      <c r="L413" s="292" t="s">
        <v>49</v>
      </c>
      <c r="M413" s="292" t="s">
        <v>2623</v>
      </c>
      <c r="N413" s="292"/>
      <c r="O413" s="296"/>
      <c r="P413" s="297"/>
      <c r="Q413" s="294"/>
      <c r="R413" s="298"/>
      <c r="S413" s="8"/>
      <c r="T413" s="9"/>
      <c r="U413" s="9"/>
    </row>
    <row r="414" spans="1:21" hidden="1">
      <c r="A414" s="299">
        <f t="shared" si="6"/>
        <v>413</v>
      </c>
      <c r="B414" s="323">
        <v>46073</v>
      </c>
      <c r="C414" s="303" t="s">
        <v>4062</v>
      </c>
      <c r="D414" s="303" t="s">
        <v>2762</v>
      </c>
      <c r="E414" s="303" t="s">
        <v>22</v>
      </c>
      <c r="F414" s="303" t="s">
        <v>83</v>
      </c>
      <c r="G414" s="303" t="s">
        <v>559</v>
      </c>
      <c r="H414" s="305">
        <v>9960886710</v>
      </c>
      <c r="I414" s="361" t="s">
        <v>4063</v>
      </c>
      <c r="J414" s="305" t="s">
        <v>122</v>
      </c>
      <c r="K414" s="316" t="s">
        <v>4064</v>
      </c>
      <c r="L414" s="303" t="s">
        <v>49</v>
      </c>
      <c r="M414" s="303" t="s">
        <v>2623</v>
      </c>
      <c r="N414" s="303"/>
      <c r="O414" s="307"/>
      <c r="P414" s="308"/>
      <c r="Q414" s="305"/>
      <c r="R414" s="309"/>
      <c r="S414" s="8"/>
      <c r="T414" s="9"/>
      <c r="U414" s="9"/>
    </row>
    <row r="415" spans="1:21" hidden="1">
      <c r="A415" s="288">
        <f t="shared" si="6"/>
        <v>414</v>
      </c>
      <c r="B415" s="322">
        <v>46073</v>
      </c>
      <c r="C415" s="292"/>
      <c r="D415" s="292" t="s">
        <v>4065</v>
      </c>
      <c r="E415" s="292" t="s">
        <v>1290</v>
      </c>
      <c r="F415" s="292" t="s">
        <v>83</v>
      </c>
      <c r="G415" s="292" t="s">
        <v>559</v>
      </c>
      <c r="H415" s="294">
        <v>9459053825</v>
      </c>
      <c r="I415" s="292" t="s">
        <v>4066</v>
      </c>
      <c r="J415" s="294" t="s">
        <v>1113</v>
      </c>
      <c r="K415" s="339" t="s">
        <v>3406</v>
      </c>
      <c r="L415" s="292" t="s">
        <v>49</v>
      </c>
      <c r="M415" s="292" t="s">
        <v>2623</v>
      </c>
      <c r="N415" s="292"/>
      <c r="O415" s="296"/>
      <c r="P415" s="297"/>
      <c r="Q415" s="294"/>
      <c r="R415" s="298"/>
      <c r="S415" s="8"/>
      <c r="T415" s="9"/>
      <c r="U415" s="9"/>
    </row>
    <row r="416" spans="1:21" hidden="1">
      <c r="A416" s="299">
        <f t="shared" si="6"/>
        <v>415</v>
      </c>
      <c r="B416" s="323">
        <v>46073</v>
      </c>
      <c r="C416" s="303" t="s">
        <v>4067</v>
      </c>
      <c r="D416" s="303" t="s">
        <v>4068</v>
      </c>
      <c r="E416" s="303" t="s">
        <v>82</v>
      </c>
      <c r="F416" s="303" t="s">
        <v>23</v>
      </c>
      <c r="G416" s="303" t="s">
        <v>1487</v>
      </c>
      <c r="H416" s="305">
        <v>8870937391</v>
      </c>
      <c r="I416" s="303" t="s">
        <v>4069</v>
      </c>
      <c r="J416" s="305" t="s">
        <v>56</v>
      </c>
      <c r="K416" s="316" t="s">
        <v>4070</v>
      </c>
      <c r="L416" s="303" t="s">
        <v>49</v>
      </c>
      <c r="M416" s="303" t="s">
        <v>50</v>
      </c>
      <c r="N416" s="303"/>
      <c r="O416" s="307"/>
      <c r="P416" s="308"/>
      <c r="Q416" s="305"/>
      <c r="R416" s="309"/>
      <c r="S416" s="8"/>
      <c r="T416" s="9"/>
      <c r="U416" s="9"/>
    </row>
    <row r="417" spans="1:21" hidden="1">
      <c r="A417" s="288">
        <f t="shared" si="6"/>
        <v>416</v>
      </c>
      <c r="B417" s="322">
        <v>46073</v>
      </c>
      <c r="C417" s="292" t="s">
        <v>4071</v>
      </c>
      <c r="D417" s="292" t="s">
        <v>1226</v>
      </c>
      <c r="E417" s="292" t="s">
        <v>193</v>
      </c>
      <c r="F417" s="292" t="s">
        <v>32</v>
      </c>
      <c r="G417" s="292" t="s">
        <v>4072</v>
      </c>
      <c r="H417" s="294">
        <v>9727765204</v>
      </c>
      <c r="I417" s="292" t="s">
        <v>4073</v>
      </c>
      <c r="J417" s="294" t="s">
        <v>1113</v>
      </c>
      <c r="K417" s="292" t="s">
        <v>4074</v>
      </c>
      <c r="L417" s="292" t="s">
        <v>49</v>
      </c>
      <c r="M417" s="292" t="s">
        <v>2623</v>
      </c>
      <c r="N417" s="292"/>
      <c r="O417" s="296"/>
      <c r="P417" s="297"/>
      <c r="Q417" s="294"/>
      <c r="R417" s="298"/>
      <c r="S417" s="8"/>
      <c r="T417" s="9"/>
      <c r="U417" s="9"/>
    </row>
    <row r="418" spans="1:21" hidden="1">
      <c r="A418" s="299">
        <f t="shared" si="6"/>
        <v>417</v>
      </c>
      <c r="B418" s="323">
        <v>46073</v>
      </c>
      <c r="C418" s="303" t="s">
        <v>4075</v>
      </c>
      <c r="D418" s="303" t="s">
        <v>4076</v>
      </c>
      <c r="E418" s="303" t="s">
        <v>193</v>
      </c>
      <c r="F418" s="303" t="s">
        <v>73</v>
      </c>
      <c r="G418" s="303" t="s">
        <v>4077</v>
      </c>
      <c r="H418" s="305">
        <v>9904766195</v>
      </c>
      <c r="I418" s="303" t="s">
        <v>4078</v>
      </c>
      <c r="J418" s="305" t="s">
        <v>122</v>
      </c>
      <c r="K418" s="303" t="s">
        <v>4075</v>
      </c>
      <c r="L418" s="303" t="s">
        <v>49</v>
      </c>
      <c r="M418" s="303" t="s">
        <v>2623</v>
      </c>
      <c r="N418" s="303"/>
      <c r="O418" s="307"/>
      <c r="P418" s="308"/>
      <c r="Q418" s="305"/>
      <c r="R418" s="309"/>
      <c r="S418" s="8"/>
      <c r="T418" s="9"/>
      <c r="U418" s="9"/>
    </row>
    <row r="419" spans="1:21" hidden="1">
      <c r="A419" s="288">
        <f t="shared" si="6"/>
        <v>418</v>
      </c>
      <c r="B419" s="322">
        <v>46074</v>
      </c>
      <c r="C419" s="292" t="s">
        <v>4079</v>
      </c>
      <c r="D419" s="292" t="s">
        <v>4080</v>
      </c>
      <c r="E419" s="292" t="s">
        <v>126</v>
      </c>
      <c r="F419" s="292" t="s">
        <v>44</v>
      </c>
      <c r="G419" s="292" t="s">
        <v>45</v>
      </c>
      <c r="H419" s="294">
        <v>9811427982</v>
      </c>
      <c r="I419" s="379"/>
      <c r="J419" s="294" t="s">
        <v>122</v>
      </c>
      <c r="K419" s="292" t="s">
        <v>4081</v>
      </c>
      <c r="L419" s="292" t="s">
        <v>49</v>
      </c>
      <c r="M419" s="292" t="s">
        <v>2623</v>
      </c>
      <c r="N419" s="292"/>
      <c r="O419" s="296"/>
      <c r="P419" s="297"/>
      <c r="Q419" s="294"/>
      <c r="R419" s="298"/>
      <c r="S419" s="8"/>
      <c r="T419" s="9"/>
      <c r="U419" s="9"/>
    </row>
    <row r="420" spans="1:21" hidden="1">
      <c r="A420" s="299">
        <f t="shared" si="6"/>
        <v>419</v>
      </c>
      <c r="B420" s="323">
        <v>46074</v>
      </c>
      <c r="C420" s="303"/>
      <c r="D420" s="303" t="s">
        <v>4076</v>
      </c>
      <c r="E420" s="303" t="s">
        <v>193</v>
      </c>
      <c r="F420" s="303" t="s">
        <v>73</v>
      </c>
      <c r="G420" s="316" t="s">
        <v>273</v>
      </c>
      <c r="H420" s="305">
        <v>9904766195</v>
      </c>
      <c r="I420" s="371" t="s">
        <v>4078</v>
      </c>
      <c r="J420" s="305" t="s">
        <v>122</v>
      </c>
      <c r="K420" s="303" t="s">
        <v>4075</v>
      </c>
      <c r="L420" s="303" t="s">
        <v>49</v>
      </c>
      <c r="M420" s="303" t="s">
        <v>2623</v>
      </c>
      <c r="N420" s="303"/>
      <c r="O420" s="307"/>
      <c r="P420" s="308"/>
      <c r="Q420" s="305"/>
      <c r="R420" s="309"/>
      <c r="S420" s="8"/>
      <c r="T420" s="9"/>
      <c r="U420" s="9"/>
    </row>
    <row r="421" spans="1:21" ht="90" hidden="1">
      <c r="A421" s="288">
        <f t="shared" si="6"/>
        <v>420</v>
      </c>
      <c r="B421" s="322">
        <v>46074</v>
      </c>
      <c r="C421" s="292" t="s">
        <v>4079</v>
      </c>
      <c r="D421" s="295" t="s">
        <v>4080</v>
      </c>
      <c r="E421" s="292" t="s">
        <v>126</v>
      </c>
      <c r="F421" s="292" t="s">
        <v>44</v>
      </c>
      <c r="G421" s="315" t="s">
        <v>45</v>
      </c>
      <c r="H421" s="294">
        <v>9811427982</v>
      </c>
      <c r="I421" s="379"/>
      <c r="J421" s="294" t="s">
        <v>1113</v>
      </c>
      <c r="K421" s="292"/>
      <c r="L421" s="292" t="s">
        <v>49</v>
      </c>
      <c r="M421" s="292" t="s">
        <v>50</v>
      </c>
      <c r="N421" s="292"/>
      <c r="O421" s="296"/>
      <c r="P421" s="297"/>
      <c r="Q421" s="294"/>
      <c r="R421" s="298"/>
      <c r="S421" s="8"/>
      <c r="T421" s="9"/>
      <c r="U421" s="9"/>
    </row>
    <row r="422" spans="1:21" hidden="1">
      <c r="A422" s="299">
        <f t="shared" si="6"/>
        <v>421</v>
      </c>
      <c r="B422" s="323">
        <v>46074</v>
      </c>
      <c r="C422" s="303" t="s">
        <v>4082</v>
      </c>
      <c r="D422" s="303" t="s">
        <v>4083</v>
      </c>
      <c r="E422" s="303" t="s">
        <v>390</v>
      </c>
      <c r="F422" s="303" t="s">
        <v>32</v>
      </c>
      <c r="G422" s="316" t="s">
        <v>4084</v>
      </c>
      <c r="H422" s="305">
        <v>9059902006</v>
      </c>
      <c r="I422" s="371" t="s">
        <v>4085</v>
      </c>
      <c r="J422" s="305" t="s">
        <v>63</v>
      </c>
      <c r="K422" s="303"/>
      <c r="L422" s="303" t="s">
        <v>49</v>
      </c>
      <c r="M422" s="303" t="s">
        <v>50</v>
      </c>
      <c r="N422" s="303"/>
      <c r="O422" s="307"/>
      <c r="P422" s="308"/>
      <c r="Q422" s="305"/>
      <c r="R422" s="309"/>
      <c r="S422" s="8"/>
      <c r="T422" s="9"/>
      <c r="U422" s="9"/>
    </row>
    <row r="423" spans="1:21" hidden="1">
      <c r="A423" s="288">
        <f t="shared" si="6"/>
        <v>422</v>
      </c>
      <c r="B423" s="322">
        <v>46074</v>
      </c>
      <c r="C423" s="292" t="s">
        <v>4086</v>
      </c>
      <c r="D423" s="292" t="s">
        <v>4087</v>
      </c>
      <c r="E423" s="292" t="s">
        <v>162</v>
      </c>
      <c r="F423" s="292" t="s">
        <v>23</v>
      </c>
      <c r="G423" s="315" t="s">
        <v>4088</v>
      </c>
      <c r="H423" s="294"/>
      <c r="I423" s="370" t="s">
        <v>4089</v>
      </c>
      <c r="J423" s="294" t="s">
        <v>567</v>
      </c>
      <c r="K423" s="292" t="s">
        <v>4090</v>
      </c>
      <c r="L423" s="292" t="s">
        <v>49</v>
      </c>
      <c r="M423" s="292" t="s">
        <v>2623</v>
      </c>
      <c r="N423" s="292"/>
      <c r="O423" s="296"/>
      <c r="P423" s="297"/>
      <c r="Q423" s="294"/>
      <c r="R423" s="298"/>
      <c r="S423" s="8"/>
      <c r="T423" s="9"/>
      <c r="U423" s="9"/>
    </row>
    <row r="424" spans="1:21" hidden="1">
      <c r="A424" s="299">
        <f t="shared" si="6"/>
        <v>423</v>
      </c>
      <c r="B424" s="323">
        <v>46074</v>
      </c>
      <c r="C424" s="303" t="s">
        <v>1687</v>
      </c>
      <c r="D424" s="303" t="s">
        <v>4091</v>
      </c>
      <c r="E424" s="303" t="s">
        <v>22</v>
      </c>
      <c r="F424" s="303" t="s">
        <v>23</v>
      </c>
      <c r="G424" s="316" t="s">
        <v>4092</v>
      </c>
      <c r="H424" s="305">
        <v>8669660939</v>
      </c>
      <c r="I424" s="361" t="s">
        <v>2619</v>
      </c>
      <c r="J424" s="305" t="s">
        <v>1698</v>
      </c>
      <c r="K424" s="306" t="s">
        <v>4093</v>
      </c>
      <c r="L424" s="303" t="s">
        <v>27</v>
      </c>
      <c r="M424" s="303" t="s">
        <v>40</v>
      </c>
      <c r="N424" s="303" t="s">
        <v>4094</v>
      </c>
      <c r="O424" s="307">
        <v>46074</v>
      </c>
      <c r="P424" s="313">
        <v>350000</v>
      </c>
      <c r="Q424" s="305" t="s">
        <v>292</v>
      </c>
      <c r="R424" s="309"/>
      <c r="S424" s="8"/>
      <c r="T424" s="9"/>
      <c r="U424" s="9"/>
    </row>
    <row r="425" spans="1:21" hidden="1">
      <c r="A425" s="288">
        <f t="shared" si="6"/>
        <v>424</v>
      </c>
      <c r="B425" s="322">
        <v>46074</v>
      </c>
      <c r="C425" s="292" t="s">
        <v>4095</v>
      </c>
      <c r="D425" s="292" t="s">
        <v>4096</v>
      </c>
      <c r="E425" s="292" t="s">
        <v>214</v>
      </c>
      <c r="F425" s="292" t="s">
        <v>73</v>
      </c>
      <c r="G425" s="315" t="s">
        <v>4097</v>
      </c>
      <c r="H425" s="294">
        <v>8197298608</v>
      </c>
      <c r="I425" s="362" t="s">
        <v>4098</v>
      </c>
      <c r="J425" s="294" t="s">
        <v>1698</v>
      </c>
      <c r="K425" s="377" t="s">
        <v>4099</v>
      </c>
      <c r="L425" s="292" t="s">
        <v>27</v>
      </c>
      <c r="M425" s="292" t="s">
        <v>77</v>
      </c>
      <c r="N425" s="292" t="s">
        <v>4100</v>
      </c>
      <c r="O425" s="296">
        <v>46074</v>
      </c>
      <c r="P425" s="319">
        <v>2918989</v>
      </c>
      <c r="Q425" s="294" t="s">
        <v>70</v>
      </c>
      <c r="R425" s="298"/>
      <c r="S425" s="8"/>
      <c r="T425" s="9"/>
      <c r="U425" s="9"/>
    </row>
    <row r="426" spans="1:21" hidden="1">
      <c r="A426" s="299">
        <f t="shared" si="6"/>
        <v>425</v>
      </c>
      <c r="B426" s="323">
        <v>46074</v>
      </c>
      <c r="C426" s="303" t="s">
        <v>4101</v>
      </c>
      <c r="D426" s="303" t="s">
        <v>131</v>
      </c>
      <c r="E426" s="303" t="s">
        <v>22</v>
      </c>
      <c r="F426" s="303" t="s">
        <v>23</v>
      </c>
      <c r="G426" s="316" t="s">
        <v>4102</v>
      </c>
      <c r="H426" s="305"/>
      <c r="I426" s="361" t="s">
        <v>4103</v>
      </c>
      <c r="J426" s="305" t="s">
        <v>1698</v>
      </c>
      <c r="K426" s="306"/>
      <c r="L426" s="303" t="s">
        <v>74</v>
      </c>
      <c r="M426" s="303" t="s">
        <v>50</v>
      </c>
      <c r="N426" s="303" t="s">
        <v>4094</v>
      </c>
      <c r="O426" s="307">
        <v>46074</v>
      </c>
      <c r="P426" s="313">
        <v>950000</v>
      </c>
      <c r="Q426" s="305" t="s">
        <v>70</v>
      </c>
      <c r="R426" s="309"/>
      <c r="S426" s="8"/>
      <c r="T426" s="9"/>
      <c r="U426" s="9"/>
    </row>
    <row r="427" spans="1:21" hidden="1">
      <c r="A427" s="288">
        <f t="shared" si="6"/>
        <v>426</v>
      </c>
      <c r="B427" s="322">
        <v>46074</v>
      </c>
      <c r="C427" s="292" t="s">
        <v>1687</v>
      </c>
      <c r="D427" s="292" t="s">
        <v>4091</v>
      </c>
      <c r="E427" s="292" t="s">
        <v>22</v>
      </c>
      <c r="F427" s="292" t="s">
        <v>60</v>
      </c>
      <c r="G427" s="315" t="s">
        <v>605</v>
      </c>
      <c r="H427" s="294">
        <v>8669660939</v>
      </c>
      <c r="I427" s="362" t="s">
        <v>2619</v>
      </c>
      <c r="J427" s="294" t="s">
        <v>1698</v>
      </c>
      <c r="K427" s="377" t="s">
        <v>4093</v>
      </c>
      <c r="L427" s="292" t="s">
        <v>27</v>
      </c>
      <c r="M427" s="292" t="s">
        <v>40</v>
      </c>
      <c r="N427" s="292" t="s">
        <v>4104</v>
      </c>
      <c r="O427" s="296">
        <v>46074</v>
      </c>
      <c r="P427" s="319">
        <v>274744</v>
      </c>
      <c r="Q427" s="294" t="s">
        <v>79</v>
      </c>
      <c r="R427" s="298"/>
      <c r="S427" s="8"/>
      <c r="T427" s="9"/>
      <c r="U427" s="9"/>
    </row>
    <row r="428" spans="1:21" hidden="1">
      <c r="A428" s="299">
        <f t="shared" si="6"/>
        <v>427</v>
      </c>
      <c r="B428" s="323">
        <v>46074</v>
      </c>
      <c r="C428" s="303"/>
      <c r="D428" s="303" t="s">
        <v>810</v>
      </c>
      <c r="E428" s="303" t="s">
        <v>595</v>
      </c>
      <c r="F428" s="303" t="s">
        <v>73</v>
      </c>
      <c r="G428" s="303" t="s">
        <v>73</v>
      </c>
      <c r="H428" s="305">
        <v>9007976995</v>
      </c>
      <c r="I428" s="303" t="s">
        <v>4105</v>
      </c>
      <c r="J428" s="305" t="s">
        <v>122</v>
      </c>
      <c r="K428" s="306" t="s">
        <v>4106</v>
      </c>
      <c r="L428" s="303" t="s">
        <v>49</v>
      </c>
      <c r="M428" s="303" t="s">
        <v>50</v>
      </c>
      <c r="N428" s="303"/>
      <c r="O428" s="307"/>
      <c r="P428" s="308"/>
      <c r="Q428" s="305"/>
      <c r="R428" s="309"/>
      <c r="S428" s="8"/>
      <c r="T428" s="9"/>
      <c r="U428" s="9"/>
    </row>
    <row r="429" spans="1:21" hidden="1">
      <c r="A429" s="288">
        <f t="shared" si="6"/>
        <v>428</v>
      </c>
      <c r="B429" s="322">
        <v>46074</v>
      </c>
      <c r="C429" s="292"/>
      <c r="D429" s="292" t="s">
        <v>131</v>
      </c>
      <c r="E429" s="292" t="s">
        <v>22</v>
      </c>
      <c r="F429" s="292" t="s">
        <v>73</v>
      </c>
      <c r="G429" s="292" t="s">
        <v>73</v>
      </c>
      <c r="H429" s="294">
        <v>9422181248</v>
      </c>
      <c r="I429" s="294" t="s">
        <v>4107</v>
      </c>
      <c r="J429" s="294" t="s">
        <v>122</v>
      </c>
      <c r="K429" s="377" t="s">
        <v>4108</v>
      </c>
      <c r="L429" s="292" t="s">
        <v>49</v>
      </c>
      <c r="M429" s="292" t="s">
        <v>2623</v>
      </c>
      <c r="N429" s="292"/>
      <c r="O429" s="296"/>
      <c r="P429" s="297"/>
      <c r="Q429" s="294"/>
      <c r="R429" s="298"/>
      <c r="S429" s="8"/>
      <c r="T429" s="9"/>
      <c r="U429" s="9"/>
    </row>
    <row r="430" spans="1:21" hidden="1">
      <c r="A430" s="299">
        <f t="shared" si="6"/>
        <v>429</v>
      </c>
      <c r="B430" s="323">
        <v>46074</v>
      </c>
      <c r="C430" s="303"/>
      <c r="D430" s="303" t="s">
        <v>4109</v>
      </c>
      <c r="E430" s="303"/>
      <c r="F430" s="303" t="s">
        <v>73</v>
      </c>
      <c r="G430" s="303" t="s">
        <v>73</v>
      </c>
      <c r="H430" s="305">
        <v>9992000407</v>
      </c>
      <c r="I430" s="378"/>
      <c r="J430" s="305" t="s">
        <v>567</v>
      </c>
      <c r="K430" s="306" t="s">
        <v>4110</v>
      </c>
      <c r="L430" s="303" t="s">
        <v>49</v>
      </c>
      <c r="M430" s="303" t="s">
        <v>2623</v>
      </c>
      <c r="N430" s="303"/>
      <c r="O430" s="307"/>
      <c r="P430" s="308"/>
      <c r="Q430" s="305"/>
      <c r="R430" s="309"/>
      <c r="S430" s="8"/>
      <c r="T430" s="9"/>
      <c r="U430" s="9"/>
    </row>
    <row r="431" spans="1:21" hidden="1">
      <c r="A431" s="288">
        <f t="shared" si="6"/>
        <v>430</v>
      </c>
      <c r="B431" s="322">
        <v>46074</v>
      </c>
      <c r="C431" s="292"/>
      <c r="D431" s="292" t="s">
        <v>2878</v>
      </c>
      <c r="E431" s="292" t="s">
        <v>390</v>
      </c>
      <c r="F431" s="292" t="s">
        <v>73</v>
      </c>
      <c r="G431" s="292" t="s">
        <v>109</v>
      </c>
      <c r="H431" s="294">
        <v>9992000407</v>
      </c>
      <c r="I431" s="292" t="s">
        <v>4111</v>
      </c>
      <c r="J431" s="294" t="s">
        <v>1113</v>
      </c>
      <c r="K431" s="292" t="s">
        <v>4112</v>
      </c>
      <c r="L431" s="292" t="s">
        <v>49</v>
      </c>
      <c r="M431" s="292" t="s">
        <v>50</v>
      </c>
      <c r="N431" s="292"/>
      <c r="O431" s="296"/>
      <c r="P431" s="297"/>
      <c r="Q431" s="294"/>
      <c r="R431" s="298"/>
      <c r="S431" s="8"/>
      <c r="T431" s="9"/>
      <c r="U431" s="9"/>
    </row>
    <row r="432" spans="1:21" hidden="1">
      <c r="A432" s="299">
        <f t="shared" si="6"/>
        <v>431</v>
      </c>
      <c r="B432" s="323">
        <v>46075</v>
      </c>
      <c r="C432" s="303" t="s">
        <v>4113</v>
      </c>
      <c r="D432" s="303" t="s">
        <v>4114</v>
      </c>
      <c r="E432" s="303" t="s">
        <v>22</v>
      </c>
      <c r="F432" s="303" t="s">
        <v>44</v>
      </c>
      <c r="G432" s="316" t="s">
        <v>4115</v>
      </c>
      <c r="H432" s="305">
        <v>9765009443</v>
      </c>
      <c r="I432" s="361" t="s">
        <v>3699</v>
      </c>
      <c r="J432" s="305" t="s">
        <v>1698</v>
      </c>
      <c r="K432" s="306" t="s">
        <v>4116</v>
      </c>
      <c r="L432" s="303" t="s">
        <v>27</v>
      </c>
      <c r="M432" s="303" t="s">
        <v>50</v>
      </c>
      <c r="N432" s="303" t="s">
        <v>4117</v>
      </c>
      <c r="O432" s="307">
        <v>46075</v>
      </c>
      <c r="P432" s="313">
        <v>2816856</v>
      </c>
      <c r="Q432" s="305" t="s">
        <v>79</v>
      </c>
      <c r="R432" s="309"/>
      <c r="S432" s="8"/>
      <c r="T432" s="9"/>
      <c r="U432" s="9"/>
    </row>
    <row r="433" spans="1:21" hidden="1">
      <c r="A433" s="288">
        <f t="shared" si="6"/>
        <v>432</v>
      </c>
      <c r="B433" s="322">
        <v>46075</v>
      </c>
      <c r="C433" s="292" t="s">
        <v>517</v>
      </c>
      <c r="D433" s="292" t="s">
        <v>2167</v>
      </c>
      <c r="E433" s="292" t="s">
        <v>22</v>
      </c>
      <c r="F433" s="292" t="s">
        <v>60</v>
      </c>
      <c r="G433" s="315" t="s">
        <v>4118</v>
      </c>
      <c r="H433" s="294">
        <v>9822577592</v>
      </c>
      <c r="I433" s="362" t="s">
        <v>3146</v>
      </c>
      <c r="J433" s="294" t="s">
        <v>1698</v>
      </c>
      <c r="K433" s="377" t="s">
        <v>290</v>
      </c>
      <c r="L433" s="292" t="s">
        <v>27</v>
      </c>
      <c r="M433" s="292" t="s">
        <v>40</v>
      </c>
      <c r="N433" s="380" t="s">
        <v>4119</v>
      </c>
      <c r="O433" s="296">
        <v>46075</v>
      </c>
      <c r="P433" s="319">
        <v>276046</v>
      </c>
      <c r="Q433" s="294" t="s">
        <v>70</v>
      </c>
      <c r="R433" s="298"/>
      <c r="S433" s="8"/>
      <c r="T433" s="9"/>
      <c r="U433" s="9"/>
    </row>
    <row r="434" spans="1:21" ht="30" hidden="1">
      <c r="A434" s="299">
        <f t="shared" si="6"/>
        <v>433</v>
      </c>
      <c r="B434" s="323">
        <v>46075</v>
      </c>
      <c r="C434" s="303" t="s">
        <v>4120</v>
      </c>
      <c r="D434" s="303" t="s">
        <v>4121</v>
      </c>
      <c r="E434" s="303" t="s">
        <v>22</v>
      </c>
      <c r="F434" s="303" t="s">
        <v>44</v>
      </c>
      <c r="G434" s="316" t="s">
        <v>4122</v>
      </c>
      <c r="H434" s="305" t="s">
        <v>4123</v>
      </c>
      <c r="I434" s="361" t="s">
        <v>4124</v>
      </c>
      <c r="J434" s="305" t="s">
        <v>1698</v>
      </c>
      <c r="K434" s="306" t="s">
        <v>4125</v>
      </c>
      <c r="L434" s="303" t="s">
        <v>27</v>
      </c>
      <c r="M434" s="303" t="s">
        <v>40</v>
      </c>
      <c r="N434" s="303" t="s">
        <v>4126</v>
      </c>
      <c r="O434" s="307">
        <v>46075</v>
      </c>
      <c r="P434" s="313">
        <v>2212801</v>
      </c>
      <c r="Q434" s="305" t="s">
        <v>70</v>
      </c>
      <c r="R434" s="309"/>
      <c r="S434" s="8"/>
      <c r="T434" s="9"/>
      <c r="U434" s="9"/>
    </row>
    <row r="435" spans="1:21" hidden="1">
      <c r="A435" s="288">
        <f t="shared" si="6"/>
        <v>434</v>
      </c>
      <c r="B435" s="322">
        <v>46075</v>
      </c>
      <c r="C435" s="292" t="s">
        <v>4127</v>
      </c>
      <c r="D435" s="292" t="s">
        <v>4121</v>
      </c>
      <c r="E435" s="292" t="s">
        <v>22</v>
      </c>
      <c r="F435" s="292" t="s">
        <v>44</v>
      </c>
      <c r="G435" s="315" t="s">
        <v>4128</v>
      </c>
      <c r="H435" s="294">
        <v>9972999933</v>
      </c>
      <c r="I435" s="362" t="s">
        <v>4129</v>
      </c>
      <c r="J435" s="294" t="s">
        <v>1698</v>
      </c>
      <c r="K435" s="377" t="s">
        <v>4130</v>
      </c>
      <c r="L435" s="292" t="s">
        <v>49</v>
      </c>
      <c r="M435" s="292" t="s">
        <v>40</v>
      </c>
      <c r="N435" s="292" t="s">
        <v>4131</v>
      </c>
      <c r="O435" s="296">
        <v>46075</v>
      </c>
      <c r="P435" s="319">
        <v>540000</v>
      </c>
      <c r="Q435" s="294" t="s">
        <v>70</v>
      </c>
      <c r="R435" s="298"/>
      <c r="S435" s="8"/>
      <c r="T435" s="9"/>
      <c r="U435" s="9"/>
    </row>
    <row r="436" spans="1:21" ht="30" hidden="1">
      <c r="A436" s="299">
        <f t="shared" si="6"/>
        <v>435</v>
      </c>
      <c r="B436" s="323">
        <v>46075</v>
      </c>
      <c r="C436" s="303" t="s">
        <v>4132</v>
      </c>
      <c r="D436" s="303" t="s">
        <v>131</v>
      </c>
      <c r="E436" s="303" t="s">
        <v>22</v>
      </c>
      <c r="F436" s="303" t="s">
        <v>32</v>
      </c>
      <c r="G436" s="316" t="s">
        <v>4133</v>
      </c>
      <c r="H436" s="305" t="s">
        <v>1586</v>
      </c>
      <c r="I436" s="361" t="s">
        <v>4134</v>
      </c>
      <c r="J436" s="305" t="s">
        <v>1698</v>
      </c>
      <c r="K436" s="306" t="s">
        <v>4135</v>
      </c>
      <c r="L436" s="303" t="s">
        <v>27</v>
      </c>
      <c r="M436" s="303" t="s">
        <v>28</v>
      </c>
      <c r="N436" s="303"/>
      <c r="O436" s="307">
        <v>46075</v>
      </c>
      <c r="P436" s="308" t="s">
        <v>4136</v>
      </c>
      <c r="Q436" s="305" t="s">
        <v>70</v>
      </c>
      <c r="R436" s="309"/>
      <c r="S436" s="8"/>
      <c r="T436" s="9"/>
      <c r="U436" s="9"/>
    </row>
    <row r="437" spans="1:21" hidden="1">
      <c r="A437" s="288">
        <f t="shared" si="6"/>
        <v>436</v>
      </c>
      <c r="B437" s="322">
        <v>46075</v>
      </c>
      <c r="C437" s="292"/>
      <c r="D437" s="292" t="s">
        <v>4137</v>
      </c>
      <c r="E437" s="292" t="s">
        <v>3130</v>
      </c>
      <c r="F437" s="292" t="s">
        <v>60</v>
      </c>
      <c r="G437" s="294" t="s">
        <v>1801</v>
      </c>
      <c r="H437" s="294">
        <v>9686968657</v>
      </c>
      <c r="I437" s="379"/>
      <c r="J437" s="294" t="s">
        <v>567</v>
      </c>
      <c r="K437" s="377" t="s">
        <v>3066</v>
      </c>
      <c r="L437" s="292" t="s">
        <v>49</v>
      </c>
      <c r="M437" s="292" t="s">
        <v>40</v>
      </c>
      <c r="N437" s="292"/>
      <c r="O437" s="296"/>
      <c r="P437" s="297"/>
      <c r="Q437" s="294"/>
      <c r="R437" s="298"/>
      <c r="S437" s="8"/>
      <c r="T437" s="9"/>
      <c r="U437" s="9"/>
    </row>
    <row r="438" spans="1:21" hidden="1">
      <c r="A438" s="299">
        <f t="shared" si="6"/>
        <v>437</v>
      </c>
      <c r="B438" s="323">
        <v>46076</v>
      </c>
      <c r="C438" s="303"/>
      <c r="D438" s="303" t="s">
        <v>3072</v>
      </c>
      <c r="E438" s="303" t="s">
        <v>82</v>
      </c>
      <c r="F438" s="303" t="s">
        <v>23</v>
      </c>
      <c r="G438" s="305" t="s">
        <v>4138</v>
      </c>
      <c r="H438" s="305">
        <v>9600954412</v>
      </c>
      <c r="I438" s="303" t="s">
        <v>4139</v>
      </c>
      <c r="J438" s="305" t="s">
        <v>567</v>
      </c>
      <c r="K438" s="306" t="s">
        <v>4140</v>
      </c>
      <c r="L438" s="303" t="s">
        <v>49</v>
      </c>
      <c r="M438" s="303" t="s">
        <v>50</v>
      </c>
      <c r="N438" s="303"/>
      <c r="O438" s="307"/>
      <c r="P438" s="308"/>
      <c r="Q438" s="305"/>
      <c r="R438" s="309"/>
      <c r="S438" s="8"/>
      <c r="T438" s="9"/>
      <c r="U438" s="9"/>
    </row>
    <row r="439" spans="1:21" hidden="1">
      <c r="A439" s="288">
        <f t="shared" si="6"/>
        <v>438</v>
      </c>
      <c r="B439" s="322">
        <v>46076</v>
      </c>
      <c r="C439" s="292" t="s">
        <v>4141</v>
      </c>
      <c r="D439" s="292" t="s">
        <v>4142</v>
      </c>
      <c r="E439" s="292" t="s">
        <v>22</v>
      </c>
      <c r="F439" s="292" t="s">
        <v>23</v>
      </c>
      <c r="G439" s="292" t="s">
        <v>23</v>
      </c>
      <c r="H439" s="294">
        <v>9922510037</v>
      </c>
      <c r="I439" s="292" t="s">
        <v>4143</v>
      </c>
      <c r="J439" s="294" t="s">
        <v>567</v>
      </c>
      <c r="K439" s="377"/>
      <c r="L439" s="292" t="s">
        <v>49</v>
      </c>
      <c r="M439" s="292" t="s">
        <v>50</v>
      </c>
      <c r="N439" s="292"/>
      <c r="O439" s="296"/>
      <c r="P439" s="297"/>
      <c r="Q439" s="294"/>
      <c r="R439" s="298"/>
      <c r="S439" s="8"/>
      <c r="T439" s="9"/>
      <c r="U439" s="9"/>
    </row>
    <row r="440" spans="1:21" ht="30" hidden="1">
      <c r="A440" s="299">
        <f t="shared" si="6"/>
        <v>439</v>
      </c>
      <c r="B440" s="323">
        <v>46076</v>
      </c>
      <c r="C440" s="303" t="s">
        <v>4144</v>
      </c>
      <c r="D440" s="303" t="s">
        <v>21</v>
      </c>
      <c r="E440" s="303" t="s">
        <v>22</v>
      </c>
      <c r="F440" s="303" t="s">
        <v>59</v>
      </c>
      <c r="G440" s="316" t="s">
        <v>4145</v>
      </c>
      <c r="H440" s="305">
        <v>7391051663</v>
      </c>
      <c r="I440" s="361" t="s">
        <v>4146</v>
      </c>
      <c r="J440" s="346" t="s">
        <v>1698</v>
      </c>
      <c r="K440" s="306" t="s">
        <v>4147</v>
      </c>
      <c r="L440" s="303" t="s">
        <v>27</v>
      </c>
      <c r="M440" s="303" t="s">
        <v>28</v>
      </c>
      <c r="N440" s="303" t="s">
        <v>4148</v>
      </c>
      <c r="O440" s="307">
        <v>46076</v>
      </c>
      <c r="P440" s="313">
        <v>1756360</v>
      </c>
      <c r="Q440" s="305" t="s">
        <v>292</v>
      </c>
      <c r="R440" s="309"/>
      <c r="S440" s="8"/>
      <c r="T440" s="9"/>
      <c r="U440" s="9"/>
    </row>
    <row r="441" spans="1:21" ht="60" hidden="1">
      <c r="A441" s="288">
        <f t="shared" si="6"/>
        <v>440</v>
      </c>
      <c r="B441" s="381">
        <v>46076</v>
      </c>
      <c r="C441" s="295" t="s">
        <v>4149</v>
      </c>
      <c r="D441" s="295" t="s">
        <v>21</v>
      </c>
      <c r="E441" s="295" t="s">
        <v>22</v>
      </c>
      <c r="F441" s="295" t="s">
        <v>36</v>
      </c>
      <c r="G441" s="339" t="s">
        <v>37</v>
      </c>
      <c r="H441" s="318">
        <v>9637834272</v>
      </c>
      <c r="I441" s="377" t="s">
        <v>38</v>
      </c>
      <c r="J441" s="318" t="s">
        <v>1698</v>
      </c>
      <c r="K441" s="377" t="s">
        <v>39</v>
      </c>
      <c r="L441" s="295" t="s">
        <v>27</v>
      </c>
      <c r="M441" s="295" t="s">
        <v>2623</v>
      </c>
      <c r="N441" s="295" t="s">
        <v>41</v>
      </c>
      <c r="O441" s="296">
        <v>46076</v>
      </c>
      <c r="P441" s="319">
        <v>890000</v>
      </c>
      <c r="Q441" s="294" t="s">
        <v>70</v>
      </c>
      <c r="R441" s="298"/>
      <c r="S441" s="8"/>
      <c r="T441" s="9"/>
      <c r="U441" s="9"/>
    </row>
    <row r="442" spans="1:21" ht="30" hidden="1">
      <c r="A442" s="299">
        <f t="shared" si="6"/>
        <v>441</v>
      </c>
      <c r="B442" s="323">
        <v>46077</v>
      </c>
      <c r="C442" s="303" t="s">
        <v>4150</v>
      </c>
      <c r="D442" s="303" t="s">
        <v>131</v>
      </c>
      <c r="E442" s="303" t="s">
        <v>22</v>
      </c>
      <c r="F442" s="303" t="s">
        <v>73</v>
      </c>
      <c r="G442" s="316" t="s">
        <v>4151</v>
      </c>
      <c r="H442" s="305">
        <v>7989369015</v>
      </c>
      <c r="I442" s="306" t="s">
        <v>4152</v>
      </c>
      <c r="J442" s="346" t="s">
        <v>1698</v>
      </c>
      <c r="K442" s="306" t="s">
        <v>4153</v>
      </c>
      <c r="L442" s="303" t="s">
        <v>27</v>
      </c>
      <c r="M442" s="303" t="s">
        <v>28</v>
      </c>
      <c r="N442" s="303" t="s">
        <v>4154</v>
      </c>
      <c r="O442" s="307">
        <v>46076</v>
      </c>
      <c r="P442" s="313">
        <v>2487436</v>
      </c>
      <c r="Q442" s="305" t="s">
        <v>79</v>
      </c>
      <c r="R442" s="309"/>
      <c r="S442" s="8"/>
      <c r="T442" s="9"/>
      <c r="U442" s="9"/>
    </row>
    <row r="443" spans="1:21" hidden="1">
      <c r="A443" s="288">
        <f t="shared" si="6"/>
        <v>442</v>
      </c>
      <c r="B443" s="322">
        <v>46077</v>
      </c>
      <c r="C443" s="292" t="s">
        <v>4155</v>
      </c>
      <c r="D443" s="292" t="s">
        <v>131</v>
      </c>
      <c r="E443" s="292" t="s">
        <v>22</v>
      </c>
      <c r="F443" s="292" t="s">
        <v>44</v>
      </c>
      <c r="G443" s="315" t="s">
        <v>1967</v>
      </c>
      <c r="H443" s="294">
        <v>7030967105</v>
      </c>
      <c r="I443" s="294" t="s">
        <v>4156</v>
      </c>
      <c r="J443" s="294" t="s">
        <v>1698</v>
      </c>
      <c r="K443" s="377" t="s">
        <v>4157</v>
      </c>
      <c r="L443" s="292" t="s">
        <v>74</v>
      </c>
      <c r="M443" s="292" t="s">
        <v>2623</v>
      </c>
      <c r="N443" s="292"/>
      <c r="O443" s="296"/>
      <c r="P443" s="297"/>
      <c r="Q443" s="294"/>
      <c r="R443" s="298"/>
      <c r="S443" s="8"/>
      <c r="T443" s="9"/>
      <c r="U443" s="9"/>
    </row>
    <row r="444" spans="1:21" hidden="1">
      <c r="A444" s="299">
        <f t="shared" si="6"/>
        <v>443</v>
      </c>
      <c r="B444" s="323">
        <v>46077</v>
      </c>
      <c r="C444" s="303" t="s">
        <v>3136</v>
      </c>
      <c r="D444" s="303" t="s">
        <v>3137</v>
      </c>
      <c r="E444" s="303" t="s">
        <v>22</v>
      </c>
      <c r="F444" s="303" t="s">
        <v>60</v>
      </c>
      <c r="G444" s="316" t="s">
        <v>180</v>
      </c>
      <c r="H444" s="305">
        <v>9359646764</v>
      </c>
      <c r="I444" s="316" t="s">
        <v>3138</v>
      </c>
      <c r="J444" s="305" t="s">
        <v>122</v>
      </c>
      <c r="K444" s="316" t="s">
        <v>3139</v>
      </c>
      <c r="L444" s="303" t="s">
        <v>49</v>
      </c>
      <c r="M444" s="303" t="s">
        <v>40</v>
      </c>
      <c r="N444" s="303"/>
      <c r="O444" s="307"/>
      <c r="P444" s="308"/>
      <c r="Q444" s="305"/>
      <c r="R444" s="309"/>
      <c r="S444" s="8"/>
      <c r="T444" s="9"/>
      <c r="U444" s="9"/>
    </row>
    <row r="445" spans="1:21" hidden="1">
      <c r="A445" s="288">
        <f t="shared" si="6"/>
        <v>444</v>
      </c>
      <c r="B445" s="322">
        <v>46077</v>
      </c>
      <c r="C445" s="292"/>
      <c r="D445" s="292"/>
      <c r="E445" s="292" t="s">
        <v>22</v>
      </c>
      <c r="F445" s="292" t="s">
        <v>23</v>
      </c>
      <c r="G445" s="292" t="s">
        <v>4158</v>
      </c>
      <c r="H445" s="294">
        <v>8545847991</v>
      </c>
      <c r="I445" s="377"/>
      <c r="J445" s="294" t="s">
        <v>567</v>
      </c>
      <c r="K445" s="315" t="s">
        <v>4159</v>
      </c>
      <c r="L445" s="292" t="s">
        <v>49</v>
      </c>
      <c r="M445" s="292" t="s">
        <v>50</v>
      </c>
      <c r="N445" s="292"/>
      <c r="O445" s="296"/>
      <c r="P445" s="297"/>
      <c r="Q445" s="294"/>
      <c r="R445" s="298"/>
      <c r="S445" s="8"/>
      <c r="T445" s="9"/>
      <c r="U445" s="9"/>
    </row>
    <row r="446" spans="1:21" hidden="1">
      <c r="A446" s="299">
        <f t="shared" si="6"/>
        <v>445</v>
      </c>
      <c r="B446" s="323">
        <v>46078</v>
      </c>
      <c r="C446" s="303" t="s">
        <v>4160</v>
      </c>
      <c r="D446" s="303" t="s">
        <v>4161</v>
      </c>
      <c r="E446" s="303" t="s">
        <v>22</v>
      </c>
      <c r="F446" s="303" t="s">
        <v>44</v>
      </c>
      <c r="G446" s="316" t="s">
        <v>45</v>
      </c>
      <c r="H446" s="305">
        <v>9595300409</v>
      </c>
      <c r="I446" s="316" t="s">
        <v>4162</v>
      </c>
      <c r="J446" s="305" t="s">
        <v>56</v>
      </c>
      <c r="K446" s="303" t="s">
        <v>4163</v>
      </c>
      <c r="L446" s="303" t="s">
        <v>27</v>
      </c>
      <c r="M446" s="303" t="s">
        <v>50</v>
      </c>
      <c r="N446" s="303"/>
      <c r="O446" s="307"/>
      <c r="P446" s="308"/>
      <c r="Q446" s="305"/>
      <c r="R446" s="309"/>
      <c r="S446" s="8"/>
      <c r="T446" s="9"/>
      <c r="U446" s="9"/>
    </row>
    <row r="447" spans="1:21" hidden="1">
      <c r="A447" s="288">
        <f t="shared" si="6"/>
        <v>446</v>
      </c>
      <c r="B447" s="322">
        <v>46078</v>
      </c>
      <c r="C447" s="292" t="s">
        <v>4164</v>
      </c>
      <c r="D447" s="292" t="s">
        <v>3257</v>
      </c>
      <c r="E447" s="292" t="s">
        <v>22</v>
      </c>
      <c r="F447" s="292" t="s">
        <v>73</v>
      </c>
      <c r="G447" s="315" t="s">
        <v>4165</v>
      </c>
      <c r="H447" s="294">
        <v>7620644822</v>
      </c>
      <c r="I447" s="294"/>
      <c r="J447" s="294" t="s">
        <v>122</v>
      </c>
      <c r="K447" s="315" t="s">
        <v>4166</v>
      </c>
      <c r="L447" s="292" t="s">
        <v>49</v>
      </c>
      <c r="M447" s="292" t="s">
        <v>2623</v>
      </c>
      <c r="N447" s="292"/>
      <c r="O447" s="296"/>
      <c r="P447" s="297"/>
      <c r="Q447" s="294"/>
      <c r="R447" s="298"/>
      <c r="S447" s="8"/>
      <c r="T447" s="9"/>
      <c r="U447" s="9"/>
    </row>
    <row r="448" spans="1:21" hidden="1">
      <c r="A448" s="299">
        <f t="shared" si="6"/>
        <v>447</v>
      </c>
      <c r="B448" s="323">
        <v>46078</v>
      </c>
      <c r="C448" s="303" t="s">
        <v>4167</v>
      </c>
      <c r="D448" s="303" t="s">
        <v>4168</v>
      </c>
      <c r="E448" s="303" t="s">
        <v>193</v>
      </c>
      <c r="F448" s="303" t="s">
        <v>23</v>
      </c>
      <c r="G448" s="316" t="s">
        <v>188</v>
      </c>
      <c r="H448" s="305">
        <v>8320725467</v>
      </c>
      <c r="I448" s="305"/>
      <c r="J448" s="305" t="s">
        <v>122</v>
      </c>
      <c r="K448" s="316" t="s">
        <v>4169</v>
      </c>
      <c r="L448" s="303" t="s">
        <v>49</v>
      </c>
      <c r="M448" s="303" t="s">
        <v>2623</v>
      </c>
      <c r="N448" s="303"/>
      <c r="O448" s="307"/>
      <c r="P448" s="308"/>
      <c r="Q448" s="305"/>
      <c r="R448" s="309"/>
      <c r="S448" s="8"/>
      <c r="T448" s="9"/>
      <c r="U448" s="9"/>
    </row>
    <row r="449" spans="1:21" hidden="1">
      <c r="A449" s="288">
        <f t="shared" si="6"/>
        <v>448</v>
      </c>
      <c r="B449" s="322">
        <v>46078</v>
      </c>
      <c r="C449" s="292" t="s">
        <v>4170</v>
      </c>
      <c r="D449" s="292" t="s">
        <v>1042</v>
      </c>
      <c r="E449" s="292" t="s">
        <v>22</v>
      </c>
      <c r="F449" s="292" t="s">
        <v>44</v>
      </c>
      <c r="G449" s="315" t="s">
        <v>45</v>
      </c>
      <c r="H449" s="294">
        <v>8433688886</v>
      </c>
      <c r="I449" s="315" t="s">
        <v>4171</v>
      </c>
      <c r="J449" s="294" t="s">
        <v>63</v>
      </c>
      <c r="K449" s="292" t="s">
        <v>4172</v>
      </c>
      <c r="L449" s="292" t="s">
        <v>49</v>
      </c>
      <c r="M449" s="292" t="s">
        <v>50</v>
      </c>
      <c r="N449" s="292"/>
      <c r="O449" s="296"/>
      <c r="P449" s="297"/>
      <c r="Q449" s="294"/>
      <c r="R449" s="298"/>
      <c r="S449" s="8"/>
      <c r="T449" s="9"/>
      <c r="U449" s="9"/>
    </row>
    <row r="450" spans="1:21" hidden="1">
      <c r="A450" s="299">
        <f t="shared" ref="A450:A513" si="7">ROW()-1</f>
        <v>449</v>
      </c>
      <c r="B450" s="323">
        <v>46080</v>
      </c>
      <c r="C450" s="303" t="s">
        <v>42</v>
      </c>
      <c r="D450" s="303" t="s">
        <v>4173</v>
      </c>
      <c r="E450" s="303" t="s">
        <v>22</v>
      </c>
      <c r="F450" s="303" t="s">
        <v>60</v>
      </c>
      <c r="G450" s="316" t="s">
        <v>180</v>
      </c>
      <c r="H450" s="305">
        <v>8767054324</v>
      </c>
      <c r="I450" s="316" t="s">
        <v>4174</v>
      </c>
      <c r="J450" s="305" t="s">
        <v>1113</v>
      </c>
      <c r="K450" s="303" t="s">
        <v>4175</v>
      </c>
      <c r="L450" s="303" t="s">
        <v>49</v>
      </c>
      <c r="M450" s="303" t="s">
        <v>40</v>
      </c>
      <c r="N450" s="303"/>
      <c r="O450" s="307"/>
      <c r="P450" s="308"/>
      <c r="Q450" s="305"/>
      <c r="R450" s="309"/>
      <c r="S450" s="8"/>
      <c r="T450" s="9"/>
      <c r="U450" s="9"/>
    </row>
    <row r="451" spans="1:21" hidden="1">
      <c r="A451" s="288">
        <f t="shared" si="7"/>
        <v>450</v>
      </c>
      <c r="B451" s="322">
        <v>46080</v>
      </c>
      <c r="C451" s="292" t="s">
        <v>4176</v>
      </c>
      <c r="D451" s="292" t="s">
        <v>3671</v>
      </c>
      <c r="E451" s="292" t="s">
        <v>82</v>
      </c>
      <c r="F451" s="292" t="s">
        <v>83</v>
      </c>
      <c r="G451" s="315" t="s">
        <v>363</v>
      </c>
      <c r="H451" s="294">
        <v>8428960431</v>
      </c>
      <c r="I451" s="315" t="s">
        <v>4177</v>
      </c>
      <c r="J451" s="294" t="s">
        <v>122</v>
      </c>
      <c r="K451" s="292" t="s">
        <v>3415</v>
      </c>
      <c r="L451" s="292" t="s">
        <v>49</v>
      </c>
      <c r="M451" s="292" t="s">
        <v>2623</v>
      </c>
      <c r="N451" s="292"/>
      <c r="O451" s="296"/>
      <c r="P451" s="297"/>
      <c r="Q451" s="294"/>
      <c r="R451" s="298"/>
      <c r="S451" s="8"/>
      <c r="T451" s="9"/>
      <c r="U451" s="9"/>
    </row>
    <row r="452" spans="1:21" hidden="1">
      <c r="A452" s="299">
        <f t="shared" si="7"/>
        <v>451</v>
      </c>
      <c r="B452" s="323">
        <v>46080</v>
      </c>
      <c r="C452" s="303" t="s">
        <v>42</v>
      </c>
      <c r="D452" s="303" t="s">
        <v>162</v>
      </c>
      <c r="E452" s="303" t="s">
        <v>162</v>
      </c>
      <c r="F452" s="303" t="s">
        <v>23</v>
      </c>
      <c r="G452" s="316" t="s">
        <v>4178</v>
      </c>
      <c r="H452" s="305">
        <v>9826020085</v>
      </c>
      <c r="I452" s="314"/>
      <c r="J452" s="305" t="s">
        <v>122</v>
      </c>
      <c r="K452" s="303" t="s">
        <v>4179</v>
      </c>
      <c r="L452" s="303" t="s">
        <v>58</v>
      </c>
      <c r="M452" s="303" t="s">
        <v>50</v>
      </c>
      <c r="N452" s="303"/>
      <c r="O452" s="307"/>
      <c r="P452" s="308"/>
      <c r="Q452" s="305"/>
      <c r="R452" s="309"/>
      <c r="S452" s="8"/>
      <c r="T452" s="9"/>
      <c r="U452" s="9"/>
    </row>
    <row r="453" spans="1:21" hidden="1">
      <c r="A453" s="288">
        <f t="shared" si="7"/>
        <v>452</v>
      </c>
      <c r="B453" s="322">
        <v>46080</v>
      </c>
      <c r="C453" s="292" t="s">
        <v>42</v>
      </c>
      <c r="D453" s="292" t="s">
        <v>1774</v>
      </c>
      <c r="E453" s="292" t="s">
        <v>22</v>
      </c>
      <c r="F453" s="292" t="s">
        <v>23</v>
      </c>
      <c r="G453" s="315" t="s">
        <v>4178</v>
      </c>
      <c r="H453" s="294">
        <v>9565558179</v>
      </c>
      <c r="I453" s="295"/>
      <c r="J453" s="294" t="s">
        <v>567</v>
      </c>
      <c r="K453" s="292"/>
      <c r="L453" s="292" t="s">
        <v>58</v>
      </c>
      <c r="M453" s="292" t="s">
        <v>50</v>
      </c>
      <c r="N453" s="292"/>
      <c r="O453" s="296"/>
      <c r="P453" s="297"/>
      <c r="Q453" s="294"/>
      <c r="R453" s="298"/>
      <c r="S453" s="8"/>
      <c r="T453" s="9"/>
      <c r="U453" s="9"/>
    </row>
    <row r="454" spans="1:21" hidden="1">
      <c r="A454" s="299">
        <f t="shared" si="7"/>
        <v>453</v>
      </c>
      <c r="B454" s="323">
        <v>46080</v>
      </c>
      <c r="C454" s="303" t="s">
        <v>4180</v>
      </c>
      <c r="D454" s="303" t="s">
        <v>4181</v>
      </c>
      <c r="E454" s="303" t="s">
        <v>22</v>
      </c>
      <c r="F454" s="303" t="s">
        <v>23</v>
      </c>
      <c r="G454" s="303" t="s">
        <v>23</v>
      </c>
      <c r="H454" s="305">
        <v>9325778198</v>
      </c>
      <c r="I454" s="303" t="s">
        <v>4182</v>
      </c>
      <c r="J454" s="305" t="s">
        <v>1113</v>
      </c>
      <c r="K454" s="303" t="s">
        <v>4183</v>
      </c>
      <c r="L454" s="303" t="s">
        <v>49</v>
      </c>
      <c r="M454" s="303" t="s">
        <v>2623</v>
      </c>
      <c r="N454" s="303"/>
      <c r="O454" s="307"/>
      <c r="P454" s="308"/>
      <c r="Q454" s="305"/>
      <c r="R454" s="309"/>
      <c r="S454" s="8"/>
      <c r="T454" s="9"/>
      <c r="U454" s="9"/>
    </row>
    <row r="455" spans="1:21" hidden="1">
      <c r="A455" s="288">
        <f t="shared" si="7"/>
        <v>454</v>
      </c>
      <c r="B455" s="322">
        <v>46080</v>
      </c>
      <c r="C455" s="292" t="s">
        <v>4184</v>
      </c>
      <c r="D455" s="292" t="s">
        <v>4185</v>
      </c>
      <c r="E455" s="292" t="s">
        <v>82</v>
      </c>
      <c r="F455" s="292" t="s">
        <v>60</v>
      </c>
      <c r="G455" s="315" t="s">
        <v>4186</v>
      </c>
      <c r="H455" s="294"/>
      <c r="I455" s="295"/>
      <c r="J455" s="294" t="s">
        <v>1698</v>
      </c>
      <c r="K455" s="292" t="s">
        <v>4187</v>
      </c>
      <c r="L455" s="292" t="s">
        <v>27</v>
      </c>
      <c r="M455" s="292" t="s">
        <v>40</v>
      </c>
      <c r="N455" s="292"/>
      <c r="O455" s="296"/>
      <c r="P455" s="297"/>
      <c r="Q455" s="294"/>
      <c r="R455" s="298"/>
      <c r="S455" s="8"/>
      <c r="T455" s="9"/>
      <c r="U455" s="9"/>
    </row>
    <row r="456" spans="1:21" ht="30" hidden="1">
      <c r="A456" s="299">
        <f t="shared" si="7"/>
        <v>455</v>
      </c>
      <c r="B456" s="323">
        <v>46080</v>
      </c>
      <c r="C456" s="303" t="s">
        <v>4149</v>
      </c>
      <c r="D456" s="303" t="s">
        <v>2212</v>
      </c>
      <c r="E456" s="303" t="s">
        <v>22</v>
      </c>
      <c r="F456" s="303" t="s">
        <v>60</v>
      </c>
      <c r="G456" s="316" t="s">
        <v>4188</v>
      </c>
      <c r="H456" s="305">
        <v>8390009933</v>
      </c>
      <c r="I456" s="371" t="s">
        <v>4189</v>
      </c>
      <c r="J456" s="305" t="s">
        <v>1698</v>
      </c>
      <c r="K456" s="303" t="s">
        <v>4190</v>
      </c>
      <c r="L456" s="303" t="s">
        <v>27</v>
      </c>
      <c r="M456" s="303" t="s">
        <v>40</v>
      </c>
      <c r="N456" s="314" t="s">
        <v>4191</v>
      </c>
      <c r="O456" s="307">
        <v>46080</v>
      </c>
      <c r="P456" s="313">
        <v>280988</v>
      </c>
      <c r="Q456" s="305" t="s">
        <v>292</v>
      </c>
      <c r="R456" s="309"/>
      <c r="S456" s="8"/>
      <c r="T456" s="9"/>
      <c r="U456" s="9"/>
    </row>
    <row r="457" spans="1:21" ht="30" hidden="1">
      <c r="A457" s="288">
        <f t="shared" si="7"/>
        <v>456</v>
      </c>
      <c r="B457" s="381">
        <v>46080</v>
      </c>
      <c r="C457" s="295" t="s">
        <v>4192</v>
      </c>
      <c r="D457" s="295" t="s">
        <v>1951</v>
      </c>
      <c r="E457" s="295" t="s">
        <v>22</v>
      </c>
      <c r="F457" s="295" t="s">
        <v>23</v>
      </c>
      <c r="G457" s="339" t="s">
        <v>4193</v>
      </c>
      <c r="H457" s="318" t="s">
        <v>1586</v>
      </c>
      <c r="I457" s="379" t="s">
        <v>3963</v>
      </c>
      <c r="J457" s="318" t="s">
        <v>1698</v>
      </c>
      <c r="K457" s="295" t="s">
        <v>4135</v>
      </c>
      <c r="L457" s="295" t="s">
        <v>27</v>
      </c>
      <c r="M457" s="295" t="s">
        <v>28</v>
      </c>
      <c r="N457" s="295" t="s">
        <v>4194</v>
      </c>
      <c r="O457" s="382">
        <v>46080</v>
      </c>
      <c r="P457" s="369">
        <v>450000</v>
      </c>
      <c r="Q457" s="318" t="s">
        <v>70</v>
      </c>
      <c r="R457" s="383"/>
      <c r="S457" s="8"/>
      <c r="T457" s="9"/>
      <c r="U457" s="9"/>
    </row>
    <row r="458" spans="1:21" hidden="1">
      <c r="A458" s="299">
        <f t="shared" si="7"/>
        <v>457</v>
      </c>
      <c r="B458" s="323">
        <v>46080</v>
      </c>
      <c r="C458" s="303" t="s">
        <v>4195</v>
      </c>
      <c r="D458" s="303" t="s">
        <v>1774</v>
      </c>
      <c r="E458" s="303" t="s">
        <v>22</v>
      </c>
      <c r="F458" s="303" t="s">
        <v>73</v>
      </c>
      <c r="G458" s="316" t="s">
        <v>4196</v>
      </c>
      <c r="H458" s="305">
        <v>9920435411</v>
      </c>
      <c r="I458" s="378" t="s">
        <v>4197</v>
      </c>
      <c r="J458" s="305" t="s">
        <v>1698</v>
      </c>
      <c r="K458" s="303" t="s">
        <v>4198</v>
      </c>
      <c r="L458" s="303" t="s">
        <v>27</v>
      </c>
      <c r="M458" s="303" t="s">
        <v>50</v>
      </c>
      <c r="N458" s="303" t="s">
        <v>4199</v>
      </c>
      <c r="O458" s="307">
        <v>46080</v>
      </c>
      <c r="P458" s="313">
        <v>49588069</v>
      </c>
      <c r="Q458" s="305" t="s">
        <v>70</v>
      </c>
      <c r="R458" s="309"/>
      <c r="S458" s="8"/>
      <c r="T458" s="9"/>
      <c r="U458" s="9"/>
    </row>
    <row r="459" spans="1:21" ht="15.75" hidden="1">
      <c r="A459" s="288">
        <f t="shared" si="7"/>
        <v>458</v>
      </c>
      <c r="B459" s="322">
        <v>46080</v>
      </c>
      <c r="C459" s="292" t="s">
        <v>3715</v>
      </c>
      <c r="D459" s="292" t="s">
        <v>410</v>
      </c>
      <c r="E459" s="292" t="s">
        <v>22</v>
      </c>
      <c r="F459" s="292" t="s">
        <v>60</v>
      </c>
      <c r="G459" s="315" t="s">
        <v>4200</v>
      </c>
      <c r="H459" s="294" t="s">
        <v>4201</v>
      </c>
      <c r="I459" s="379" t="s">
        <v>4202</v>
      </c>
      <c r="J459" s="294" t="s">
        <v>25</v>
      </c>
      <c r="K459" s="292" t="s">
        <v>4203</v>
      </c>
      <c r="L459" s="292" t="s">
        <v>27</v>
      </c>
      <c r="M459" s="292" t="s">
        <v>40</v>
      </c>
      <c r="N459" s="292" t="s">
        <v>4204</v>
      </c>
      <c r="O459" s="296">
        <v>46080</v>
      </c>
      <c r="P459" s="297">
        <v>840000</v>
      </c>
      <c r="Q459" s="294" t="s">
        <v>30</v>
      </c>
      <c r="R459" s="298"/>
      <c r="S459" s="8"/>
      <c r="T459" s="9"/>
      <c r="U459" s="9"/>
    </row>
    <row r="460" spans="1:21" ht="30" hidden="1">
      <c r="A460" s="299">
        <f t="shared" si="7"/>
        <v>459</v>
      </c>
      <c r="B460" s="360">
        <v>46081</v>
      </c>
      <c r="C460" s="303" t="s">
        <v>895</v>
      </c>
      <c r="D460" s="314" t="s">
        <v>21</v>
      </c>
      <c r="E460" s="314" t="s">
        <v>22</v>
      </c>
      <c r="F460" s="314" t="s">
        <v>60</v>
      </c>
      <c r="G460" s="303" t="s">
        <v>4205</v>
      </c>
      <c r="H460" s="346"/>
      <c r="I460" s="378" t="s">
        <v>4206</v>
      </c>
      <c r="J460" s="346" t="s">
        <v>1698</v>
      </c>
      <c r="K460" s="303" t="s">
        <v>4207</v>
      </c>
      <c r="L460" s="314" t="s">
        <v>27</v>
      </c>
      <c r="M460" s="314" t="s">
        <v>40</v>
      </c>
      <c r="N460" s="303" t="s">
        <v>4208</v>
      </c>
      <c r="O460" s="307">
        <v>46081</v>
      </c>
      <c r="P460" s="313">
        <v>838032</v>
      </c>
      <c r="Q460" s="305" t="s">
        <v>292</v>
      </c>
      <c r="R460" s="309"/>
      <c r="S460" s="8"/>
      <c r="T460" s="9"/>
      <c r="U460" s="9"/>
    </row>
    <row r="461" spans="1:21" hidden="1">
      <c r="A461" s="288">
        <f t="shared" si="7"/>
        <v>460</v>
      </c>
      <c r="B461" s="381">
        <v>46081</v>
      </c>
      <c r="C461" s="295" t="s">
        <v>4209</v>
      </c>
      <c r="D461" s="295" t="s">
        <v>4210</v>
      </c>
      <c r="E461" s="295" t="s">
        <v>22</v>
      </c>
      <c r="F461" s="295" t="s">
        <v>60</v>
      </c>
      <c r="G461" s="362" t="s">
        <v>4211</v>
      </c>
      <c r="H461" s="294">
        <v>7722050915</v>
      </c>
      <c r="I461" s="379" t="s">
        <v>4212</v>
      </c>
      <c r="J461" s="294" t="s">
        <v>25</v>
      </c>
      <c r="K461" s="292" t="s">
        <v>4213</v>
      </c>
      <c r="L461" s="295" t="s">
        <v>27</v>
      </c>
      <c r="M461" s="295" t="s">
        <v>40</v>
      </c>
      <c r="N461" s="295" t="s">
        <v>4214</v>
      </c>
      <c r="O461" s="382">
        <v>46081</v>
      </c>
      <c r="P461" s="384"/>
      <c r="Q461" s="318" t="s">
        <v>30</v>
      </c>
      <c r="R461" s="383"/>
      <c r="S461" s="8"/>
      <c r="T461" s="9"/>
      <c r="U461" s="9"/>
    </row>
    <row r="462" spans="1:21" hidden="1">
      <c r="A462" s="299">
        <f t="shared" si="7"/>
        <v>461</v>
      </c>
      <c r="B462" s="323">
        <v>46081</v>
      </c>
      <c r="C462" s="303" t="s">
        <v>4192</v>
      </c>
      <c r="D462" s="303" t="s">
        <v>1951</v>
      </c>
      <c r="E462" s="303" t="s">
        <v>22</v>
      </c>
      <c r="F462" s="303" t="s">
        <v>32</v>
      </c>
      <c r="G462" s="303"/>
      <c r="H462" s="305" t="s">
        <v>1586</v>
      </c>
      <c r="I462" s="378" t="s">
        <v>4215</v>
      </c>
      <c r="J462" s="305" t="s">
        <v>1698</v>
      </c>
      <c r="K462" s="303" t="s">
        <v>4216</v>
      </c>
      <c r="L462" s="303" t="s">
        <v>27</v>
      </c>
      <c r="M462" s="303" t="s">
        <v>40</v>
      </c>
      <c r="N462" s="303"/>
      <c r="O462" s="307"/>
      <c r="P462" s="308" t="s">
        <v>4217</v>
      </c>
      <c r="Q462" s="305" t="s">
        <v>70</v>
      </c>
      <c r="R462" s="309"/>
      <c r="S462" s="8"/>
      <c r="T462" s="9"/>
      <c r="U462" s="9"/>
    </row>
    <row r="463" spans="1:21" hidden="1">
      <c r="A463" s="288">
        <f t="shared" si="7"/>
        <v>462</v>
      </c>
      <c r="B463" s="322">
        <v>46081</v>
      </c>
      <c r="C463" s="292" t="s">
        <v>4218</v>
      </c>
      <c r="D463" s="292" t="s">
        <v>60</v>
      </c>
      <c r="E463" s="292" t="s">
        <v>82</v>
      </c>
      <c r="F463" s="292" t="s">
        <v>60</v>
      </c>
      <c r="G463" s="292" t="s">
        <v>4219</v>
      </c>
      <c r="H463" s="294">
        <v>7010086437</v>
      </c>
      <c r="I463" s="292" t="s">
        <v>4220</v>
      </c>
      <c r="J463" s="294" t="s">
        <v>63</v>
      </c>
      <c r="K463" s="315" t="s">
        <v>4221</v>
      </c>
      <c r="L463" s="292" t="s">
        <v>49</v>
      </c>
      <c r="M463" s="292" t="s">
        <v>50</v>
      </c>
      <c r="N463" s="292"/>
      <c r="O463" s="296"/>
      <c r="P463" s="297"/>
      <c r="Q463" s="294"/>
      <c r="R463" s="298"/>
      <c r="S463" s="8"/>
      <c r="T463" s="9"/>
      <c r="U463" s="9"/>
    </row>
    <row r="464" spans="1:21" hidden="1">
      <c r="A464" s="299">
        <f t="shared" si="7"/>
        <v>463</v>
      </c>
      <c r="B464" s="323">
        <v>46081</v>
      </c>
      <c r="C464" s="303" t="s">
        <v>4222</v>
      </c>
      <c r="D464" s="303" t="s">
        <v>4223</v>
      </c>
      <c r="E464" s="303" t="s">
        <v>82</v>
      </c>
      <c r="F464" s="303" t="s">
        <v>73</v>
      </c>
      <c r="G464" s="303" t="s">
        <v>3493</v>
      </c>
      <c r="H464" s="305">
        <v>7708500105</v>
      </c>
      <c r="I464" s="303" t="s">
        <v>4224</v>
      </c>
      <c r="J464" s="305" t="s">
        <v>63</v>
      </c>
      <c r="K464" s="316" t="s">
        <v>4225</v>
      </c>
      <c r="L464" s="303" t="s">
        <v>49</v>
      </c>
      <c r="M464" s="303" t="s">
        <v>50</v>
      </c>
      <c r="N464" s="303"/>
      <c r="O464" s="307"/>
      <c r="P464" s="308"/>
      <c r="Q464" s="305"/>
      <c r="R464" s="309"/>
      <c r="S464" s="8"/>
      <c r="T464" s="9"/>
      <c r="U464" s="9"/>
    </row>
    <row r="465" spans="1:21" hidden="1">
      <c r="A465" s="288">
        <f t="shared" si="7"/>
        <v>464</v>
      </c>
      <c r="B465" s="381">
        <v>46081</v>
      </c>
      <c r="C465" s="292" t="s">
        <v>4226</v>
      </c>
      <c r="D465" s="292" t="s">
        <v>4227</v>
      </c>
      <c r="E465" s="292" t="s">
        <v>22</v>
      </c>
      <c r="F465" s="292" t="s">
        <v>53</v>
      </c>
      <c r="G465" s="292" t="s">
        <v>2064</v>
      </c>
      <c r="H465" s="294">
        <v>9011453773</v>
      </c>
      <c r="I465" s="292" t="s">
        <v>4228</v>
      </c>
      <c r="J465" s="294" t="s">
        <v>567</v>
      </c>
      <c r="K465" s="292" t="s">
        <v>4229</v>
      </c>
      <c r="L465" s="292" t="s">
        <v>49</v>
      </c>
      <c r="M465" s="292" t="s">
        <v>2623</v>
      </c>
      <c r="N465" s="292"/>
      <c r="O465" s="296"/>
      <c r="P465" s="297"/>
      <c r="Q465" s="294"/>
      <c r="R465" s="298"/>
      <c r="S465" s="8"/>
      <c r="T465" s="9"/>
      <c r="U465" s="9"/>
    </row>
    <row r="466" spans="1:21" hidden="1">
      <c r="A466" s="299">
        <f t="shared" si="7"/>
        <v>465</v>
      </c>
      <c r="B466" s="323">
        <v>46082</v>
      </c>
      <c r="C466" s="303" t="s">
        <v>4230</v>
      </c>
      <c r="D466" s="303" t="s">
        <v>31</v>
      </c>
      <c r="E466" s="303" t="s">
        <v>22</v>
      </c>
      <c r="F466" s="303" t="s">
        <v>53</v>
      </c>
      <c r="G466" s="316" t="s">
        <v>1650</v>
      </c>
      <c r="H466" s="316">
        <v>9657099011</v>
      </c>
      <c r="I466" s="316" t="s">
        <v>4231</v>
      </c>
      <c r="J466" s="305" t="s">
        <v>25</v>
      </c>
      <c r="K466" s="303" t="s">
        <v>4232</v>
      </c>
      <c r="L466" s="303" t="s">
        <v>27</v>
      </c>
      <c r="M466" s="303" t="s">
        <v>2623</v>
      </c>
      <c r="N466" s="303" t="s">
        <v>4233</v>
      </c>
      <c r="O466" s="307">
        <v>46082</v>
      </c>
      <c r="P466" s="308" t="s">
        <v>4234</v>
      </c>
      <c r="Q466" s="305" t="s">
        <v>30</v>
      </c>
      <c r="R466" s="309"/>
      <c r="S466" s="8"/>
      <c r="T466" s="9"/>
      <c r="U466" s="9"/>
    </row>
    <row r="467" spans="1:21" hidden="1">
      <c r="A467" s="288">
        <f t="shared" si="7"/>
        <v>466</v>
      </c>
      <c r="B467" s="322">
        <v>46082</v>
      </c>
      <c r="C467" s="292" t="s">
        <v>4235</v>
      </c>
      <c r="D467" s="292" t="s">
        <v>2146</v>
      </c>
      <c r="E467" s="292" t="s">
        <v>22</v>
      </c>
      <c r="F467" s="292" t="s">
        <v>53</v>
      </c>
      <c r="G467" s="315" t="s">
        <v>4236</v>
      </c>
      <c r="H467" s="315"/>
      <c r="I467" s="315" t="s">
        <v>4237</v>
      </c>
      <c r="J467" s="294" t="s">
        <v>1698</v>
      </c>
      <c r="K467" s="292"/>
      <c r="L467" s="292" t="s">
        <v>117</v>
      </c>
      <c r="M467" s="292" t="s">
        <v>50</v>
      </c>
      <c r="N467" s="292" t="s">
        <v>4238</v>
      </c>
      <c r="O467" s="296">
        <v>46082</v>
      </c>
      <c r="P467" s="319">
        <v>2283507.04</v>
      </c>
      <c r="Q467" s="294" t="s">
        <v>70</v>
      </c>
      <c r="R467" s="298"/>
      <c r="S467" s="8"/>
      <c r="T467" s="9"/>
      <c r="U467" s="9"/>
    </row>
    <row r="468" spans="1:21" hidden="1">
      <c r="A468" s="299">
        <f t="shared" si="7"/>
        <v>467</v>
      </c>
      <c r="B468" s="323">
        <v>46082</v>
      </c>
      <c r="C468" s="303" t="s">
        <v>1970</v>
      </c>
      <c r="D468" s="303" t="s">
        <v>3831</v>
      </c>
      <c r="E468" s="303" t="s">
        <v>22</v>
      </c>
      <c r="F468" s="303" t="s">
        <v>23</v>
      </c>
      <c r="G468" s="316" t="s">
        <v>4239</v>
      </c>
      <c r="H468" s="316"/>
      <c r="I468" s="316" t="s">
        <v>4240</v>
      </c>
      <c r="J468" s="305" t="s">
        <v>1698</v>
      </c>
      <c r="K468" s="303" t="s">
        <v>4241</v>
      </c>
      <c r="L468" s="303" t="s">
        <v>74</v>
      </c>
      <c r="M468" s="303" t="s">
        <v>2623</v>
      </c>
      <c r="N468" s="303" t="s">
        <v>4242</v>
      </c>
      <c r="O468" s="307">
        <v>46082</v>
      </c>
      <c r="P468" s="313">
        <v>1400000</v>
      </c>
      <c r="Q468" s="305" t="s">
        <v>70</v>
      </c>
      <c r="R468" s="309"/>
      <c r="S468" s="8"/>
      <c r="T468" s="9"/>
      <c r="U468" s="9"/>
    </row>
    <row r="469" spans="1:21" hidden="1">
      <c r="A469" s="288">
        <f t="shared" si="7"/>
        <v>468</v>
      </c>
      <c r="B469" s="322">
        <v>46082</v>
      </c>
      <c r="C469" s="292" t="s">
        <v>2828</v>
      </c>
      <c r="D469" s="292" t="s">
        <v>3349</v>
      </c>
      <c r="E469" s="292" t="s">
        <v>214</v>
      </c>
      <c r="F469" s="292" t="s">
        <v>44</v>
      </c>
      <c r="G469" s="315" t="s">
        <v>4243</v>
      </c>
      <c r="H469" s="315"/>
      <c r="I469" s="315" t="s">
        <v>4244</v>
      </c>
      <c r="J469" s="294" t="s">
        <v>1698</v>
      </c>
      <c r="K469" s="292" t="s">
        <v>4245</v>
      </c>
      <c r="L469" s="292" t="s">
        <v>74</v>
      </c>
      <c r="M469" s="292" t="s">
        <v>2623</v>
      </c>
      <c r="N469" s="292"/>
      <c r="O469" s="296">
        <v>46082</v>
      </c>
      <c r="P469" s="297"/>
      <c r="Q469" s="294" t="s">
        <v>70</v>
      </c>
      <c r="R469" s="298"/>
      <c r="S469" s="8"/>
      <c r="T469" s="9"/>
      <c r="U469" s="9"/>
    </row>
    <row r="470" spans="1:21" hidden="1">
      <c r="A470" s="299">
        <f t="shared" si="7"/>
        <v>469</v>
      </c>
      <c r="B470" s="323">
        <v>46082</v>
      </c>
      <c r="C470" s="303" t="s">
        <v>4246</v>
      </c>
      <c r="D470" s="303" t="s">
        <v>131</v>
      </c>
      <c r="E470" s="303" t="s">
        <v>22</v>
      </c>
      <c r="F470" s="303" t="s">
        <v>73</v>
      </c>
      <c r="G470" s="316" t="s">
        <v>4247</v>
      </c>
      <c r="H470" s="316">
        <v>9962317389</v>
      </c>
      <c r="I470" s="316" t="s">
        <v>4248</v>
      </c>
      <c r="J470" s="305" t="s">
        <v>1698</v>
      </c>
      <c r="K470" s="303" t="s">
        <v>4249</v>
      </c>
      <c r="L470" s="303" t="s">
        <v>74</v>
      </c>
      <c r="M470" s="303" t="s">
        <v>28</v>
      </c>
      <c r="N470" s="303"/>
      <c r="O470" s="307">
        <v>46082</v>
      </c>
      <c r="P470" s="308"/>
      <c r="Q470" s="305" t="s">
        <v>292</v>
      </c>
      <c r="R470" s="309"/>
      <c r="S470" s="8"/>
      <c r="T470" s="9"/>
      <c r="U470" s="9"/>
    </row>
    <row r="471" spans="1:21" hidden="1">
      <c r="A471" s="288">
        <f t="shared" si="7"/>
        <v>470</v>
      </c>
      <c r="B471" s="322">
        <v>46083</v>
      </c>
      <c r="C471" s="292" t="s">
        <v>4250</v>
      </c>
      <c r="D471" s="292" t="s">
        <v>2146</v>
      </c>
      <c r="E471" s="292" t="s">
        <v>22</v>
      </c>
      <c r="F471" s="292" t="s">
        <v>32</v>
      </c>
      <c r="G471" s="315" t="s">
        <v>4251</v>
      </c>
      <c r="H471" s="315">
        <v>9763314647</v>
      </c>
      <c r="I471" s="315" t="s">
        <v>4252</v>
      </c>
      <c r="J471" s="294" t="s">
        <v>25</v>
      </c>
      <c r="K471" s="292" t="s">
        <v>4253</v>
      </c>
      <c r="L471" s="292" t="s">
        <v>74</v>
      </c>
      <c r="M471" s="292" t="s">
        <v>50</v>
      </c>
      <c r="N471" s="292"/>
      <c r="O471" s="296">
        <v>46083</v>
      </c>
      <c r="P471" s="297"/>
      <c r="Q471" s="294" t="s">
        <v>30</v>
      </c>
      <c r="R471" s="298"/>
      <c r="S471" s="8"/>
      <c r="T471" s="9"/>
      <c r="U471" s="9"/>
    </row>
    <row r="472" spans="1:21" hidden="1">
      <c r="A472" s="299">
        <f t="shared" si="7"/>
        <v>471</v>
      </c>
      <c r="B472" s="323">
        <v>46083</v>
      </c>
      <c r="C472" s="303" t="s">
        <v>4254</v>
      </c>
      <c r="D472" s="303" t="s">
        <v>4255</v>
      </c>
      <c r="E472" s="303"/>
      <c r="F472" s="303" t="s">
        <v>60</v>
      </c>
      <c r="G472" s="303" t="s">
        <v>3498</v>
      </c>
      <c r="H472" s="305">
        <v>9997204127</v>
      </c>
      <c r="I472" s="303" t="s">
        <v>4256</v>
      </c>
      <c r="J472" s="305" t="s">
        <v>63</v>
      </c>
      <c r="K472" s="303" t="s">
        <v>4257</v>
      </c>
      <c r="L472" s="303" t="s">
        <v>49</v>
      </c>
      <c r="M472" s="303" t="s">
        <v>40</v>
      </c>
      <c r="N472" s="303"/>
      <c r="O472" s="307"/>
      <c r="P472" s="308"/>
      <c r="Q472" s="305"/>
      <c r="R472" s="309"/>
      <c r="S472" s="8"/>
      <c r="T472" s="9"/>
      <c r="U472" s="9"/>
    </row>
    <row r="473" spans="1:21" hidden="1">
      <c r="A473" s="288">
        <f t="shared" si="7"/>
        <v>472</v>
      </c>
      <c r="B473" s="322">
        <v>46083</v>
      </c>
      <c r="C473" s="292"/>
      <c r="D473" s="292" t="s">
        <v>4258</v>
      </c>
      <c r="E473" s="292" t="s">
        <v>1421</v>
      </c>
      <c r="F473" s="292" t="s">
        <v>53</v>
      </c>
      <c r="G473" s="292" t="s">
        <v>1565</v>
      </c>
      <c r="H473" s="294">
        <v>9853759672</v>
      </c>
      <c r="I473" s="292" t="s">
        <v>4259</v>
      </c>
      <c r="J473" s="294" t="s">
        <v>1113</v>
      </c>
      <c r="K473" s="292" t="s">
        <v>4260</v>
      </c>
      <c r="L473" s="292" t="s">
        <v>49</v>
      </c>
      <c r="M473" s="292" t="s">
        <v>50</v>
      </c>
      <c r="N473" s="292"/>
      <c r="O473" s="296"/>
      <c r="P473" s="297"/>
      <c r="Q473" s="294"/>
      <c r="R473" s="298"/>
      <c r="S473" s="8"/>
      <c r="T473" s="9"/>
      <c r="U473" s="9"/>
    </row>
    <row r="474" spans="1:21" hidden="1">
      <c r="A474" s="299">
        <f t="shared" si="7"/>
        <v>473</v>
      </c>
      <c r="B474" s="323">
        <v>46084</v>
      </c>
      <c r="C474" s="323" t="s">
        <v>4261</v>
      </c>
      <c r="D474" s="323" t="s">
        <v>4262</v>
      </c>
      <c r="E474" s="323"/>
      <c r="F474" s="323" t="s">
        <v>23</v>
      </c>
      <c r="G474" s="323" t="s">
        <v>1330</v>
      </c>
      <c r="H474" s="305">
        <v>9970186627</v>
      </c>
      <c r="I474" s="303" t="s">
        <v>4263</v>
      </c>
      <c r="J474" s="385" t="s">
        <v>56</v>
      </c>
      <c r="K474" s="303" t="s">
        <v>4264</v>
      </c>
      <c r="L474" s="323" t="s">
        <v>49</v>
      </c>
      <c r="M474" s="323" t="s">
        <v>50</v>
      </c>
      <c r="N474" s="323"/>
      <c r="O474" s="323"/>
      <c r="P474" s="323"/>
      <c r="Q474" s="305"/>
      <c r="R474" s="386"/>
      <c r="S474" s="18"/>
      <c r="T474" s="19"/>
      <c r="U474" s="9"/>
    </row>
    <row r="475" spans="1:21" hidden="1">
      <c r="A475" s="288">
        <f t="shared" si="7"/>
        <v>474</v>
      </c>
      <c r="B475" s="322">
        <v>46084</v>
      </c>
      <c r="C475" s="366" t="s">
        <v>4265</v>
      </c>
      <c r="D475" s="366" t="s">
        <v>1951</v>
      </c>
      <c r="E475" s="292" t="s">
        <v>22</v>
      </c>
      <c r="F475" s="292" t="s">
        <v>60</v>
      </c>
      <c r="G475" s="322" t="s">
        <v>135</v>
      </c>
      <c r="H475" s="294">
        <v>8624992294</v>
      </c>
      <c r="I475" s="315" t="s">
        <v>4266</v>
      </c>
      <c r="J475" s="294" t="s">
        <v>56</v>
      </c>
      <c r="K475" s="294" t="s">
        <v>4267</v>
      </c>
      <c r="L475" s="366" t="s">
        <v>49</v>
      </c>
      <c r="M475" s="366" t="s">
        <v>40</v>
      </c>
      <c r="N475" s="322"/>
      <c r="O475" s="296"/>
      <c r="P475" s="387"/>
      <c r="Q475" s="294"/>
      <c r="R475" s="388"/>
      <c r="S475" s="20"/>
      <c r="T475" s="21"/>
      <c r="U475" s="9"/>
    </row>
    <row r="476" spans="1:21" hidden="1">
      <c r="A476" s="299">
        <f t="shared" si="7"/>
        <v>475</v>
      </c>
      <c r="B476" s="323">
        <v>46084</v>
      </c>
      <c r="C476" s="364"/>
      <c r="D476" s="364" t="s">
        <v>2762</v>
      </c>
      <c r="E476" s="364" t="s">
        <v>22</v>
      </c>
      <c r="F476" s="364" t="s">
        <v>44</v>
      </c>
      <c r="G476" s="323" t="s">
        <v>4268</v>
      </c>
      <c r="H476" s="305">
        <v>9834682815</v>
      </c>
      <c r="I476" s="316"/>
      <c r="J476" s="385" t="s">
        <v>1438</v>
      </c>
      <c r="K476" s="303" t="s">
        <v>4269</v>
      </c>
      <c r="L476" s="364" t="s">
        <v>49</v>
      </c>
      <c r="M476" s="364" t="s">
        <v>50</v>
      </c>
      <c r="N476" s="323"/>
      <c r="O476" s="307"/>
      <c r="P476" s="389"/>
      <c r="Q476" s="305"/>
      <c r="R476" s="386"/>
      <c r="S476" s="20"/>
      <c r="T476" s="21"/>
      <c r="U476" s="9"/>
    </row>
    <row r="477" spans="1:21" hidden="1">
      <c r="A477" s="288">
        <f t="shared" si="7"/>
        <v>476</v>
      </c>
      <c r="B477" s="322">
        <v>46085</v>
      </c>
      <c r="C477" s="292" t="s">
        <v>4270</v>
      </c>
      <c r="D477" s="292" t="s">
        <v>4271</v>
      </c>
      <c r="E477" s="292" t="s">
        <v>22</v>
      </c>
      <c r="F477" s="292" t="s">
        <v>60</v>
      </c>
      <c r="G477" s="292" t="s">
        <v>244</v>
      </c>
      <c r="H477" s="315">
        <v>9823821678</v>
      </c>
      <c r="I477" s="315"/>
      <c r="J477" s="294" t="s">
        <v>1698</v>
      </c>
      <c r="K477" s="292" t="s">
        <v>4272</v>
      </c>
      <c r="L477" s="292" t="s">
        <v>49</v>
      </c>
      <c r="M477" s="292" t="s">
        <v>40</v>
      </c>
      <c r="N477" s="292"/>
      <c r="O477" s="296"/>
      <c r="P477" s="297"/>
      <c r="Q477" s="294"/>
      <c r="R477" s="298"/>
      <c r="S477" s="8"/>
      <c r="T477" s="9"/>
      <c r="U477" s="9"/>
    </row>
    <row r="478" spans="1:21" hidden="1">
      <c r="A478" s="299">
        <f t="shared" si="7"/>
        <v>477</v>
      </c>
      <c r="B478" s="323">
        <v>46085</v>
      </c>
      <c r="C478" s="303" t="s">
        <v>4273</v>
      </c>
      <c r="D478" s="303" t="s">
        <v>4274</v>
      </c>
      <c r="E478" s="303" t="s">
        <v>126</v>
      </c>
      <c r="F478" s="303" t="s">
        <v>60</v>
      </c>
      <c r="G478" s="303" t="s">
        <v>3331</v>
      </c>
      <c r="H478" s="305">
        <v>9211071117</v>
      </c>
      <c r="I478" s="303" t="s">
        <v>4275</v>
      </c>
      <c r="J478" s="305" t="s">
        <v>63</v>
      </c>
      <c r="K478" s="303" t="s">
        <v>4276</v>
      </c>
      <c r="L478" s="303" t="s">
        <v>49</v>
      </c>
      <c r="M478" s="303" t="s">
        <v>40</v>
      </c>
      <c r="N478" s="303"/>
      <c r="O478" s="307"/>
      <c r="P478" s="308"/>
      <c r="Q478" s="305"/>
      <c r="R478" s="309"/>
      <c r="S478" s="8"/>
      <c r="T478" s="9"/>
      <c r="U478" s="9"/>
    </row>
    <row r="479" spans="1:21" hidden="1">
      <c r="A479" s="288">
        <f t="shared" si="7"/>
        <v>478</v>
      </c>
      <c r="B479" s="322">
        <v>46085</v>
      </c>
      <c r="C479" s="292" t="s">
        <v>4277</v>
      </c>
      <c r="D479" s="292" t="s">
        <v>4278</v>
      </c>
      <c r="E479" s="292"/>
      <c r="F479" s="292" t="s">
        <v>60</v>
      </c>
      <c r="G479" s="292" t="s">
        <v>244</v>
      </c>
      <c r="H479" s="294">
        <v>9312250839</v>
      </c>
      <c r="I479" s="315" t="s">
        <v>4279</v>
      </c>
      <c r="J479" s="294" t="s">
        <v>122</v>
      </c>
      <c r="K479" s="315" t="s">
        <v>4280</v>
      </c>
      <c r="L479" s="292" t="s">
        <v>49</v>
      </c>
      <c r="M479" s="292" t="s">
        <v>40</v>
      </c>
      <c r="N479" s="292"/>
      <c r="O479" s="296"/>
      <c r="P479" s="297"/>
      <c r="Q479" s="294"/>
      <c r="R479" s="298"/>
      <c r="S479" s="8"/>
      <c r="T479" s="9"/>
      <c r="U479" s="9"/>
    </row>
    <row r="480" spans="1:21" hidden="1">
      <c r="A480" s="299">
        <f t="shared" si="7"/>
        <v>479</v>
      </c>
      <c r="B480" s="323">
        <v>46085</v>
      </c>
      <c r="C480" s="303"/>
      <c r="D480" s="303" t="s">
        <v>1042</v>
      </c>
      <c r="E480" s="303" t="s">
        <v>22</v>
      </c>
      <c r="F480" s="303" t="s">
        <v>23</v>
      </c>
      <c r="G480" s="303" t="s">
        <v>4281</v>
      </c>
      <c r="H480" s="305">
        <v>8149459139</v>
      </c>
      <c r="I480" s="316"/>
      <c r="J480" s="305" t="s">
        <v>122</v>
      </c>
      <c r="K480" s="303" t="s">
        <v>4282</v>
      </c>
      <c r="L480" s="303" t="s">
        <v>49</v>
      </c>
      <c r="M480" s="303" t="s">
        <v>2623</v>
      </c>
      <c r="N480" s="303"/>
      <c r="O480" s="307"/>
      <c r="P480" s="308"/>
      <c r="Q480" s="305"/>
      <c r="R480" s="309"/>
      <c r="S480" s="8"/>
      <c r="T480" s="9"/>
      <c r="U480" s="9"/>
    </row>
    <row r="481" spans="1:21" hidden="1">
      <c r="A481" s="288">
        <f t="shared" si="7"/>
        <v>480</v>
      </c>
      <c r="B481" s="322">
        <v>46085</v>
      </c>
      <c r="C481" s="292" t="s">
        <v>4283</v>
      </c>
      <c r="D481" s="292" t="s">
        <v>21</v>
      </c>
      <c r="E481" s="292" t="s">
        <v>22</v>
      </c>
      <c r="F481" s="292" t="s">
        <v>83</v>
      </c>
      <c r="G481" s="292" t="s">
        <v>4284</v>
      </c>
      <c r="H481" s="315"/>
      <c r="I481" s="315" t="s">
        <v>85</v>
      </c>
      <c r="J481" s="294" t="s">
        <v>1698</v>
      </c>
      <c r="K481" s="292" t="s">
        <v>87</v>
      </c>
      <c r="L481" s="292" t="s">
        <v>27</v>
      </c>
      <c r="M481" s="292" t="s">
        <v>28</v>
      </c>
      <c r="N481" s="292" t="s">
        <v>4285</v>
      </c>
      <c r="O481" s="296">
        <v>46085</v>
      </c>
      <c r="P481" s="319">
        <v>1290000</v>
      </c>
      <c r="Q481" s="294" t="s">
        <v>292</v>
      </c>
      <c r="R481" s="298"/>
      <c r="S481" s="8"/>
      <c r="T481" s="9"/>
      <c r="U481" s="9"/>
    </row>
    <row r="482" spans="1:21" hidden="1">
      <c r="A482" s="299">
        <f t="shared" si="7"/>
        <v>481</v>
      </c>
      <c r="B482" s="323">
        <v>46086</v>
      </c>
      <c r="C482" s="303" t="s">
        <v>4286</v>
      </c>
      <c r="D482" s="303" t="s">
        <v>4287</v>
      </c>
      <c r="E482" s="303" t="s">
        <v>1421</v>
      </c>
      <c r="F482" s="303" t="s">
        <v>73</v>
      </c>
      <c r="G482" s="316" t="s">
        <v>1190</v>
      </c>
      <c r="H482" s="305">
        <v>8598906665</v>
      </c>
      <c r="I482" s="316"/>
      <c r="J482" s="305" t="s">
        <v>122</v>
      </c>
      <c r="K482" s="303" t="s">
        <v>4288</v>
      </c>
      <c r="L482" s="303" t="s">
        <v>49</v>
      </c>
      <c r="M482" s="303" t="s">
        <v>50</v>
      </c>
      <c r="N482" s="303"/>
      <c r="O482" s="307"/>
      <c r="P482" s="308"/>
      <c r="Q482" s="305"/>
      <c r="R482" s="309"/>
      <c r="S482" s="8"/>
      <c r="T482" s="9"/>
      <c r="U482" s="9"/>
    </row>
    <row r="483" spans="1:21" hidden="1">
      <c r="A483" s="288">
        <f t="shared" si="7"/>
        <v>482</v>
      </c>
      <c r="B483" s="322">
        <v>46087</v>
      </c>
      <c r="C483" s="292" t="s">
        <v>4289</v>
      </c>
      <c r="D483" s="292" t="s">
        <v>4290</v>
      </c>
      <c r="E483" s="292" t="s">
        <v>214</v>
      </c>
      <c r="F483" s="292" t="s">
        <v>73</v>
      </c>
      <c r="G483" s="315" t="s">
        <v>273</v>
      </c>
      <c r="H483" s="294">
        <v>9550216129</v>
      </c>
      <c r="I483" s="315" t="s">
        <v>4291</v>
      </c>
      <c r="J483" s="294" t="s">
        <v>122</v>
      </c>
      <c r="K483" s="292" t="s">
        <v>4292</v>
      </c>
      <c r="L483" s="292" t="s">
        <v>49</v>
      </c>
      <c r="M483" s="292" t="s">
        <v>50</v>
      </c>
      <c r="N483" s="292"/>
      <c r="O483" s="296"/>
      <c r="P483" s="297"/>
      <c r="Q483" s="294"/>
      <c r="R483" s="298"/>
      <c r="S483" s="8"/>
      <c r="T483" s="9"/>
      <c r="U483" s="9"/>
    </row>
    <row r="484" spans="1:21" hidden="1">
      <c r="A484" s="299">
        <f t="shared" si="7"/>
        <v>483</v>
      </c>
      <c r="B484" s="323">
        <v>46087</v>
      </c>
      <c r="C484" s="303" t="s">
        <v>1137</v>
      </c>
      <c r="D484" s="303" t="s">
        <v>4293</v>
      </c>
      <c r="E484" s="303" t="s">
        <v>22</v>
      </c>
      <c r="F484" s="323" t="s">
        <v>23</v>
      </c>
      <c r="G484" s="316" t="s">
        <v>1487</v>
      </c>
      <c r="H484" s="316">
        <v>9970002507</v>
      </c>
      <c r="I484" s="316" t="s">
        <v>4294</v>
      </c>
      <c r="J484" s="305" t="s">
        <v>1698</v>
      </c>
      <c r="K484" s="303" t="s">
        <v>4295</v>
      </c>
      <c r="L484" s="303" t="s">
        <v>49</v>
      </c>
      <c r="M484" s="303" t="s">
        <v>2623</v>
      </c>
      <c r="N484" s="303"/>
      <c r="O484" s="307"/>
      <c r="P484" s="308"/>
      <c r="Q484" s="305"/>
      <c r="R484" s="309"/>
      <c r="S484" s="8"/>
      <c r="T484" s="9"/>
      <c r="U484" s="9"/>
    </row>
    <row r="485" spans="1:21" hidden="1">
      <c r="A485" s="288">
        <f t="shared" si="7"/>
        <v>484</v>
      </c>
      <c r="B485" s="322">
        <v>46087</v>
      </c>
      <c r="C485" s="292"/>
      <c r="D485" s="292" t="s">
        <v>2762</v>
      </c>
      <c r="E485" s="292" t="s">
        <v>22</v>
      </c>
      <c r="F485" s="292" t="s">
        <v>83</v>
      </c>
      <c r="G485" s="315" t="s">
        <v>559</v>
      </c>
      <c r="H485" s="294">
        <v>7385752675</v>
      </c>
      <c r="I485" s="315" t="s">
        <v>4296</v>
      </c>
      <c r="J485" s="294" t="s">
        <v>122</v>
      </c>
      <c r="K485" s="292" t="s">
        <v>4297</v>
      </c>
      <c r="L485" s="292" t="s">
        <v>49</v>
      </c>
      <c r="M485" s="292" t="s">
        <v>2623</v>
      </c>
      <c r="N485" s="292"/>
      <c r="O485" s="296"/>
      <c r="P485" s="297"/>
      <c r="Q485" s="294"/>
      <c r="R485" s="298"/>
      <c r="S485" s="8"/>
      <c r="T485" s="9"/>
      <c r="U485" s="9"/>
    </row>
    <row r="486" spans="1:21" hidden="1">
      <c r="A486" s="299">
        <f t="shared" si="7"/>
        <v>485</v>
      </c>
      <c r="B486" s="323">
        <v>46087</v>
      </c>
      <c r="C486" s="303" t="s">
        <v>4298</v>
      </c>
      <c r="D486" s="303" t="s">
        <v>4299</v>
      </c>
      <c r="E486" s="303" t="s">
        <v>22</v>
      </c>
      <c r="F486" s="303" t="s">
        <v>83</v>
      </c>
      <c r="G486" s="316" t="s">
        <v>559</v>
      </c>
      <c r="H486" s="305">
        <v>8698774664</v>
      </c>
      <c r="I486" s="316" t="s">
        <v>4300</v>
      </c>
      <c r="J486" s="305" t="s">
        <v>122</v>
      </c>
      <c r="K486" s="303" t="s">
        <v>4301</v>
      </c>
      <c r="L486" s="303" t="s">
        <v>49</v>
      </c>
      <c r="M486" s="303" t="s">
        <v>2623</v>
      </c>
      <c r="N486" s="303"/>
      <c r="O486" s="307"/>
      <c r="P486" s="308"/>
      <c r="Q486" s="305"/>
      <c r="R486" s="309"/>
      <c r="S486" s="8"/>
      <c r="T486" s="9"/>
      <c r="U486" s="9"/>
    </row>
    <row r="487" spans="1:21" ht="45" hidden="1">
      <c r="A487" s="288">
        <f t="shared" si="7"/>
        <v>486</v>
      </c>
      <c r="B487" s="322">
        <v>46087</v>
      </c>
      <c r="C487" s="292" t="s">
        <v>4302</v>
      </c>
      <c r="D487" s="292" t="s">
        <v>4303</v>
      </c>
      <c r="E487" s="292" t="s">
        <v>22</v>
      </c>
      <c r="F487" s="292" t="s">
        <v>32</v>
      </c>
      <c r="G487" s="315" t="s">
        <v>4304</v>
      </c>
      <c r="H487" s="315"/>
      <c r="I487" s="390" t="s">
        <v>4305</v>
      </c>
      <c r="J487" s="294" t="s">
        <v>1698</v>
      </c>
      <c r="K487" s="292" t="s">
        <v>4306</v>
      </c>
      <c r="L487" s="292" t="s">
        <v>74</v>
      </c>
      <c r="M487" s="292" t="s">
        <v>50</v>
      </c>
      <c r="N487" s="292" t="s">
        <v>4307</v>
      </c>
      <c r="O487" s="296">
        <v>46088</v>
      </c>
      <c r="P487" s="319">
        <v>1600000</v>
      </c>
      <c r="Q487" s="294" t="s">
        <v>70</v>
      </c>
      <c r="R487" s="298"/>
      <c r="S487" s="8"/>
      <c r="T487" s="9"/>
      <c r="U487" s="9"/>
    </row>
    <row r="488" spans="1:21" ht="45" hidden="1">
      <c r="A488" s="299">
        <f t="shared" si="7"/>
        <v>487</v>
      </c>
      <c r="B488" s="323">
        <v>46087</v>
      </c>
      <c r="C488" s="303" t="s">
        <v>4308</v>
      </c>
      <c r="D488" s="303" t="s">
        <v>4309</v>
      </c>
      <c r="E488" s="303" t="s">
        <v>22</v>
      </c>
      <c r="F488" s="303" t="s">
        <v>59</v>
      </c>
      <c r="G488" s="316" t="s">
        <v>4310</v>
      </c>
      <c r="H488" s="316">
        <v>9321723446</v>
      </c>
      <c r="I488" s="306" t="s">
        <v>4311</v>
      </c>
      <c r="J488" s="305" t="s">
        <v>1698</v>
      </c>
      <c r="K488" s="378" t="s">
        <v>4312</v>
      </c>
      <c r="L488" s="303" t="s">
        <v>27</v>
      </c>
      <c r="M488" s="303" t="s">
        <v>28</v>
      </c>
      <c r="N488" s="303" t="s">
        <v>4313</v>
      </c>
      <c r="O488" s="307">
        <v>46087</v>
      </c>
      <c r="P488" s="313">
        <v>5675</v>
      </c>
      <c r="Q488" s="305" t="s">
        <v>70</v>
      </c>
      <c r="R488" s="309"/>
      <c r="S488" s="8"/>
      <c r="T488" s="9"/>
      <c r="U488" s="9"/>
    </row>
    <row r="489" spans="1:21" hidden="1">
      <c r="A489" s="288">
        <f t="shared" si="7"/>
        <v>488</v>
      </c>
      <c r="B489" s="322">
        <v>46087</v>
      </c>
      <c r="C489" s="292" t="s">
        <v>466</v>
      </c>
      <c r="D489" s="292" t="s">
        <v>4314</v>
      </c>
      <c r="E489" s="292" t="s">
        <v>22</v>
      </c>
      <c r="F489" s="292" t="s">
        <v>59</v>
      </c>
      <c r="G489" s="315" t="s">
        <v>1717</v>
      </c>
      <c r="H489" s="315">
        <v>7042817546</v>
      </c>
      <c r="I489" s="376" t="s">
        <v>4315</v>
      </c>
      <c r="J489" s="294" t="s">
        <v>25</v>
      </c>
      <c r="K489" s="292" t="s">
        <v>4316</v>
      </c>
      <c r="L489" s="292" t="s">
        <v>27</v>
      </c>
      <c r="M489" s="292" t="s">
        <v>40</v>
      </c>
      <c r="N489" s="292" t="s">
        <v>4317</v>
      </c>
      <c r="O489" s="296">
        <v>46087</v>
      </c>
      <c r="P489" s="325">
        <v>8750</v>
      </c>
      <c r="Q489" s="294" t="s">
        <v>30</v>
      </c>
      <c r="R489" s="298"/>
      <c r="S489" s="8"/>
      <c r="T489" s="9"/>
      <c r="U489" s="9"/>
    </row>
    <row r="490" spans="1:21" hidden="1">
      <c r="A490" s="299">
        <f t="shared" si="7"/>
        <v>489</v>
      </c>
      <c r="B490" s="323">
        <v>46088</v>
      </c>
      <c r="C490" s="303" t="s">
        <v>4318</v>
      </c>
      <c r="D490" s="303"/>
      <c r="E490" s="303" t="s">
        <v>4109</v>
      </c>
      <c r="F490" s="303" t="s">
        <v>60</v>
      </c>
      <c r="G490" s="303" t="s">
        <v>244</v>
      </c>
      <c r="H490" s="305">
        <v>9810070136</v>
      </c>
      <c r="I490" s="303"/>
      <c r="J490" s="305" t="s">
        <v>122</v>
      </c>
      <c r="K490" s="303" t="s">
        <v>4319</v>
      </c>
      <c r="L490" s="303" t="s">
        <v>58</v>
      </c>
      <c r="M490" s="303" t="s">
        <v>40</v>
      </c>
      <c r="N490" s="303"/>
      <c r="O490" s="307"/>
      <c r="P490" s="308"/>
      <c r="Q490" s="305"/>
      <c r="R490" s="309"/>
      <c r="S490" s="8"/>
      <c r="T490" s="9"/>
      <c r="U490" s="9"/>
    </row>
    <row r="491" spans="1:21" hidden="1">
      <c r="A491" s="288">
        <f t="shared" si="7"/>
        <v>490</v>
      </c>
      <c r="B491" s="322">
        <v>46088</v>
      </c>
      <c r="C491" s="292" t="s">
        <v>4320</v>
      </c>
      <c r="D491" s="292" t="s">
        <v>3992</v>
      </c>
      <c r="E491" s="292" t="s">
        <v>143</v>
      </c>
      <c r="F491" s="292" t="s">
        <v>23</v>
      </c>
      <c r="G491" s="292" t="s">
        <v>4321</v>
      </c>
      <c r="H491" s="294">
        <v>9716909416</v>
      </c>
      <c r="I491" s="315" t="s">
        <v>4322</v>
      </c>
      <c r="J491" s="294" t="s">
        <v>122</v>
      </c>
      <c r="K491" s="315" t="s">
        <v>4323</v>
      </c>
      <c r="L491" s="292" t="s">
        <v>49</v>
      </c>
      <c r="M491" s="292" t="s">
        <v>50</v>
      </c>
      <c r="N491" s="292"/>
      <c r="O491" s="296"/>
      <c r="P491" s="297"/>
      <c r="Q491" s="294"/>
      <c r="R491" s="298"/>
      <c r="S491" s="8"/>
      <c r="T491" s="9"/>
      <c r="U491" s="9"/>
    </row>
    <row r="492" spans="1:21" hidden="1">
      <c r="A492" s="299">
        <f t="shared" si="7"/>
        <v>491</v>
      </c>
      <c r="B492" s="323">
        <v>46088</v>
      </c>
      <c r="C492" s="303" t="s">
        <v>4324</v>
      </c>
      <c r="D492" s="303" t="s">
        <v>4325</v>
      </c>
      <c r="E492" s="303" t="s">
        <v>22</v>
      </c>
      <c r="F492" s="303" t="s">
        <v>60</v>
      </c>
      <c r="G492" s="316" t="s">
        <v>135</v>
      </c>
      <c r="H492" s="316">
        <v>8485098958</v>
      </c>
      <c r="I492" s="391" t="s">
        <v>4326</v>
      </c>
      <c r="J492" s="305" t="s">
        <v>56</v>
      </c>
      <c r="K492" s="303" t="s">
        <v>4327</v>
      </c>
      <c r="L492" s="303" t="s">
        <v>49</v>
      </c>
      <c r="M492" s="303" t="s">
        <v>40</v>
      </c>
      <c r="N492" s="303" t="s">
        <v>4328</v>
      </c>
      <c r="O492" s="307">
        <v>46092</v>
      </c>
      <c r="P492" s="308">
        <v>454857</v>
      </c>
      <c r="Q492" s="305" t="s">
        <v>98</v>
      </c>
      <c r="R492" s="309"/>
      <c r="S492" s="8"/>
      <c r="T492" s="9"/>
      <c r="U492" s="9"/>
    </row>
    <row r="493" spans="1:21" hidden="1">
      <c r="A493" s="288">
        <f t="shared" si="7"/>
        <v>492</v>
      </c>
      <c r="B493" s="322">
        <v>46088</v>
      </c>
      <c r="C493" s="292"/>
      <c r="D493" s="292" t="s">
        <v>4329</v>
      </c>
      <c r="E493" s="292" t="s">
        <v>162</v>
      </c>
      <c r="F493" s="292" t="s">
        <v>73</v>
      </c>
      <c r="G493" s="315" t="s">
        <v>4330</v>
      </c>
      <c r="H493" s="294">
        <v>9644418067</v>
      </c>
      <c r="I493" s="292"/>
      <c r="J493" s="294" t="s">
        <v>122</v>
      </c>
      <c r="K493" s="292" t="s">
        <v>4331</v>
      </c>
      <c r="L493" s="292" t="s">
        <v>49</v>
      </c>
      <c r="M493" s="292" t="s">
        <v>2623</v>
      </c>
      <c r="N493" s="292"/>
      <c r="O493" s="296"/>
      <c r="P493" s="297"/>
      <c r="Q493" s="294"/>
      <c r="R493" s="298"/>
      <c r="S493" s="8"/>
      <c r="T493" s="9"/>
      <c r="U493" s="9"/>
    </row>
    <row r="494" spans="1:21" hidden="1">
      <c r="A494" s="299">
        <f t="shared" si="7"/>
        <v>493</v>
      </c>
      <c r="B494" s="323">
        <v>46088</v>
      </c>
      <c r="C494" s="303" t="s">
        <v>4332</v>
      </c>
      <c r="D494" s="303" t="s">
        <v>4333</v>
      </c>
      <c r="E494" s="303" t="s">
        <v>22</v>
      </c>
      <c r="F494" s="303" t="s">
        <v>60</v>
      </c>
      <c r="G494" s="303" t="s">
        <v>4334</v>
      </c>
      <c r="H494" s="305">
        <v>9922066259</v>
      </c>
      <c r="I494" s="303" t="s">
        <v>4335</v>
      </c>
      <c r="J494" s="305" t="s">
        <v>1113</v>
      </c>
      <c r="K494" s="303" t="s">
        <v>4336</v>
      </c>
      <c r="L494" s="303" t="s">
        <v>49</v>
      </c>
      <c r="M494" s="303" t="s">
        <v>40</v>
      </c>
      <c r="N494" s="303"/>
      <c r="O494" s="307"/>
      <c r="P494" s="308"/>
      <c r="Q494" s="305"/>
      <c r="R494" s="309"/>
      <c r="S494" s="8"/>
      <c r="T494" s="9"/>
      <c r="U494" s="9"/>
    </row>
    <row r="495" spans="1:21" hidden="1">
      <c r="A495" s="288">
        <f t="shared" si="7"/>
        <v>494</v>
      </c>
      <c r="B495" s="322">
        <v>46088</v>
      </c>
      <c r="C495" s="392"/>
      <c r="D495" s="392" t="s">
        <v>4337</v>
      </c>
      <c r="E495" s="392" t="s">
        <v>199</v>
      </c>
      <c r="F495" s="392" t="s">
        <v>73</v>
      </c>
      <c r="G495" s="392" t="s">
        <v>1368</v>
      </c>
      <c r="H495" s="392">
        <v>9358603727</v>
      </c>
      <c r="I495" s="392"/>
      <c r="J495" s="393" t="s">
        <v>1438</v>
      </c>
      <c r="K495" s="292" t="s">
        <v>4338</v>
      </c>
      <c r="L495" s="394" t="s">
        <v>49</v>
      </c>
      <c r="M495" s="394" t="s">
        <v>50</v>
      </c>
      <c r="N495" s="392"/>
      <c r="O495" s="392"/>
      <c r="P495" s="392"/>
      <c r="Q495" s="392"/>
      <c r="R495" s="392"/>
      <c r="S495" s="22"/>
      <c r="T495" s="23"/>
      <c r="U495" s="9"/>
    </row>
    <row r="496" spans="1:21" hidden="1">
      <c r="A496" s="299">
        <f t="shared" si="7"/>
        <v>495</v>
      </c>
      <c r="B496" s="323">
        <v>46088</v>
      </c>
      <c r="C496" s="303" t="s">
        <v>4339</v>
      </c>
      <c r="D496" s="303" t="s">
        <v>4340</v>
      </c>
      <c r="E496" s="303" t="s">
        <v>22</v>
      </c>
      <c r="F496" s="303" t="s">
        <v>23</v>
      </c>
      <c r="G496" s="316" t="s">
        <v>188</v>
      </c>
      <c r="H496" s="305">
        <v>9372791367</v>
      </c>
      <c r="I496" s="303" t="s">
        <v>4341</v>
      </c>
      <c r="J496" s="305" t="s">
        <v>567</v>
      </c>
      <c r="K496" s="303" t="s">
        <v>4342</v>
      </c>
      <c r="L496" s="303" t="s">
        <v>49</v>
      </c>
      <c r="M496" s="303" t="s">
        <v>50</v>
      </c>
      <c r="N496" s="303"/>
      <c r="O496" s="307"/>
      <c r="P496" s="308"/>
      <c r="Q496" s="305"/>
      <c r="R496" s="309"/>
      <c r="S496" s="8"/>
      <c r="T496" s="9"/>
      <c r="U496" s="9"/>
    </row>
    <row r="497" spans="1:21" hidden="1">
      <c r="A497" s="288">
        <f t="shared" si="7"/>
        <v>496</v>
      </c>
      <c r="B497" s="322">
        <v>46088</v>
      </c>
      <c r="C497" s="292" t="s">
        <v>4343</v>
      </c>
      <c r="D497" s="292" t="s">
        <v>4344</v>
      </c>
      <c r="E497" s="292"/>
      <c r="F497" s="292" t="s">
        <v>73</v>
      </c>
      <c r="G497" s="315" t="s">
        <v>3856</v>
      </c>
      <c r="H497" s="294">
        <v>7709602174</v>
      </c>
      <c r="I497" s="292" t="s">
        <v>4345</v>
      </c>
      <c r="J497" s="294" t="s">
        <v>567</v>
      </c>
      <c r="K497" s="292" t="s">
        <v>4346</v>
      </c>
      <c r="L497" s="292" t="s">
        <v>49</v>
      </c>
      <c r="M497" s="292" t="s">
        <v>2623</v>
      </c>
      <c r="N497" s="292"/>
      <c r="O497" s="296"/>
      <c r="P497" s="297"/>
      <c r="Q497" s="294"/>
      <c r="R497" s="298"/>
      <c r="S497" s="8"/>
      <c r="T497" s="23"/>
      <c r="U497" s="9"/>
    </row>
    <row r="498" spans="1:21" hidden="1">
      <c r="A498" s="299">
        <f t="shared" si="7"/>
        <v>497</v>
      </c>
      <c r="B498" s="323">
        <v>46088</v>
      </c>
      <c r="C498" s="303" t="s">
        <v>4347</v>
      </c>
      <c r="D498" s="303" t="s">
        <v>3671</v>
      </c>
      <c r="E498" s="303" t="s">
        <v>82</v>
      </c>
      <c r="F498" s="303" t="s">
        <v>60</v>
      </c>
      <c r="G498" s="316" t="s">
        <v>135</v>
      </c>
      <c r="H498" s="305">
        <v>7825885858</v>
      </c>
      <c r="I498" s="314"/>
      <c r="J498" s="305" t="s">
        <v>122</v>
      </c>
      <c r="K498" s="303" t="s">
        <v>4347</v>
      </c>
      <c r="L498" s="303" t="s">
        <v>58</v>
      </c>
      <c r="M498" s="303" t="s">
        <v>40</v>
      </c>
      <c r="N498" s="303"/>
      <c r="O498" s="307"/>
      <c r="P498" s="308"/>
      <c r="Q498" s="305"/>
      <c r="R498" s="309"/>
      <c r="S498" s="8"/>
      <c r="T498" s="24"/>
      <c r="U498" s="9"/>
    </row>
    <row r="499" spans="1:21" hidden="1">
      <c r="A499" s="288">
        <f t="shared" si="7"/>
        <v>498</v>
      </c>
      <c r="B499" s="322">
        <v>46088</v>
      </c>
      <c r="C499" s="292"/>
      <c r="D499" s="292" t="s">
        <v>3671</v>
      </c>
      <c r="E499" s="292" t="s">
        <v>82</v>
      </c>
      <c r="F499" s="292" t="s">
        <v>23</v>
      </c>
      <c r="G499" s="315" t="s">
        <v>4348</v>
      </c>
      <c r="H499" s="294">
        <v>8807519162</v>
      </c>
      <c r="I499" s="292"/>
      <c r="J499" s="292" t="s">
        <v>63</v>
      </c>
      <c r="K499" s="292" t="s">
        <v>1025</v>
      </c>
      <c r="L499" s="292" t="s">
        <v>58</v>
      </c>
      <c r="M499" s="292" t="s">
        <v>50</v>
      </c>
      <c r="N499" s="292"/>
      <c r="O499" s="296"/>
      <c r="P499" s="297"/>
      <c r="Q499" s="294"/>
      <c r="R499" s="298"/>
      <c r="S499" s="8"/>
      <c r="T499" s="24"/>
      <c r="U499" s="9"/>
    </row>
    <row r="500" spans="1:21" hidden="1">
      <c r="A500" s="303">
        <f>ROW()-1</f>
        <v>499</v>
      </c>
      <c r="B500" s="323">
        <v>46088</v>
      </c>
      <c r="C500" s="303" t="s">
        <v>4349</v>
      </c>
      <c r="D500" s="303"/>
      <c r="E500" s="303"/>
      <c r="F500" s="303" t="s">
        <v>23</v>
      </c>
      <c r="G500" s="303" t="s">
        <v>4350</v>
      </c>
      <c r="H500" s="305">
        <v>9422158445</v>
      </c>
      <c r="I500" s="303"/>
      <c r="J500" s="305" t="s">
        <v>122</v>
      </c>
      <c r="K500" s="303" t="s">
        <v>4349</v>
      </c>
      <c r="L500" s="303" t="s">
        <v>58</v>
      </c>
      <c r="M500" s="303" t="s">
        <v>2623</v>
      </c>
      <c r="N500" s="303"/>
      <c r="O500" s="303"/>
      <c r="P500" s="303"/>
      <c r="Q500" s="303"/>
      <c r="R500" s="309"/>
      <c r="S500" s="25"/>
      <c r="T500" s="26"/>
      <c r="U500" s="9"/>
    </row>
    <row r="501" spans="1:21" hidden="1">
      <c r="A501" s="288">
        <f t="shared" si="7"/>
        <v>500</v>
      </c>
      <c r="B501" s="322">
        <v>46088</v>
      </c>
      <c r="C501" s="292" t="s">
        <v>4351</v>
      </c>
      <c r="D501" s="292"/>
      <c r="E501" s="292"/>
      <c r="F501" s="292" t="s">
        <v>60</v>
      </c>
      <c r="G501" s="292" t="s">
        <v>2105</v>
      </c>
      <c r="H501" s="294">
        <v>9164169320</v>
      </c>
      <c r="I501" s="295"/>
      <c r="J501" s="294" t="s">
        <v>63</v>
      </c>
      <c r="K501" s="292"/>
      <c r="L501" s="292" t="s">
        <v>58</v>
      </c>
      <c r="M501" s="292" t="s">
        <v>40</v>
      </c>
      <c r="N501" s="292"/>
      <c r="O501" s="296"/>
      <c r="P501" s="297"/>
      <c r="Q501" s="294"/>
      <c r="R501" s="298"/>
      <c r="S501" s="8"/>
      <c r="T501" s="24"/>
      <c r="U501" s="9"/>
    </row>
    <row r="502" spans="1:21" hidden="1">
      <c r="A502" s="299">
        <f t="shared" si="7"/>
        <v>501</v>
      </c>
      <c r="B502" s="323">
        <v>46088</v>
      </c>
      <c r="C502" s="303" t="s">
        <v>4209</v>
      </c>
      <c r="D502" s="303" t="s">
        <v>4352</v>
      </c>
      <c r="E502" s="303" t="s">
        <v>22</v>
      </c>
      <c r="F502" s="303" t="s">
        <v>60</v>
      </c>
      <c r="G502" s="303" t="s">
        <v>4334</v>
      </c>
      <c r="H502" s="305">
        <v>7722050915</v>
      </c>
      <c r="I502" s="378" t="s">
        <v>4212</v>
      </c>
      <c r="J502" s="305" t="s">
        <v>25</v>
      </c>
      <c r="K502" s="395" t="s">
        <v>4213</v>
      </c>
      <c r="L502" s="303" t="s">
        <v>27</v>
      </c>
      <c r="M502" s="303" t="s">
        <v>40</v>
      </c>
      <c r="N502" s="303" t="s">
        <v>4353</v>
      </c>
      <c r="O502" s="307">
        <v>46088</v>
      </c>
      <c r="P502" s="308" t="s">
        <v>4354</v>
      </c>
      <c r="Q502" s="305" t="s">
        <v>30</v>
      </c>
      <c r="R502" s="309"/>
      <c r="S502" s="8"/>
      <c r="T502" s="9"/>
      <c r="U502" s="9"/>
    </row>
    <row r="503" spans="1:21" hidden="1">
      <c r="A503" s="288">
        <f t="shared" si="7"/>
        <v>502</v>
      </c>
      <c r="B503" s="322">
        <v>46089</v>
      </c>
      <c r="C503" s="292" t="s">
        <v>4355</v>
      </c>
      <c r="D503" s="292" t="s">
        <v>3027</v>
      </c>
      <c r="E503" s="292" t="s">
        <v>22</v>
      </c>
      <c r="F503" s="292" t="s">
        <v>60</v>
      </c>
      <c r="G503" s="292" t="s">
        <v>4251</v>
      </c>
      <c r="H503" s="315"/>
      <c r="I503" s="396" t="s">
        <v>4356</v>
      </c>
      <c r="J503" s="294" t="s">
        <v>1698</v>
      </c>
      <c r="K503" s="292"/>
      <c r="L503" s="292" t="s">
        <v>49</v>
      </c>
      <c r="M503" s="292" t="s">
        <v>50</v>
      </c>
      <c r="N503" s="292" t="s">
        <v>4357</v>
      </c>
      <c r="O503" s="296">
        <v>46089</v>
      </c>
      <c r="P503" s="319">
        <v>569588.23</v>
      </c>
      <c r="Q503" s="294" t="s">
        <v>70</v>
      </c>
      <c r="R503" s="298"/>
      <c r="S503" s="8"/>
      <c r="T503" s="9"/>
      <c r="U503" s="9"/>
    </row>
    <row r="504" spans="1:21" hidden="1">
      <c r="A504" s="299">
        <f t="shared" si="7"/>
        <v>503</v>
      </c>
      <c r="B504" s="323">
        <v>46089</v>
      </c>
      <c r="C504" s="303" t="s">
        <v>3737</v>
      </c>
      <c r="D504" s="303" t="s">
        <v>3738</v>
      </c>
      <c r="E504" s="303" t="s">
        <v>214</v>
      </c>
      <c r="F504" s="303" t="s">
        <v>60</v>
      </c>
      <c r="G504" s="316" t="s">
        <v>4358</v>
      </c>
      <c r="H504" s="316"/>
      <c r="I504" s="316" t="s">
        <v>3740</v>
      </c>
      <c r="J504" s="305" t="s">
        <v>25</v>
      </c>
      <c r="K504" s="303"/>
      <c r="L504" s="303" t="s">
        <v>74</v>
      </c>
      <c r="M504" s="303" t="s">
        <v>40</v>
      </c>
      <c r="N504" s="303" t="s">
        <v>4359</v>
      </c>
      <c r="O504" s="307">
        <v>46089</v>
      </c>
      <c r="P504" s="324">
        <v>726000</v>
      </c>
      <c r="Q504" s="305" t="s">
        <v>30</v>
      </c>
      <c r="R504" s="309"/>
      <c r="S504" s="8"/>
      <c r="T504" s="9"/>
      <c r="U504" s="9"/>
    </row>
    <row r="505" spans="1:21" hidden="1">
      <c r="A505" s="288">
        <f t="shared" si="7"/>
        <v>504</v>
      </c>
      <c r="B505" s="322">
        <v>46089</v>
      </c>
      <c r="C505" s="292" t="s">
        <v>4360</v>
      </c>
      <c r="D505" s="292" t="s">
        <v>243</v>
      </c>
      <c r="E505" s="292" t="s">
        <v>22</v>
      </c>
      <c r="F505" s="292" t="s">
        <v>59</v>
      </c>
      <c r="G505" s="315" t="s">
        <v>4361</v>
      </c>
      <c r="H505" s="315"/>
      <c r="I505" s="397" t="s">
        <v>4124</v>
      </c>
      <c r="J505" s="294" t="s">
        <v>1698</v>
      </c>
      <c r="K505" s="398" t="s">
        <v>4125</v>
      </c>
      <c r="L505" s="292" t="s">
        <v>74</v>
      </c>
      <c r="M505" s="292" t="s">
        <v>28</v>
      </c>
      <c r="N505" s="292" t="s">
        <v>4362</v>
      </c>
      <c r="O505" s="296">
        <v>46089</v>
      </c>
      <c r="P505" s="319">
        <v>16967000</v>
      </c>
      <c r="Q505" s="294" t="s">
        <v>292</v>
      </c>
      <c r="R505" s="298"/>
      <c r="S505" s="8"/>
      <c r="T505" s="9"/>
      <c r="U505" s="9"/>
    </row>
    <row r="506" spans="1:21" hidden="1">
      <c r="A506" s="299">
        <f t="shared" si="7"/>
        <v>505</v>
      </c>
      <c r="B506" s="323">
        <v>46089</v>
      </c>
      <c r="C506" s="303" t="s">
        <v>4363</v>
      </c>
      <c r="D506" s="303" t="s">
        <v>21</v>
      </c>
      <c r="E506" s="303" t="s">
        <v>22</v>
      </c>
      <c r="F506" s="303" t="s">
        <v>32</v>
      </c>
      <c r="G506" s="316" t="s">
        <v>4364</v>
      </c>
      <c r="H506" s="316">
        <v>9881092698</v>
      </c>
      <c r="I506" s="316" t="s">
        <v>4365</v>
      </c>
      <c r="J506" s="305" t="s">
        <v>1698</v>
      </c>
      <c r="K506" s="303" t="s">
        <v>4366</v>
      </c>
      <c r="L506" s="303" t="s">
        <v>74</v>
      </c>
      <c r="M506" s="303" t="s">
        <v>28</v>
      </c>
      <c r="N506" s="303" t="s">
        <v>4367</v>
      </c>
      <c r="O506" s="307">
        <v>46089</v>
      </c>
      <c r="P506" s="313">
        <v>852100</v>
      </c>
      <c r="Q506" s="305" t="s">
        <v>292</v>
      </c>
      <c r="R506" s="309"/>
      <c r="S506" s="8"/>
      <c r="T506" s="9"/>
      <c r="U506" s="9"/>
    </row>
    <row r="507" spans="1:21" hidden="1">
      <c r="A507" s="288">
        <f t="shared" si="7"/>
        <v>506</v>
      </c>
      <c r="B507" s="322">
        <v>46089</v>
      </c>
      <c r="C507" s="292" t="s">
        <v>858</v>
      </c>
      <c r="D507" s="292" t="s">
        <v>4368</v>
      </c>
      <c r="E507" s="292" t="s">
        <v>22</v>
      </c>
      <c r="F507" s="292" t="s">
        <v>60</v>
      </c>
      <c r="G507" s="315" t="s">
        <v>4369</v>
      </c>
      <c r="H507" s="315"/>
      <c r="I507" s="397" t="s">
        <v>4370</v>
      </c>
      <c r="J507" s="294" t="s">
        <v>1698</v>
      </c>
      <c r="K507" s="292" t="s">
        <v>4371</v>
      </c>
      <c r="L507" s="292" t="s">
        <v>74</v>
      </c>
      <c r="M507" s="292" t="s">
        <v>28</v>
      </c>
      <c r="N507" s="292" t="s">
        <v>4372</v>
      </c>
      <c r="O507" s="296">
        <v>46089</v>
      </c>
      <c r="P507" s="319">
        <v>760000</v>
      </c>
      <c r="Q507" s="294" t="s">
        <v>70</v>
      </c>
      <c r="R507" s="298"/>
      <c r="S507" s="8"/>
      <c r="T507" s="9"/>
      <c r="U507" s="9"/>
    </row>
    <row r="508" spans="1:21" hidden="1">
      <c r="A508" s="299">
        <f t="shared" si="7"/>
        <v>507</v>
      </c>
      <c r="B508" s="323">
        <v>46089</v>
      </c>
      <c r="C508" s="303"/>
      <c r="D508" s="303" t="s">
        <v>3671</v>
      </c>
      <c r="E508" s="303" t="s">
        <v>82</v>
      </c>
      <c r="F508" s="303" t="s">
        <v>60</v>
      </c>
      <c r="G508" s="316" t="s">
        <v>4373</v>
      </c>
      <c r="H508" s="305">
        <v>8925899388</v>
      </c>
      <c r="I508" s="316"/>
      <c r="J508" s="305" t="s">
        <v>1113</v>
      </c>
      <c r="K508" s="316" t="s">
        <v>4374</v>
      </c>
      <c r="L508" s="303" t="s">
        <v>49</v>
      </c>
      <c r="M508" s="303" t="s">
        <v>40</v>
      </c>
      <c r="N508" s="303"/>
      <c r="O508" s="307"/>
      <c r="P508" s="308"/>
      <c r="Q508" s="305"/>
      <c r="R508" s="309"/>
      <c r="S508" s="8"/>
      <c r="T508" s="9"/>
      <c r="U508" s="9"/>
    </row>
    <row r="509" spans="1:21" hidden="1">
      <c r="A509" s="288">
        <f t="shared" si="7"/>
        <v>508</v>
      </c>
      <c r="B509" s="322">
        <v>46089</v>
      </c>
      <c r="C509" s="292" t="s">
        <v>4375</v>
      </c>
      <c r="D509" s="292" t="s">
        <v>4376</v>
      </c>
      <c r="E509" s="292" t="s">
        <v>82</v>
      </c>
      <c r="F509" s="292" t="s">
        <v>60</v>
      </c>
      <c r="G509" s="315" t="s">
        <v>4373</v>
      </c>
      <c r="H509" s="294">
        <v>9176501640</v>
      </c>
      <c r="I509" s="292" t="s">
        <v>4377</v>
      </c>
      <c r="J509" s="294" t="s">
        <v>1113</v>
      </c>
      <c r="K509" s="315" t="s">
        <v>4378</v>
      </c>
      <c r="L509" s="292" t="s">
        <v>49</v>
      </c>
      <c r="M509" s="292" t="s">
        <v>40</v>
      </c>
      <c r="N509" s="292"/>
      <c r="O509" s="296"/>
      <c r="P509" s="297"/>
      <c r="Q509" s="294"/>
      <c r="R509" s="298"/>
      <c r="S509" s="8"/>
      <c r="T509" s="9"/>
      <c r="U509" s="9"/>
    </row>
    <row r="510" spans="1:21" hidden="1">
      <c r="A510" s="299">
        <f t="shared" si="7"/>
        <v>509</v>
      </c>
      <c r="B510" s="323">
        <v>46089</v>
      </c>
      <c r="C510" s="303" t="s">
        <v>4379</v>
      </c>
      <c r="D510" s="303" t="s">
        <v>4380</v>
      </c>
      <c r="E510" s="303" t="s">
        <v>1545</v>
      </c>
      <c r="F510" s="303" t="s">
        <v>73</v>
      </c>
      <c r="G510" s="316" t="s">
        <v>4032</v>
      </c>
      <c r="H510" s="305">
        <v>9012649545</v>
      </c>
      <c r="I510" s="303" t="s">
        <v>4381</v>
      </c>
      <c r="J510" s="305" t="s">
        <v>567</v>
      </c>
      <c r="K510" s="316" t="s">
        <v>4382</v>
      </c>
      <c r="L510" s="303" t="s">
        <v>49</v>
      </c>
      <c r="M510" s="303" t="s">
        <v>2623</v>
      </c>
      <c r="N510" s="303"/>
      <c r="O510" s="307"/>
      <c r="P510" s="308"/>
      <c r="Q510" s="305"/>
      <c r="R510" s="309"/>
      <c r="S510" s="8"/>
      <c r="T510" s="9"/>
      <c r="U510" s="9"/>
    </row>
    <row r="511" spans="1:21" hidden="1">
      <c r="A511" s="288">
        <f t="shared" si="7"/>
        <v>510</v>
      </c>
      <c r="B511" s="322">
        <v>46089</v>
      </c>
      <c r="C511" s="292" t="s">
        <v>4383</v>
      </c>
      <c r="D511" s="292" t="s">
        <v>3011</v>
      </c>
      <c r="E511" s="292" t="s">
        <v>22</v>
      </c>
      <c r="F511" s="292" t="s">
        <v>60</v>
      </c>
      <c r="G511" s="315" t="s">
        <v>4384</v>
      </c>
      <c r="H511" s="294">
        <v>9473749978</v>
      </c>
      <c r="I511" s="292" t="s">
        <v>4385</v>
      </c>
      <c r="J511" s="294" t="s">
        <v>122</v>
      </c>
      <c r="K511" s="292" t="s">
        <v>182</v>
      </c>
      <c r="L511" s="292" t="s">
        <v>49</v>
      </c>
      <c r="M511" s="292" t="s">
        <v>40</v>
      </c>
      <c r="N511" s="292"/>
      <c r="O511" s="296"/>
      <c r="P511" s="297"/>
      <c r="Q511" s="294"/>
      <c r="R511" s="298"/>
      <c r="S511" s="8"/>
      <c r="T511" s="9"/>
      <c r="U511" s="9"/>
    </row>
    <row r="512" spans="1:21" hidden="1">
      <c r="A512" s="299">
        <f t="shared" si="7"/>
        <v>511</v>
      </c>
      <c r="B512" s="323">
        <v>46089</v>
      </c>
      <c r="C512" s="303"/>
      <c r="D512" s="303" t="s">
        <v>3314</v>
      </c>
      <c r="E512" s="303" t="s">
        <v>214</v>
      </c>
      <c r="F512" s="303" t="s">
        <v>23</v>
      </c>
      <c r="G512" s="316" t="s">
        <v>4386</v>
      </c>
      <c r="H512" s="305">
        <v>7331185781</v>
      </c>
      <c r="I512" s="305" t="s">
        <v>4387</v>
      </c>
      <c r="J512" s="346" t="s">
        <v>567</v>
      </c>
      <c r="K512" s="316" t="s">
        <v>4388</v>
      </c>
      <c r="L512" s="303" t="s">
        <v>49</v>
      </c>
      <c r="M512" s="303" t="s">
        <v>50</v>
      </c>
      <c r="N512" s="303"/>
      <c r="O512" s="307"/>
      <c r="P512" s="308"/>
      <c r="Q512" s="305"/>
      <c r="R512" s="309"/>
      <c r="S512" s="8"/>
      <c r="T512" s="9"/>
      <c r="U512" s="9"/>
    </row>
    <row r="513" spans="1:21" hidden="1">
      <c r="A513" s="288">
        <f t="shared" si="7"/>
        <v>512</v>
      </c>
      <c r="B513" s="322">
        <v>46089</v>
      </c>
      <c r="C513" s="292" t="s">
        <v>4389</v>
      </c>
      <c r="D513" s="292" t="s">
        <v>4390</v>
      </c>
      <c r="E513" s="292" t="s">
        <v>22</v>
      </c>
      <c r="F513" s="292" t="s">
        <v>60</v>
      </c>
      <c r="G513" s="315" t="s">
        <v>4391</v>
      </c>
      <c r="H513" s="294">
        <v>7410118046</v>
      </c>
      <c r="I513" s="294" t="s">
        <v>4392</v>
      </c>
      <c r="J513" s="294" t="s">
        <v>56</v>
      </c>
      <c r="K513" s="315" t="s">
        <v>4393</v>
      </c>
      <c r="L513" s="292" t="s">
        <v>49</v>
      </c>
      <c r="M513" s="292" t="s">
        <v>40</v>
      </c>
      <c r="N513" s="292"/>
      <c r="O513" s="296"/>
      <c r="P513" s="297"/>
      <c r="Q513" s="294"/>
      <c r="R513" s="298"/>
      <c r="S513" s="8"/>
      <c r="T513" s="9"/>
      <c r="U513" s="9"/>
    </row>
    <row r="514" spans="1:21" hidden="1">
      <c r="A514" s="299">
        <f t="shared" ref="A514:A522" si="8">ROW()-1</f>
        <v>513</v>
      </c>
      <c r="B514" s="323">
        <v>46090</v>
      </c>
      <c r="C514" s="303" t="s">
        <v>4394</v>
      </c>
      <c r="D514" s="303" t="s">
        <v>4395</v>
      </c>
      <c r="E514" s="303" t="s">
        <v>22</v>
      </c>
      <c r="F514" s="303" t="s">
        <v>23</v>
      </c>
      <c r="G514" s="316" t="s">
        <v>4386</v>
      </c>
      <c r="H514" s="316">
        <v>9271641324</v>
      </c>
      <c r="I514" s="316" t="s">
        <v>4396</v>
      </c>
      <c r="J514" s="305" t="s">
        <v>25</v>
      </c>
      <c r="K514" s="316" t="s">
        <v>4397</v>
      </c>
      <c r="L514" s="303" t="s">
        <v>49</v>
      </c>
      <c r="M514" s="303" t="s">
        <v>50</v>
      </c>
      <c r="N514" s="303" t="s">
        <v>4398</v>
      </c>
      <c r="O514" s="307">
        <v>46090</v>
      </c>
      <c r="P514" s="308">
        <v>270000</v>
      </c>
      <c r="Q514" s="305" t="s">
        <v>30</v>
      </c>
      <c r="R514" s="309"/>
      <c r="S514" s="8"/>
      <c r="T514" s="9"/>
      <c r="U514" s="9"/>
    </row>
    <row r="515" spans="1:21" ht="30" hidden="1">
      <c r="A515" s="288">
        <f t="shared" si="8"/>
        <v>514</v>
      </c>
      <c r="B515" s="322">
        <v>46090</v>
      </c>
      <c r="C515" s="292" t="s">
        <v>4399</v>
      </c>
      <c r="D515" s="292" t="s">
        <v>4400</v>
      </c>
      <c r="E515" s="292"/>
      <c r="F515" s="292" t="s">
        <v>60</v>
      </c>
      <c r="G515" s="315" t="s">
        <v>4401</v>
      </c>
      <c r="H515" s="294">
        <v>9868959501</v>
      </c>
      <c r="I515" s="295" t="s">
        <v>4402</v>
      </c>
      <c r="J515" s="294" t="s">
        <v>63</v>
      </c>
      <c r="K515" s="315" t="s">
        <v>4403</v>
      </c>
      <c r="L515" s="292" t="s">
        <v>49</v>
      </c>
      <c r="M515" s="292" t="s">
        <v>40</v>
      </c>
      <c r="N515" s="292"/>
      <c r="O515" s="296"/>
      <c r="P515" s="297"/>
      <c r="Q515" s="294"/>
      <c r="R515" s="298"/>
      <c r="S515" s="8"/>
      <c r="T515" s="9"/>
      <c r="U515" s="9"/>
    </row>
    <row r="516" spans="1:21" ht="30" hidden="1">
      <c r="A516" s="299">
        <f t="shared" si="8"/>
        <v>515</v>
      </c>
      <c r="B516" s="323">
        <v>46090</v>
      </c>
      <c r="C516" s="303" t="s">
        <v>4404</v>
      </c>
      <c r="D516" s="303" t="s">
        <v>3129</v>
      </c>
      <c r="E516" s="303" t="s">
        <v>3130</v>
      </c>
      <c r="F516" s="303" t="s">
        <v>83</v>
      </c>
      <c r="G516" s="316" t="s">
        <v>559</v>
      </c>
      <c r="H516" s="305">
        <v>9008461772</v>
      </c>
      <c r="I516" s="314" t="s">
        <v>4405</v>
      </c>
      <c r="J516" s="305" t="s">
        <v>122</v>
      </c>
      <c r="K516" s="303" t="s">
        <v>2885</v>
      </c>
      <c r="L516" s="303" t="s">
        <v>49</v>
      </c>
      <c r="M516" s="303" t="s">
        <v>2623</v>
      </c>
      <c r="N516" s="303"/>
      <c r="O516" s="307"/>
      <c r="P516" s="317"/>
      <c r="Q516" s="305"/>
      <c r="R516" s="309"/>
      <c r="S516" s="25"/>
      <c r="T516" s="26"/>
      <c r="U516" s="9"/>
    </row>
    <row r="517" spans="1:21" hidden="1">
      <c r="A517" s="288">
        <f>ROW()-1</f>
        <v>516</v>
      </c>
      <c r="B517" s="322">
        <v>46090</v>
      </c>
      <c r="C517" s="292" t="s">
        <v>3715</v>
      </c>
      <c r="D517" s="292" t="s">
        <v>410</v>
      </c>
      <c r="E517" s="292" t="s">
        <v>22</v>
      </c>
      <c r="F517" s="292" t="s">
        <v>60</v>
      </c>
      <c r="G517" s="315" t="s">
        <v>4406</v>
      </c>
      <c r="H517" s="315"/>
      <c r="I517" s="362" t="s">
        <v>4407</v>
      </c>
      <c r="J517" s="294" t="s">
        <v>1698</v>
      </c>
      <c r="K517" s="292" t="s">
        <v>3025</v>
      </c>
      <c r="L517" s="292" t="s">
        <v>27</v>
      </c>
      <c r="M517" s="292" t="s">
        <v>40</v>
      </c>
      <c r="N517" s="292" t="s">
        <v>4408</v>
      </c>
      <c r="O517" s="296">
        <v>46090</v>
      </c>
      <c r="P517" s="319">
        <v>2260000</v>
      </c>
      <c r="Q517" s="294" t="s">
        <v>292</v>
      </c>
      <c r="R517" s="298"/>
      <c r="S517" s="25"/>
      <c r="T517" s="26"/>
      <c r="U517" s="9"/>
    </row>
    <row r="518" spans="1:21" hidden="1">
      <c r="A518" s="299">
        <f>ROW()-1</f>
        <v>517</v>
      </c>
      <c r="B518" s="323">
        <v>46090</v>
      </c>
      <c r="C518" s="303" t="s">
        <v>4409</v>
      </c>
      <c r="D518" s="303" t="s">
        <v>4410</v>
      </c>
      <c r="E518" s="303" t="s">
        <v>22</v>
      </c>
      <c r="F518" s="303" t="s">
        <v>60</v>
      </c>
      <c r="G518" s="316" t="s">
        <v>4411</v>
      </c>
      <c r="H518" s="316">
        <v>9922935474</v>
      </c>
      <c r="I518" s="391" t="s">
        <v>4412</v>
      </c>
      <c r="J518" s="305" t="s">
        <v>1698</v>
      </c>
      <c r="K518" s="303" t="s">
        <v>4413</v>
      </c>
      <c r="L518" s="303" t="s">
        <v>27</v>
      </c>
      <c r="M518" s="303" t="s">
        <v>40</v>
      </c>
      <c r="N518" s="303" t="s">
        <v>4414</v>
      </c>
      <c r="O518" s="307">
        <v>46091</v>
      </c>
      <c r="P518" s="313">
        <v>209884</v>
      </c>
      <c r="Q518" s="305" t="s">
        <v>292</v>
      </c>
      <c r="R518" s="309"/>
      <c r="S518" s="25"/>
      <c r="T518" s="26"/>
      <c r="U518" s="9"/>
    </row>
    <row r="519" spans="1:21" ht="30" hidden="1">
      <c r="A519" s="288">
        <f t="shared" si="8"/>
        <v>518</v>
      </c>
      <c r="B519" s="322">
        <v>46090</v>
      </c>
      <c r="C519" s="292" t="s">
        <v>1228</v>
      </c>
      <c r="D519" s="292" t="s">
        <v>1042</v>
      </c>
      <c r="E519" s="292" t="s">
        <v>22</v>
      </c>
      <c r="F519" s="292" t="s">
        <v>60</v>
      </c>
      <c r="G519" s="315" t="s">
        <v>4415</v>
      </c>
      <c r="H519" s="294">
        <v>9619229338</v>
      </c>
      <c r="I519" s="295" t="s">
        <v>4416</v>
      </c>
      <c r="J519" s="294" t="s">
        <v>1113</v>
      </c>
      <c r="K519" s="292" t="s">
        <v>4417</v>
      </c>
      <c r="L519" s="292" t="s">
        <v>49</v>
      </c>
      <c r="M519" s="292" t="s">
        <v>40</v>
      </c>
      <c r="N519" s="292"/>
      <c r="O519" s="296"/>
      <c r="P519" s="312"/>
      <c r="Q519" s="294"/>
      <c r="R519" s="298"/>
      <c r="S519" s="25"/>
      <c r="T519" s="26"/>
      <c r="U519" s="9"/>
    </row>
    <row r="520" spans="1:21" ht="45" hidden="1">
      <c r="A520" s="299">
        <f t="shared" si="8"/>
        <v>519</v>
      </c>
      <c r="B520" s="323">
        <v>46090</v>
      </c>
      <c r="C520" s="364" t="s">
        <v>4418</v>
      </c>
      <c r="D520" s="364" t="s">
        <v>4419</v>
      </c>
      <c r="E520" s="364"/>
      <c r="F520" s="364" t="s">
        <v>60</v>
      </c>
      <c r="G520" s="323" t="s">
        <v>305</v>
      </c>
      <c r="H520" s="305">
        <v>9386353893</v>
      </c>
      <c r="I520" s="314" t="s">
        <v>4420</v>
      </c>
      <c r="J520" s="305" t="s">
        <v>567</v>
      </c>
      <c r="K520" s="323" t="s">
        <v>4421</v>
      </c>
      <c r="L520" s="303" t="s">
        <v>49</v>
      </c>
      <c r="M520" s="303" t="s">
        <v>40</v>
      </c>
      <c r="N520" s="323"/>
      <c r="O520" s="307"/>
      <c r="P520" s="389"/>
      <c r="Q520" s="305"/>
      <c r="R520" s="386"/>
      <c r="S520" s="18"/>
      <c r="T520" s="19"/>
      <c r="U520" s="9"/>
    </row>
    <row r="521" spans="1:21" hidden="1">
      <c r="A521" s="399">
        <f t="shared" si="8"/>
        <v>520</v>
      </c>
      <c r="B521" s="322">
        <v>46091</v>
      </c>
      <c r="C521" s="292" t="s">
        <v>4422</v>
      </c>
      <c r="D521" s="292" t="s">
        <v>3671</v>
      </c>
      <c r="E521" s="292" t="s">
        <v>82</v>
      </c>
      <c r="F521" s="292" t="s">
        <v>23</v>
      </c>
      <c r="G521" s="292" t="s">
        <v>127</v>
      </c>
      <c r="H521" s="292">
        <v>9843362231</v>
      </c>
      <c r="I521" s="292" t="s">
        <v>4423</v>
      </c>
      <c r="J521" s="318" t="s">
        <v>1113</v>
      </c>
      <c r="K521" s="292" t="s">
        <v>4424</v>
      </c>
      <c r="L521" s="292" t="s">
        <v>49</v>
      </c>
      <c r="M521" s="292" t="s">
        <v>50</v>
      </c>
      <c r="N521" s="292"/>
      <c r="O521" s="292"/>
      <c r="P521" s="292"/>
      <c r="Q521" s="294"/>
      <c r="R521" s="298"/>
      <c r="S521" s="27"/>
      <c r="T521" s="28"/>
      <c r="U521" s="9"/>
    </row>
    <row r="522" spans="1:21" hidden="1">
      <c r="A522" s="400">
        <f t="shared" si="8"/>
        <v>521</v>
      </c>
      <c r="B522" s="323">
        <v>46091</v>
      </c>
      <c r="C522" s="364" t="s">
        <v>4425</v>
      </c>
      <c r="D522" s="364" t="s">
        <v>4426</v>
      </c>
      <c r="E522" s="364" t="s">
        <v>82</v>
      </c>
      <c r="F522" s="364" t="s">
        <v>60</v>
      </c>
      <c r="G522" s="364" t="s">
        <v>244</v>
      </c>
      <c r="H522" s="303">
        <v>7667551112</v>
      </c>
      <c r="I522" s="364" t="s">
        <v>4427</v>
      </c>
      <c r="J522" s="385" t="s">
        <v>1113</v>
      </c>
      <c r="K522" s="364" t="s">
        <v>4428</v>
      </c>
      <c r="L522" s="364" t="s">
        <v>49</v>
      </c>
      <c r="M522" s="303" t="s">
        <v>40</v>
      </c>
      <c r="N522" s="364"/>
      <c r="O522" s="364"/>
      <c r="P522" s="364"/>
      <c r="Q522" s="305"/>
      <c r="R522" s="401"/>
      <c r="S522" s="27"/>
      <c r="T522" s="28"/>
      <c r="U522" s="9"/>
    </row>
    <row r="523" spans="1:21" hidden="1">
      <c r="A523" s="288">
        <f>ROW()-1</f>
        <v>522</v>
      </c>
      <c r="B523" s="322">
        <v>46091</v>
      </c>
      <c r="C523" s="292" t="s">
        <v>4429</v>
      </c>
      <c r="D523" s="292" t="s">
        <v>4430</v>
      </c>
      <c r="E523" s="292" t="s">
        <v>22</v>
      </c>
      <c r="F523" s="366" t="s">
        <v>44</v>
      </c>
      <c r="G523" s="366" t="s">
        <v>45</v>
      </c>
      <c r="H523" s="294">
        <v>9359407326</v>
      </c>
      <c r="I523" s="292" t="s">
        <v>4431</v>
      </c>
      <c r="J523" s="402" t="s">
        <v>122</v>
      </c>
      <c r="K523" s="292" t="s">
        <v>4432</v>
      </c>
      <c r="L523" s="292" t="s">
        <v>49</v>
      </c>
      <c r="M523" s="292" t="s">
        <v>2623</v>
      </c>
      <c r="N523" s="292"/>
      <c r="O523" s="296"/>
      <c r="P523" s="403"/>
      <c r="Q523" s="294"/>
      <c r="R523" s="298"/>
      <c r="S523" s="8"/>
      <c r="T523" s="9"/>
      <c r="U523" s="9"/>
    </row>
    <row r="524" spans="1:21" hidden="1">
      <c r="A524" s="299">
        <f>ROW()-1</f>
        <v>523</v>
      </c>
      <c r="B524" s="323">
        <v>46091</v>
      </c>
      <c r="C524" s="356"/>
      <c r="D524" s="303" t="s">
        <v>3671</v>
      </c>
      <c r="E524" s="303" t="s">
        <v>82</v>
      </c>
      <c r="F524" s="364" t="s">
        <v>73</v>
      </c>
      <c r="G524" s="364" t="s">
        <v>4433</v>
      </c>
      <c r="H524" s="305">
        <v>9342845815</v>
      </c>
      <c r="I524" s="303" t="s">
        <v>4434</v>
      </c>
      <c r="J524" s="385" t="s">
        <v>567</v>
      </c>
      <c r="K524" s="364" t="s">
        <v>4435</v>
      </c>
      <c r="L524" s="303" t="s">
        <v>49</v>
      </c>
      <c r="M524" s="303" t="s">
        <v>50</v>
      </c>
      <c r="N524" s="303"/>
      <c r="O524" s="307"/>
      <c r="P524" s="375"/>
      <c r="Q524" s="305"/>
      <c r="R524" s="309"/>
      <c r="S524" s="8"/>
      <c r="T524" s="9"/>
      <c r="U524" s="9"/>
    </row>
    <row r="525" spans="1:21" hidden="1">
      <c r="A525" s="288">
        <f t="shared" ref="A525:A529" si="9">ROW()-1</f>
        <v>524</v>
      </c>
      <c r="B525" s="322">
        <v>46091</v>
      </c>
      <c r="C525" s="292"/>
      <c r="D525" s="292" t="s">
        <v>4436</v>
      </c>
      <c r="E525" s="292" t="s">
        <v>725</v>
      </c>
      <c r="F525" s="366" t="s">
        <v>60</v>
      </c>
      <c r="G525" s="366" t="s">
        <v>170</v>
      </c>
      <c r="H525" s="294">
        <v>9446921519</v>
      </c>
      <c r="I525" s="295"/>
      <c r="J525" s="402" t="s">
        <v>122</v>
      </c>
      <c r="K525" s="366" t="s">
        <v>4437</v>
      </c>
      <c r="L525" s="292" t="s">
        <v>49</v>
      </c>
      <c r="M525" s="292" t="s">
        <v>40</v>
      </c>
      <c r="N525" s="292"/>
      <c r="O525" s="296"/>
      <c r="P525" s="403"/>
      <c r="Q525" s="294"/>
      <c r="R525" s="298"/>
      <c r="S525" s="8"/>
      <c r="T525" s="9"/>
      <c r="U525" s="9"/>
    </row>
    <row r="526" spans="1:21" hidden="1">
      <c r="A526" s="299">
        <f t="shared" si="9"/>
        <v>525</v>
      </c>
      <c r="B526" s="323">
        <v>46091</v>
      </c>
      <c r="C526" s="303"/>
      <c r="D526" s="303" t="s">
        <v>1458</v>
      </c>
      <c r="E526" s="303"/>
      <c r="F526" s="364" t="s">
        <v>60</v>
      </c>
      <c r="G526" s="364" t="s">
        <v>4438</v>
      </c>
      <c r="H526" s="305">
        <v>7607074553</v>
      </c>
      <c r="I526" s="303" t="s">
        <v>4439</v>
      </c>
      <c r="J526" s="385" t="s">
        <v>122</v>
      </c>
      <c r="K526" s="303" t="s">
        <v>4440</v>
      </c>
      <c r="L526" s="303" t="s">
        <v>49</v>
      </c>
      <c r="M526" s="303" t="s">
        <v>40</v>
      </c>
      <c r="N526" s="303"/>
      <c r="O526" s="307"/>
      <c r="P526" s="375"/>
      <c r="Q526" s="305"/>
      <c r="R526" s="309"/>
      <c r="S526" s="8"/>
      <c r="T526" s="9"/>
      <c r="U526" s="9"/>
    </row>
    <row r="527" spans="1:21" hidden="1">
      <c r="A527" s="288">
        <f t="shared" si="9"/>
        <v>526</v>
      </c>
      <c r="B527" s="322">
        <v>46091</v>
      </c>
      <c r="C527" s="292" t="s">
        <v>4441</v>
      </c>
      <c r="D527" s="292" t="s">
        <v>4442</v>
      </c>
      <c r="E527" s="292" t="s">
        <v>22</v>
      </c>
      <c r="F527" s="366" t="s">
        <v>44</v>
      </c>
      <c r="G527" s="366" t="s">
        <v>149</v>
      </c>
      <c r="H527" s="294">
        <v>9067457111</v>
      </c>
      <c r="I527" s="292" t="s">
        <v>4443</v>
      </c>
      <c r="J527" s="402" t="s">
        <v>567</v>
      </c>
      <c r="K527" s="292" t="s">
        <v>4444</v>
      </c>
      <c r="L527" s="292" t="s">
        <v>49</v>
      </c>
      <c r="M527" s="292" t="s">
        <v>2623</v>
      </c>
      <c r="N527" s="292"/>
      <c r="O527" s="296"/>
      <c r="P527" s="403"/>
      <c r="Q527" s="294"/>
      <c r="R527" s="298"/>
      <c r="S527" s="8"/>
      <c r="T527" s="9"/>
      <c r="U527" s="9"/>
    </row>
    <row r="528" spans="1:21" hidden="1">
      <c r="A528" s="299">
        <f t="shared" si="9"/>
        <v>527</v>
      </c>
      <c r="B528" s="323">
        <v>46091</v>
      </c>
      <c r="C528" s="303" t="s">
        <v>4445</v>
      </c>
      <c r="D528" s="303" t="s">
        <v>4446</v>
      </c>
      <c r="E528" s="303" t="s">
        <v>82</v>
      </c>
      <c r="F528" s="364" t="s">
        <v>53</v>
      </c>
      <c r="G528" s="303" t="s">
        <v>4447</v>
      </c>
      <c r="H528" s="303">
        <v>7305505857</v>
      </c>
      <c r="I528" s="303" t="s">
        <v>4448</v>
      </c>
      <c r="J528" s="364" t="s">
        <v>122</v>
      </c>
      <c r="K528" s="303" t="s">
        <v>4445</v>
      </c>
      <c r="L528" s="303" t="s">
        <v>58</v>
      </c>
      <c r="M528" s="303" t="s">
        <v>50</v>
      </c>
      <c r="N528" s="303"/>
      <c r="O528" s="307"/>
      <c r="P528" s="375"/>
      <c r="Q528" s="305"/>
      <c r="R528" s="309"/>
      <c r="S528" s="8"/>
      <c r="T528" s="9"/>
      <c r="U528" s="9"/>
    </row>
    <row r="529" spans="1:21" hidden="1">
      <c r="A529" s="288">
        <f t="shared" si="9"/>
        <v>528</v>
      </c>
      <c r="B529" s="322">
        <v>46091</v>
      </c>
      <c r="C529" s="292" t="s">
        <v>4449</v>
      </c>
      <c r="D529" s="292" t="s">
        <v>4450</v>
      </c>
      <c r="E529" s="292" t="s">
        <v>214</v>
      </c>
      <c r="F529" s="366" t="s">
        <v>23</v>
      </c>
      <c r="G529" s="315" t="s">
        <v>127</v>
      </c>
      <c r="H529" s="292">
        <v>9443306268</v>
      </c>
      <c r="I529" s="292" t="s">
        <v>4451</v>
      </c>
      <c r="J529" s="404" t="s">
        <v>1113</v>
      </c>
      <c r="K529" s="292" t="s">
        <v>4452</v>
      </c>
      <c r="L529" s="292" t="s">
        <v>58</v>
      </c>
      <c r="M529" s="292" t="s">
        <v>50</v>
      </c>
      <c r="N529" s="292"/>
      <c r="O529" s="296"/>
      <c r="P529" s="403"/>
      <c r="Q529" s="294"/>
      <c r="R529" s="298"/>
      <c r="S529" s="8"/>
      <c r="T529" s="9"/>
      <c r="U529" s="9"/>
    </row>
    <row r="530" spans="1:21" hidden="1">
      <c r="A530" s="299">
        <f>ROW()-1</f>
        <v>529</v>
      </c>
      <c r="B530" s="323">
        <v>46091</v>
      </c>
      <c r="C530" s="303" t="s">
        <v>4453</v>
      </c>
      <c r="D530" s="303" t="s">
        <v>1951</v>
      </c>
      <c r="E530" s="303" t="s">
        <v>22</v>
      </c>
      <c r="F530" s="364" t="s">
        <v>73</v>
      </c>
      <c r="G530" s="316" t="s">
        <v>273</v>
      </c>
      <c r="H530" s="303">
        <v>8796168770</v>
      </c>
      <c r="I530" s="314"/>
      <c r="J530" s="385" t="s">
        <v>567</v>
      </c>
      <c r="K530" s="303"/>
      <c r="L530" s="303" t="s">
        <v>58</v>
      </c>
      <c r="M530" s="303" t="s">
        <v>2623</v>
      </c>
      <c r="N530" s="303"/>
      <c r="O530" s="307"/>
      <c r="P530" s="375"/>
      <c r="Q530" s="305"/>
      <c r="R530" s="309"/>
      <c r="S530" s="8"/>
      <c r="T530" s="9"/>
      <c r="U530" s="9"/>
    </row>
    <row r="531" spans="1:21" hidden="1">
      <c r="A531" s="288">
        <f>ROW()-1</f>
        <v>530</v>
      </c>
      <c r="B531" s="322">
        <v>46091</v>
      </c>
      <c r="C531" s="292" t="s">
        <v>4454</v>
      </c>
      <c r="D531" s="292" t="s">
        <v>4455</v>
      </c>
      <c r="E531" s="292" t="s">
        <v>22</v>
      </c>
      <c r="F531" s="366" t="s">
        <v>23</v>
      </c>
      <c r="G531" s="405" t="s">
        <v>4456</v>
      </c>
      <c r="H531" s="315">
        <v>8551070300</v>
      </c>
      <c r="I531" s="406" t="s">
        <v>4457</v>
      </c>
      <c r="J531" s="402" t="s">
        <v>1698</v>
      </c>
      <c r="K531" s="292" t="s">
        <v>4458</v>
      </c>
      <c r="L531" s="292" t="s">
        <v>27</v>
      </c>
      <c r="M531" s="292" t="s">
        <v>40</v>
      </c>
      <c r="N531" s="292" t="s">
        <v>4459</v>
      </c>
      <c r="O531" s="296">
        <v>46091</v>
      </c>
      <c r="P531" s="319">
        <v>1010000</v>
      </c>
      <c r="Q531" s="294" t="s">
        <v>292</v>
      </c>
      <c r="R531" s="298"/>
      <c r="S531" s="8"/>
      <c r="T531" s="9"/>
      <c r="U531" s="9"/>
    </row>
    <row r="532" spans="1:21" hidden="1">
      <c r="A532" s="299">
        <f>ROW()-1</f>
        <v>531</v>
      </c>
      <c r="B532" s="323">
        <v>46092</v>
      </c>
      <c r="C532" s="303" t="s">
        <v>4302</v>
      </c>
      <c r="D532" s="303" t="s">
        <v>317</v>
      </c>
      <c r="E532" s="303" t="s">
        <v>22</v>
      </c>
      <c r="F532" s="364" t="s">
        <v>83</v>
      </c>
      <c r="G532" s="316" t="s">
        <v>4460</v>
      </c>
      <c r="H532" s="316"/>
      <c r="I532" s="407" t="s">
        <v>4461</v>
      </c>
      <c r="J532" s="385" t="s">
        <v>1698</v>
      </c>
      <c r="K532" s="408" t="s">
        <v>4462</v>
      </c>
      <c r="L532" s="303" t="s">
        <v>27</v>
      </c>
      <c r="M532" s="303" t="s">
        <v>50</v>
      </c>
      <c r="N532" s="303" t="s">
        <v>4463</v>
      </c>
      <c r="O532" s="307">
        <v>46092</v>
      </c>
      <c r="P532" s="313">
        <v>2829000</v>
      </c>
      <c r="Q532" s="305" t="s">
        <v>70</v>
      </c>
      <c r="R532" s="309"/>
      <c r="S532" s="8"/>
      <c r="T532" s="9"/>
      <c r="U532" s="9"/>
    </row>
    <row r="533" spans="1:21" hidden="1">
      <c r="A533" s="288">
        <f>ROW()-1</f>
        <v>532</v>
      </c>
      <c r="B533" s="322">
        <v>46092</v>
      </c>
      <c r="C533" s="292" t="s">
        <v>4464</v>
      </c>
      <c r="D533" s="292" t="s">
        <v>4465</v>
      </c>
      <c r="E533" s="292" t="s">
        <v>22</v>
      </c>
      <c r="F533" s="366" t="s">
        <v>44</v>
      </c>
      <c r="G533" s="315" t="s">
        <v>4128</v>
      </c>
      <c r="H533" s="315"/>
      <c r="I533" s="396" t="s">
        <v>4466</v>
      </c>
      <c r="J533" s="402" t="s">
        <v>1698</v>
      </c>
      <c r="K533" s="292" t="s">
        <v>4467</v>
      </c>
      <c r="L533" s="292" t="s">
        <v>117</v>
      </c>
      <c r="M533" s="292" t="s">
        <v>50</v>
      </c>
      <c r="N533" s="292" t="s">
        <v>4468</v>
      </c>
      <c r="O533" s="296">
        <v>46092</v>
      </c>
      <c r="P533" s="319">
        <v>4538444</v>
      </c>
      <c r="Q533" s="294" t="s">
        <v>70</v>
      </c>
      <c r="R533" s="298"/>
      <c r="S533" s="8"/>
      <c r="T533" s="9"/>
      <c r="U533" s="9"/>
    </row>
    <row r="534" spans="1:21" hidden="1">
      <c r="A534" s="299">
        <f>ROW()-1</f>
        <v>533</v>
      </c>
      <c r="B534" s="323">
        <v>46092</v>
      </c>
      <c r="C534" s="303" t="s">
        <v>4469</v>
      </c>
      <c r="D534" s="303" t="s">
        <v>4470</v>
      </c>
      <c r="E534" s="303" t="s">
        <v>3130</v>
      </c>
      <c r="F534" s="364" t="s">
        <v>60</v>
      </c>
      <c r="G534" s="316" t="s">
        <v>4471</v>
      </c>
      <c r="H534" s="305">
        <v>7349652017</v>
      </c>
      <c r="I534" s="303" t="s">
        <v>4472</v>
      </c>
      <c r="J534" s="385" t="s">
        <v>56</v>
      </c>
      <c r="K534" s="303" t="s">
        <v>4473</v>
      </c>
      <c r="L534" s="303" t="s">
        <v>49</v>
      </c>
      <c r="M534" s="303" t="s">
        <v>40</v>
      </c>
      <c r="N534" s="303"/>
      <c r="O534" s="307"/>
      <c r="P534" s="375"/>
      <c r="Q534" s="305"/>
      <c r="R534" s="309"/>
      <c r="S534" s="8"/>
      <c r="T534" s="9"/>
      <c r="U534" s="9"/>
    </row>
    <row r="535" spans="1:21" hidden="1">
      <c r="A535" s="288">
        <f t="shared" ref="A535:A550" si="10">ROW()-1</f>
        <v>534</v>
      </c>
      <c r="B535" s="322">
        <v>46092</v>
      </c>
      <c r="C535" s="292" t="s">
        <v>4474</v>
      </c>
      <c r="D535" s="292" t="s">
        <v>3072</v>
      </c>
      <c r="E535" s="292" t="s">
        <v>82</v>
      </c>
      <c r="F535" s="366" t="s">
        <v>60</v>
      </c>
      <c r="G535" s="315" t="s">
        <v>4475</v>
      </c>
      <c r="H535" s="294">
        <v>7418685349</v>
      </c>
      <c r="I535" s="294" t="s">
        <v>4476</v>
      </c>
      <c r="J535" s="402" t="s">
        <v>567</v>
      </c>
      <c r="K535" s="292" t="s">
        <v>4477</v>
      </c>
      <c r="L535" s="292" t="s">
        <v>49</v>
      </c>
      <c r="M535" s="292" t="s">
        <v>40</v>
      </c>
      <c r="N535" s="292"/>
      <c r="O535" s="296"/>
      <c r="P535" s="403"/>
      <c r="Q535" s="294"/>
      <c r="R535" s="298"/>
      <c r="S535" s="8"/>
      <c r="T535" s="9"/>
      <c r="U535" s="9"/>
    </row>
    <row r="536" spans="1:21" hidden="1">
      <c r="A536" s="299">
        <f t="shared" si="10"/>
        <v>535</v>
      </c>
      <c r="B536" s="323">
        <v>46092</v>
      </c>
      <c r="C536" s="303" t="s">
        <v>4478</v>
      </c>
      <c r="D536" s="303" t="s">
        <v>4479</v>
      </c>
      <c r="E536" s="303" t="s">
        <v>82</v>
      </c>
      <c r="F536" s="364" t="s">
        <v>73</v>
      </c>
      <c r="G536" s="303" t="s">
        <v>3493</v>
      </c>
      <c r="H536" s="305">
        <v>9840756085</v>
      </c>
      <c r="I536" s="305" t="s">
        <v>4480</v>
      </c>
      <c r="J536" s="385" t="s">
        <v>63</v>
      </c>
      <c r="K536" s="303" t="s">
        <v>4481</v>
      </c>
      <c r="L536" s="303" t="s">
        <v>49</v>
      </c>
      <c r="M536" s="303" t="s">
        <v>50</v>
      </c>
      <c r="N536" s="303"/>
      <c r="O536" s="307"/>
      <c r="P536" s="375"/>
      <c r="Q536" s="305"/>
      <c r="R536" s="309"/>
      <c r="S536" s="8"/>
      <c r="T536" s="9"/>
      <c r="U536" s="9"/>
    </row>
    <row r="537" spans="1:21" hidden="1">
      <c r="A537" s="288">
        <f t="shared" si="10"/>
        <v>536</v>
      </c>
      <c r="B537" s="322">
        <v>46092</v>
      </c>
      <c r="C537" s="292" t="s">
        <v>4482</v>
      </c>
      <c r="D537" s="292" t="s">
        <v>4482</v>
      </c>
      <c r="E537" s="292" t="s">
        <v>3130</v>
      </c>
      <c r="F537" s="366" t="s">
        <v>60</v>
      </c>
      <c r="G537" s="292" t="s">
        <v>180</v>
      </c>
      <c r="H537" s="294">
        <v>9743010921</v>
      </c>
      <c r="I537" s="294" t="s">
        <v>4483</v>
      </c>
      <c r="J537" s="402" t="s">
        <v>122</v>
      </c>
      <c r="K537" s="292" t="s">
        <v>4484</v>
      </c>
      <c r="L537" s="292" t="s">
        <v>49</v>
      </c>
      <c r="M537" s="292" t="s">
        <v>40</v>
      </c>
      <c r="N537" s="292"/>
      <c r="O537" s="296"/>
      <c r="P537" s="403"/>
      <c r="Q537" s="294"/>
      <c r="R537" s="298"/>
      <c r="S537" s="8"/>
      <c r="T537" s="9"/>
      <c r="U537" s="9"/>
    </row>
    <row r="538" spans="1:21" hidden="1">
      <c r="A538" s="299">
        <f t="shared" si="10"/>
        <v>537</v>
      </c>
      <c r="B538" s="323">
        <v>46092</v>
      </c>
      <c r="C538" s="303" t="s">
        <v>4485</v>
      </c>
      <c r="D538" s="303" t="s">
        <v>4486</v>
      </c>
      <c r="E538" s="303" t="s">
        <v>193</v>
      </c>
      <c r="F538" s="364" t="s">
        <v>23</v>
      </c>
      <c r="G538" s="303" t="s">
        <v>127</v>
      </c>
      <c r="H538" s="305">
        <v>9825721149</v>
      </c>
      <c r="I538" s="305" t="s">
        <v>4487</v>
      </c>
      <c r="J538" s="385" t="s">
        <v>567</v>
      </c>
      <c r="K538" s="303" t="s">
        <v>4488</v>
      </c>
      <c r="L538" s="303" t="s">
        <v>49</v>
      </c>
      <c r="M538" s="303" t="s">
        <v>40</v>
      </c>
      <c r="N538" s="303"/>
      <c r="O538" s="307"/>
      <c r="P538" s="375"/>
      <c r="Q538" s="305"/>
      <c r="R538" s="309"/>
      <c r="S538" s="8"/>
      <c r="T538" s="9"/>
      <c r="U538" s="9"/>
    </row>
    <row r="539" spans="1:21" hidden="1">
      <c r="A539" s="288">
        <f t="shared" si="10"/>
        <v>538</v>
      </c>
      <c r="B539" s="322">
        <v>46092</v>
      </c>
      <c r="C539" s="292" t="s">
        <v>4489</v>
      </c>
      <c r="D539" s="292" t="s">
        <v>4490</v>
      </c>
      <c r="E539" s="292" t="s">
        <v>162</v>
      </c>
      <c r="F539" s="366" t="s">
        <v>53</v>
      </c>
      <c r="G539" s="292" t="s">
        <v>54</v>
      </c>
      <c r="H539" s="294">
        <v>9326451811</v>
      </c>
      <c r="I539" s="295"/>
      <c r="J539" s="402" t="s">
        <v>567</v>
      </c>
      <c r="K539" s="292" t="s">
        <v>1036</v>
      </c>
      <c r="L539" s="292" t="s">
        <v>58</v>
      </c>
      <c r="M539" s="292" t="s">
        <v>2623</v>
      </c>
      <c r="N539" s="292"/>
      <c r="O539" s="296"/>
      <c r="P539" s="403"/>
      <c r="Q539" s="294"/>
      <c r="R539" s="298"/>
      <c r="S539" s="8"/>
      <c r="T539" s="9"/>
      <c r="U539" s="9"/>
    </row>
    <row r="540" spans="1:21" hidden="1">
      <c r="A540" s="299">
        <f t="shared" si="10"/>
        <v>539</v>
      </c>
      <c r="B540" s="323">
        <v>46093</v>
      </c>
      <c r="C540" s="303" t="s">
        <v>4491</v>
      </c>
      <c r="D540" s="303" t="s">
        <v>4492</v>
      </c>
      <c r="E540" s="303" t="s">
        <v>22</v>
      </c>
      <c r="F540" s="364" t="s">
        <v>23</v>
      </c>
      <c r="G540" s="316" t="s">
        <v>127</v>
      </c>
      <c r="H540" s="305">
        <v>9284421166</v>
      </c>
      <c r="I540" s="409" t="s">
        <v>4493</v>
      </c>
      <c r="J540" s="385" t="s">
        <v>1438</v>
      </c>
      <c r="K540" s="303" t="s">
        <v>4494</v>
      </c>
      <c r="L540" s="303" t="s">
        <v>49</v>
      </c>
      <c r="M540" s="303" t="s">
        <v>50</v>
      </c>
      <c r="N540" s="303"/>
      <c r="O540" s="307"/>
      <c r="P540" s="375"/>
      <c r="Q540" s="305"/>
      <c r="R540" s="309"/>
      <c r="S540" s="8"/>
      <c r="T540" s="9"/>
      <c r="U540" s="9"/>
    </row>
    <row r="541" spans="1:21" hidden="1">
      <c r="A541" s="288">
        <f t="shared" si="10"/>
        <v>540</v>
      </c>
      <c r="B541" s="322">
        <v>46093</v>
      </c>
      <c r="C541" s="292" t="s">
        <v>4495</v>
      </c>
      <c r="D541" s="292" t="s">
        <v>4496</v>
      </c>
      <c r="E541" s="292" t="s">
        <v>22</v>
      </c>
      <c r="F541" s="366" t="s">
        <v>60</v>
      </c>
      <c r="G541" s="315" t="s">
        <v>170</v>
      </c>
      <c r="H541" s="294">
        <v>7038573909</v>
      </c>
      <c r="I541" s="294" t="s">
        <v>4497</v>
      </c>
      <c r="J541" s="402" t="s">
        <v>63</v>
      </c>
      <c r="K541" s="292"/>
      <c r="L541" s="292" t="s">
        <v>49</v>
      </c>
      <c r="M541" s="292" t="s">
        <v>40</v>
      </c>
      <c r="N541" s="292"/>
      <c r="O541" s="296"/>
      <c r="P541" s="403"/>
      <c r="Q541" s="294"/>
      <c r="R541" s="298"/>
      <c r="S541" s="8"/>
      <c r="T541" s="9"/>
      <c r="U541" s="9"/>
    </row>
    <row r="542" spans="1:21" hidden="1">
      <c r="A542" s="299">
        <f t="shared" si="10"/>
        <v>541</v>
      </c>
      <c r="B542" s="323">
        <v>46093</v>
      </c>
      <c r="C542" s="303"/>
      <c r="D542" s="303" t="s">
        <v>4498</v>
      </c>
      <c r="E542" s="303" t="s">
        <v>22</v>
      </c>
      <c r="F542" s="303" t="s">
        <v>73</v>
      </c>
      <c r="G542" s="303" t="s">
        <v>4499</v>
      </c>
      <c r="H542" s="305">
        <v>7028514205</v>
      </c>
      <c r="I542" s="305" t="s">
        <v>4500</v>
      </c>
      <c r="J542" s="385" t="s">
        <v>122</v>
      </c>
      <c r="K542" s="303" t="s">
        <v>4501</v>
      </c>
      <c r="L542" s="303" t="s">
        <v>49</v>
      </c>
      <c r="M542" s="303" t="s">
        <v>50</v>
      </c>
      <c r="N542" s="303"/>
      <c r="O542" s="307"/>
      <c r="P542" s="375"/>
      <c r="Q542" s="305"/>
      <c r="R542" s="309"/>
      <c r="S542" s="8"/>
      <c r="T542" s="9"/>
      <c r="U542" s="9"/>
    </row>
    <row r="543" spans="1:21" hidden="1">
      <c r="A543" s="288">
        <f t="shared" si="10"/>
        <v>542</v>
      </c>
      <c r="B543" s="322">
        <v>46093</v>
      </c>
      <c r="C543" s="292" t="s">
        <v>4502</v>
      </c>
      <c r="D543" s="292" t="s">
        <v>2948</v>
      </c>
      <c r="E543" s="292" t="s">
        <v>193</v>
      </c>
      <c r="F543" s="366" t="s">
        <v>83</v>
      </c>
      <c r="G543" s="292" t="s">
        <v>83</v>
      </c>
      <c r="H543" s="294">
        <v>7878025081</v>
      </c>
      <c r="I543" s="294" t="s">
        <v>4503</v>
      </c>
      <c r="J543" s="402" t="s">
        <v>122</v>
      </c>
      <c r="K543" s="292" t="s">
        <v>4504</v>
      </c>
      <c r="L543" s="292" t="s">
        <v>49</v>
      </c>
      <c r="M543" s="292" t="s">
        <v>2623</v>
      </c>
      <c r="N543" s="292"/>
      <c r="O543" s="296"/>
      <c r="P543" s="403"/>
      <c r="Q543" s="294"/>
      <c r="R543" s="298"/>
      <c r="S543" s="8"/>
      <c r="T543" s="9"/>
      <c r="U543" s="9"/>
    </row>
    <row r="544" spans="1:21" hidden="1">
      <c r="A544" s="299">
        <f t="shared" si="10"/>
        <v>543</v>
      </c>
      <c r="B544" s="323">
        <v>46093</v>
      </c>
      <c r="C544" s="303" t="s">
        <v>4505</v>
      </c>
      <c r="D544" s="303"/>
      <c r="E544" s="303"/>
      <c r="F544" s="364" t="s">
        <v>32</v>
      </c>
      <c r="G544" s="305" t="s">
        <v>3134</v>
      </c>
      <c r="H544" s="305">
        <v>6001501877</v>
      </c>
      <c r="I544" s="314"/>
      <c r="J544" s="385" t="s">
        <v>122</v>
      </c>
      <c r="K544" s="303"/>
      <c r="L544" s="303" t="s">
        <v>58</v>
      </c>
      <c r="M544" s="303" t="s">
        <v>50</v>
      </c>
      <c r="N544" s="303"/>
      <c r="O544" s="307"/>
      <c r="P544" s="375"/>
      <c r="Q544" s="305"/>
      <c r="R544" s="309"/>
      <c r="S544" s="8"/>
      <c r="T544" s="9"/>
      <c r="U544" s="9"/>
    </row>
    <row r="545" spans="1:21" hidden="1">
      <c r="A545" s="288">
        <f t="shared" si="10"/>
        <v>544</v>
      </c>
      <c r="B545" s="322">
        <v>46093</v>
      </c>
      <c r="C545" s="292"/>
      <c r="D545" s="292"/>
      <c r="E545" s="292"/>
      <c r="F545" s="366" t="s">
        <v>73</v>
      </c>
      <c r="G545" s="292" t="s">
        <v>4506</v>
      </c>
      <c r="H545" s="294">
        <v>7906774594</v>
      </c>
      <c r="I545" s="295"/>
      <c r="J545" s="402" t="s">
        <v>567</v>
      </c>
      <c r="K545" s="292" t="s">
        <v>207</v>
      </c>
      <c r="L545" s="292" t="s">
        <v>58</v>
      </c>
      <c r="M545" s="292" t="s">
        <v>2623</v>
      </c>
      <c r="N545" s="292"/>
      <c r="O545" s="296"/>
      <c r="P545" s="403"/>
      <c r="Q545" s="294"/>
      <c r="R545" s="298"/>
      <c r="S545" s="8"/>
      <c r="T545" s="9"/>
      <c r="U545" s="9"/>
    </row>
    <row r="546" spans="1:21" hidden="1">
      <c r="A546" s="299">
        <f t="shared" si="10"/>
        <v>545</v>
      </c>
      <c r="B546" s="323">
        <v>46093</v>
      </c>
      <c r="C546" s="303" t="s">
        <v>4507</v>
      </c>
      <c r="D546" s="303" t="s">
        <v>4508</v>
      </c>
      <c r="E546" s="303" t="s">
        <v>22</v>
      </c>
      <c r="F546" s="364" t="s">
        <v>23</v>
      </c>
      <c r="G546" s="303" t="s">
        <v>3418</v>
      </c>
      <c r="H546" s="305">
        <v>9422219402</v>
      </c>
      <c r="I546" s="303" t="s">
        <v>4509</v>
      </c>
      <c r="J546" s="385" t="s">
        <v>56</v>
      </c>
      <c r="K546" s="303" t="s">
        <v>4510</v>
      </c>
      <c r="L546" s="303" t="s">
        <v>58</v>
      </c>
      <c r="M546" s="303" t="s">
        <v>50</v>
      </c>
      <c r="N546" s="303"/>
      <c r="O546" s="307"/>
      <c r="P546" s="375"/>
      <c r="Q546" s="305"/>
      <c r="R546" s="309"/>
      <c r="S546" s="8"/>
      <c r="T546" s="9"/>
      <c r="U546" s="9"/>
    </row>
    <row r="547" spans="1:21" hidden="1">
      <c r="A547" s="288">
        <f t="shared" si="10"/>
        <v>546</v>
      </c>
      <c r="B547" s="322">
        <v>46093</v>
      </c>
      <c r="C547" s="292" t="s">
        <v>4511</v>
      </c>
      <c r="D547" s="292" t="s">
        <v>4512</v>
      </c>
      <c r="E547" s="292" t="s">
        <v>22</v>
      </c>
      <c r="F547" s="366" t="s">
        <v>60</v>
      </c>
      <c r="G547" s="292" t="s">
        <v>4513</v>
      </c>
      <c r="H547" s="294">
        <v>9850979258</v>
      </c>
      <c r="I547" s="295"/>
      <c r="J547" s="366" t="s">
        <v>1438</v>
      </c>
      <c r="K547" s="292"/>
      <c r="L547" s="292" t="s">
        <v>58</v>
      </c>
      <c r="M547" s="292" t="s">
        <v>40</v>
      </c>
      <c r="N547" s="292"/>
      <c r="O547" s="296"/>
      <c r="P547" s="403"/>
      <c r="Q547" s="294"/>
      <c r="R547" s="298"/>
      <c r="S547" s="8"/>
      <c r="T547" s="9"/>
      <c r="U547" s="9"/>
    </row>
    <row r="548" spans="1:21" hidden="1">
      <c r="A548" s="299">
        <f t="shared" si="10"/>
        <v>547</v>
      </c>
      <c r="B548" s="323">
        <v>46094</v>
      </c>
      <c r="C548" s="303" t="s">
        <v>4514</v>
      </c>
      <c r="D548" s="303" t="s">
        <v>4515</v>
      </c>
      <c r="E548" s="303" t="s">
        <v>595</v>
      </c>
      <c r="F548" s="364" t="s">
        <v>73</v>
      </c>
      <c r="G548" s="316" t="s">
        <v>273</v>
      </c>
      <c r="H548" s="305">
        <v>9933944443</v>
      </c>
      <c r="I548" s="303" t="s">
        <v>4516</v>
      </c>
      <c r="J548" s="305" t="s">
        <v>567</v>
      </c>
      <c r="K548" s="303" t="s">
        <v>4517</v>
      </c>
      <c r="L548" s="303" t="s">
        <v>58</v>
      </c>
      <c r="M548" s="303" t="s">
        <v>2623</v>
      </c>
      <c r="N548" s="303"/>
      <c r="O548" s="307"/>
      <c r="P548" s="375"/>
      <c r="Q548" s="305"/>
      <c r="R548" s="309"/>
      <c r="S548" s="262">
        <v>46094</v>
      </c>
      <c r="T548" s="9"/>
      <c r="U548" s="9"/>
    </row>
    <row r="549" spans="1:21" hidden="1">
      <c r="A549" s="288">
        <f t="shared" si="10"/>
        <v>548</v>
      </c>
      <c r="B549" s="322">
        <v>46094</v>
      </c>
      <c r="C549" s="292" t="s">
        <v>4518</v>
      </c>
      <c r="D549" s="292" t="s">
        <v>4519</v>
      </c>
      <c r="E549" s="292" t="s">
        <v>759</v>
      </c>
      <c r="F549" s="366" t="s">
        <v>23</v>
      </c>
      <c r="G549" s="315" t="s">
        <v>127</v>
      </c>
      <c r="H549" s="294">
        <v>9822715579</v>
      </c>
      <c r="I549" s="292" t="s">
        <v>4520</v>
      </c>
      <c r="J549" s="402" t="s">
        <v>56</v>
      </c>
      <c r="K549" s="292" t="s">
        <v>4521</v>
      </c>
      <c r="L549" s="292" t="s">
        <v>58</v>
      </c>
      <c r="M549" s="292" t="s">
        <v>50</v>
      </c>
      <c r="N549" s="292"/>
      <c r="O549" s="296"/>
      <c r="P549" s="403"/>
      <c r="Q549" s="294"/>
      <c r="R549" s="298"/>
      <c r="S549" s="262">
        <v>46094</v>
      </c>
      <c r="T549" s="9"/>
      <c r="U549" s="9"/>
    </row>
    <row r="550" spans="1:21" hidden="1">
      <c r="A550" s="299">
        <f t="shared" si="10"/>
        <v>549</v>
      </c>
      <c r="B550" s="323">
        <v>46094</v>
      </c>
      <c r="C550" s="303" t="s">
        <v>4522</v>
      </c>
      <c r="D550" s="303" t="s">
        <v>183</v>
      </c>
      <c r="E550" s="303" t="s">
        <v>22</v>
      </c>
      <c r="F550" s="364" t="s">
        <v>73</v>
      </c>
      <c r="G550" s="316" t="s">
        <v>273</v>
      </c>
      <c r="H550" s="305">
        <v>9653232619</v>
      </c>
      <c r="I550" s="303" t="s">
        <v>4523</v>
      </c>
      <c r="J550" s="385" t="s">
        <v>567</v>
      </c>
      <c r="K550" s="303" t="s">
        <v>4524</v>
      </c>
      <c r="L550" s="303" t="s">
        <v>58</v>
      </c>
      <c r="M550" s="303" t="s">
        <v>50</v>
      </c>
      <c r="N550" s="303"/>
      <c r="O550" s="307"/>
      <c r="P550" s="375"/>
      <c r="Q550" s="305"/>
      <c r="R550" s="309"/>
      <c r="S550" s="262">
        <v>46094</v>
      </c>
      <c r="T550" s="9"/>
      <c r="U550" s="9"/>
    </row>
    <row r="551" spans="1:21" hidden="1">
      <c r="A551" s="288">
        <f>ROW()-1</f>
        <v>550</v>
      </c>
      <c r="B551" s="322">
        <v>46094</v>
      </c>
      <c r="C551" s="292" t="s">
        <v>4525</v>
      </c>
      <c r="D551" s="292" t="s">
        <v>4526</v>
      </c>
      <c r="E551" s="292" t="s">
        <v>214</v>
      </c>
      <c r="F551" s="366" t="s">
        <v>53</v>
      </c>
      <c r="G551" s="315" t="s">
        <v>4447</v>
      </c>
      <c r="H551" s="315">
        <v>9445003806</v>
      </c>
      <c r="I551" s="292"/>
      <c r="J551" s="292" t="s">
        <v>1698</v>
      </c>
      <c r="K551" s="292" t="s">
        <v>4527</v>
      </c>
      <c r="L551" s="292" t="s">
        <v>58</v>
      </c>
      <c r="M551" s="292" t="s">
        <v>50</v>
      </c>
      <c r="N551" s="292"/>
      <c r="O551" s="296"/>
      <c r="P551" s="403"/>
      <c r="Q551" s="294"/>
      <c r="R551" s="298"/>
      <c r="S551" s="262">
        <v>46094</v>
      </c>
      <c r="T551" s="9"/>
      <c r="U551" s="9"/>
    </row>
    <row r="552" spans="1:21" hidden="1">
      <c r="A552" s="299">
        <f t="shared" ref="A552:A564" si="11">ROW()-1</f>
        <v>551</v>
      </c>
      <c r="B552" s="323">
        <v>46094</v>
      </c>
      <c r="C552" s="303"/>
      <c r="D552" s="303" t="s">
        <v>2006</v>
      </c>
      <c r="E552" s="303" t="s">
        <v>725</v>
      </c>
      <c r="F552" s="364" t="s">
        <v>23</v>
      </c>
      <c r="G552" s="316" t="s">
        <v>127</v>
      </c>
      <c r="H552" s="305">
        <v>9544353666</v>
      </c>
      <c r="I552" s="303" t="s">
        <v>4528</v>
      </c>
      <c r="J552" s="305" t="s">
        <v>567</v>
      </c>
      <c r="K552" s="303" t="s">
        <v>4529</v>
      </c>
      <c r="L552" s="303" t="s">
        <v>58</v>
      </c>
      <c r="M552" s="303" t="s">
        <v>2623</v>
      </c>
      <c r="N552" s="303"/>
      <c r="O552" s="307"/>
      <c r="P552" s="375"/>
      <c r="Q552" s="305"/>
      <c r="R552" s="309"/>
      <c r="S552" s="262">
        <v>46094</v>
      </c>
      <c r="T552" s="9"/>
      <c r="U552" s="9"/>
    </row>
    <row r="553" spans="1:21" hidden="1">
      <c r="A553" s="288">
        <f t="shared" si="11"/>
        <v>552</v>
      </c>
      <c r="B553" s="322">
        <v>46094</v>
      </c>
      <c r="C553" s="292" t="s">
        <v>4530</v>
      </c>
      <c r="D553" s="292" t="s">
        <v>4531</v>
      </c>
      <c r="E553" s="292" t="s">
        <v>82</v>
      </c>
      <c r="F553" s="366" t="s">
        <v>73</v>
      </c>
      <c r="G553" s="315" t="s">
        <v>273</v>
      </c>
      <c r="H553" s="315">
        <v>9100756588</v>
      </c>
      <c r="I553" s="339"/>
      <c r="J553" s="294" t="s">
        <v>1698</v>
      </c>
      <c r="K553" s="292" t="s">
        <v>4532</v>
      </c>
      <c r="L553" s="292" t="s">
        <v>49</v>
      </c>
      <c r="M553" s="292" t="s">
        <v>50</v>
      </c>
      <c r="N553" s="292"/>
      <c r="O553" s="296"/>
      <c r="P553" s="403"/>
      <c r="Q553" s="294"/>
      <c r="R553" s="298"/>
      <c r="S553" s="262">
        <v>46094</v>
      </c>
      <c r="T553" s="9"/>
      <c r="U553" s="9"/>
    </row>
    <row r="554" spans="1:21" hidden="1">
      <c r="A554" s="299">
        <f t="shared" si="11"/>
        <v>553</v>
      </c>
      <c r="B554" s="323">
        <v>46094</v>
      </c>
      <c r="C554" s="303"/>
      <c r="D554" s="303" t="s">
        <v>4533</v>
      </c>
      <c r="E554" s="303" t="s">
        <v>3130</v>
      </c>
      <c r="F554" s="364" t="s">
        <v>73</v>
      </c>
      <c r="G554" s="316" t="s">
        <v>4534</v>
      </c>
      <c r="H554" s="305">
        <v>9731020627</v>
      </c>
      <c r="I554" s="314"/>
      <c r="J554" s="305" t="s">
        <v>567</v>
      </c>
      <c r="K554" s="303" t="s">
        <v>4535</v>
      </c>
      <c r="L554" s="303" t="s">
        <v>49</v>
      </c>
      <c r="M554" s="303" t="s">
        <v>50</v>
      </c>
      <c r="N554" s="303"/>
      <c r="O554" s="307"/>
      <c r="P554" s="375"/>
      <c r="Q554" s="305"/>
      <c r="R554" s="309"/>
      <c r="S554" s="262">
        <v>46094</v>
      </c>
      <c r="T554" s="9"/>
      <c r="U554" s="9"/>
    </row>
    <row r="555" spans="1:21" hidden="1">
      <c r="A555" s="288">
        <f t="shared" si="11"/>
        <v>554</v>
      </c>
      <c r="B555" s="322">
        <v>46094</v>
      </c>
      <c r="C555" s="292" t="s">
        <v>4536</v>
      </c>
      <c r="D555" s="292" t="s">
        <v>4537</v>
      </c>
      <c r="E555" s="292" t="s">
        <v>193</v>
      </c>
      <c r="F555" s="366" t="s">
        <v>60</v>
      </c>
      <c r="G555" s="315" t="s">
        <v>180</v>
      </c>
      <c r="H555" s="294">
        <v>9825932525</v>
      </c>
      <c r="I555" s="294" t="s">
        <v>4538</v>
      </c>
      <c r="J555" s="294" t="s">
        <v>122</v>
      </c>
      <c r="K555" s="292" t="s">
        <v>4539</v>
      </c>
      <c r="L555" s="292" t="s">
        <v>49</v>
      </c>
      <c r="M555" s="292" t="s">
        <v>40</v>
      </c>
      <c r="N555" s="292"/>
      <c r="O555" s="296"/>
      <c r="P555" s="403"/>
      <c r="Q555" s="294"/>
      <c r="R555" s="298"/>
      <c r="S555" s="262">
        <v>46094</v>
      </c>
      <c r="T555" s="9"/>
      <c r="U555" s="9"/>
    </row>
    <row r="556" spans="1:21" hidden="1">
      <c r="A556" s="299">
        <f t="shared" si="11"/>
        <v>555</v>
      </c>
      <c r="B556" s="323">
        <v>46094</v>
      </c>
      <c r="C556" s="303" t="s">
        <v>4540</v>
      </c>
      <c r="D556" s="303" t="s">
        <v>3011</v>
      </c>
      <c r="E556" s="303" t="s">
        <v>22</v>
      </c>
      <c r="F556" s="364" t="s">
        <v>23</v>
      </c>
      <c r="G556" s="316" t="s">
        <v>23</v>
      </c>
      <c r="H556" s="305">
        <v>9850103500</v>
      </c>
      <c r="I556" s="305" t="s">
        <v>4541</v>
      </c>
      <c r="J556" s="305" t="s">
        <v>1438</v>
      </c>
      <c r="K556" s="303" t="s">
        <v>182</v>
      </c>
      <c r="L556" s="303" t="s">
        <v>49</v>
      </c>
      <c r="M556" s="303" t="s">
        <v>2623</v>
      </c>
      <c r="N556" s="303"/>
      <c r="O556" s="307"/>
      <c r="P556" s="375"/>
      <c r="Q556" s="305"/>
      <c r="R556" s="309"/>
      <c r="S556" s="262">
        <v>46094</v>
      </c>
      <c r="T556" s="9"/>
      <c r="U556" s="9"/>
    </row>
    <row r="557" spans="1:21" hidden="1">
      <c r="A557" s="288">
        <f t="shared" si="11"/>
        <v>556</v>
      </c>
      <c r="B557" s="322">
        <v>46094</v>
      </c>
      <c r="C557" s="292"/>
      <c r="D557" s="292" t="s">
        <v>4542</v>
      </c>
      <c r="E557" s="292"/>
      <c r="F557" s="366" t="s">
        <v>60</v>
      </c>
      <c r="G557" s="315" t="s">
        <v>4543</v>
      </c>
      <c r="H557" s="294">
        <v>8082734824</v>
      </c>
      <c r="I557" s="295"/>
      <c r="J557" s="294" t="s">
        <v>56</v>
      </c>
      <c r="K557" s="292" t="s">
        <v>4544</v>
      </c>
      <c r="L557" s="292" t="s">
        <v>49</v>
      </c>
      <c r="M557" s="292" t="s">
        <v>40</v>
      </c>
      <c r="N557" s="292"/>
      <c r="O557" s="296"/>
      <c r="P557" s="403"/>
      <c r="Q557" s="294"/>
      <c r="R557" s="298"/>
      <c r="S557" s="262">
        <v>46094</v>
      </c>
      <c r="T557" s="9"/>
      <c r="U557" s="9"/>
    </row>
    <row r="558" spans="1:21" hidden="1">
      <c r="A558" s="299">
        <f t="shared" si="11"/>
        <v>557</v>
      </c>
      <c r="B558" s="323">
        <v>46094</v>
      </c>
      <c r="C558" s="303"/>
      <c r="D558" s="303" t="s">
        <v>4545</v>
      </c>
      <c r="E558" s="303" t="s">
        <v>143</v>
      </c>
      <c r="F558" s="303" t="s">
        <v>73</v>
      </c>
      <c r="G558" s="303" t="s">
        <v>3493</v>
      </c>
      <c r="H558" s="305">
        <v>9005240096</v>
      </c>
      <c r="I558" s="305" t="s">
        <v>4546</v>
      </c>
      <c r="J558" s="305" t="s">
        <v>567</v>
      </c>
      <c r="K558" s="303" t="s">
        <v>4547</v>
      </c>
      <c r="L558" s="303" t="s">
        <v>49</v>
      </c>
      <c r="M558" s="303" t="s">
        <v>2623</v>
      </c>
      <c r="N558" s="303"/>
      <c r="O558" s="307"/>
      <c r="P558" s="375"/>
      <c r="Q558" s="305"/>
      <c r="R558" s="309"/>
      <c r="S558" s="262">
        <v>46094</v>
      </c>
      <c r="T558" s="9"/>
      <c r="U558" s="9"/>
    </row>
    <row r="559" spans="1:21" hidden="1">
      <c r="A559" s="288">
        <f t="shared" si="11"/>
        <v>558</v>
      </c>
      <c r="B559" s="322">
        <v>46094</v>
      </c>
      <c r="C559" s="292" t="s">
        <v>4548</v>
      </c>
      <c r="D559" s="292" t="s">
        <v>4549</v>
      </c>
      <c r="E559" s="292" t="s">
        <v>3130</v>
      </c>
      <c r="F559" s="366" t="s">
        <v>60</v>
      </c>
      <c r="G559" s="292" t="s">
        <v>180</v>
      </c>
      <c r="H559" s="294">
        <v>9902411716</v>
      </c>
      <c r="I559" s="295"/>
      <c r="J559" s="294" t="s">
        <v>122</v>
      </c>
      <c r="K559" s="292" t="s">
        <v>4550</v>
      </c>
      <c r="L559" s="292" t="s">
        <v>49</v>
      </c>
      <c r="M559" s="292" t="s">
        <v>40</v>
      </c>
      <c r="N559" s="292"/>
      <c r="O559" s="296"/>
      <c r="P559" s="403"/>
      <c r="Q559" s="294"/>
      <c r="R559" s="298"/>
      <c r="S559" s="262">
        <v>46094</v>
      </c>
      <c r="T559" s="9"/>
      <c r="U559" s="9"/>
    </row>
    <row r="560" spans="1:21" hidden="1">
      <c r="A560" s="299">
        <f t="shared" si="11"/>
        <v>559</v>
      </c>
      <c r="B560" s="323">
        <v>46094</v>
      </c>
      <c r="C560" s="303"/>
      <c r="D560" s="303" t="s">
        <v>3626</v>
      </c>
      <c r="E560" s="303" t="s">
        <v>143</v>
      </c>
      <c r="F560" s="364" t="s">
        <v>73</v>
      </c>
      <c r="G560" s="303" t="s">
        <v>4165</v>
      </c>
      <c r="H560" s="305">
        <v>8810753573</v>
      </c>
      <c r="I560" s="305" t="s">
        <v>4551</v>
      </c>
      <c r="J560" s="305" t="s">
        <v>63</v>
      </c>
      <c r="K560" s="410" t="s">
        <v>4552</v>
      </c>
      <c r="L560" s="303" t="s">
        <v>49</v>
      </c>
      <c r="M560" s="303" t="s">
        <v>2623</v>
      </c>
      <c r="N560" s="303"/>
      <c r="O560" s="307"/>
      <c r="P560" s="375"/>
      <c r="Q560" s="305"/>
      <c r="R560" s="309"/>
      <c r="S560" s="262">
        <v>46094</v>
      </c>
      <c r="T560" s="9"/>
      <c r="U560" s="9"/>
    </row>
    <row r="561" spans="1:21" hidden="1">
      <c r="A561" s="288">
        <f t="shared" si="11"/>
        <v>560</v>
      </c>
      <c r="B561" s="322">
        <v>46094</v>
      </c>
      <c r="C561" s="292" t="s">
        <v>4553</v>
      </c>
      <c r="D561" s="292" t="s">
        <v>1042</v>
      </c>
      <c r="E561" s="292" t="s">
        <v>22</v>
      </c>
      <c r="F561" s="366" t="s">
        <v>83</v>
      </c>
      <c r="G561" s="292" t="s">
        <v>852</v>
      </c>
      <c r="H561" s="294"/>
      <c r="I561" s="295"/>
      <c r="J561" s="318" t="s">
        <v>1438</v>
      </c>
      <c r="K561" s="292" t="s">
        <v>4554</v>
      </c>
      <c r="L561" s="292" t="s">
        <v>49</v>
      </c>
      <c r="M561" s="292" t="s">
        <v>2623</v>
      </c>
      <c r="N561" s="292"/>
      <c r="O561" s="296"/>
      <c r="P561" s="403"/>
      <c r="Q561" s="294"/>
      <c r="R561" s="298"/>
      <c r="S561" s="262">
        <v>46094</v>
      </c>
      <c r="T561" s="9"/>
      <c r="U561" s="9"/>
    </row>
    <row r="562" spans="1:21" hidden="1">
      <c r="A562" s="299">
        <f t="shared" si="11"/>
        <v>561</v>
      </c>
      <c r="B562" s="323">
        <v>46094</v>
      </c>
      <c r="C562" s="303"/>
      <c r="D562" s="303" t="s">
        <v>4555</v>
      </c>
      <c r="E562" s="303" t="s">
        <v>193</v>
      </c>
      <c r="F562" s="364" t="s">
        <v>73</v>
      </c>
      <c r="G562" s="303" t="s">
        <v>878</v>
      </c>
      <c r="H562" s="305">
        <v>9898742870</v>
      </c>
      <c r="I562" s="314"/>
      <c r="J562" s="305" t="s">
        <v>567</v>
      </c>
      <c r="K562" s="303" t="s">
        <v>4556</v>
      </c>
      <c r="L562" s="303" t="s">
        <v>49</v>
      </c>
      <c r="M562" s="303" t="s">
        <v>2623</v>
      </c>
      <c r="N562" s="303"/>
      <c r="O562" s="307"/>
      <c r="P562" s="375"/>
      <c r="Q562" s="305"/>
      <c r="R562" s="309"/>
      <c r="S562" s="262">
        <v>46094</v>
      </c>
      <c r="T562" s="9"/>
      <c r="U562" s="9"/>
    </row>
    <row r="563" spans="1:21" hidden="1">
      <c r="A563" s="288">
        <f t="shared" si="11"/>
        <v>562</v>
      </c>
      <c r="B563" s="322">
        <v>46094</v>
      </c>
      <c r="C563" s="292" t="s">
        <v>4557</v>
      </c>
      <c r="D563" s="292" t="s">
        <v>4558</v>
      </c>
      <c r="E563" s="292" t="s">
        <v>82</v>
      </c>
      <c r="F563" s="366" t="s">
        <v>60</v>
      </c>
      <c r="G563" s="292" t="s">
        <v>4559</v>
      </c>
      <c r="H563" s="294">
        <v>9500422521</v>
      </c>
      <c r="I563" s="294" t="s">
        <v>4560</v>
      </c>
      <c r="J563" s="294" t="s">
        <v>567</v>
      </c>
      <c r="K563" s="292" t="s">
        <v>4561</v>
      </c>
      <c r="L563" s="292" t="s">
        <v>49</v>
      </c>
      <c r="M563" s="292" t="s">
        <v>40</v>
      </c>
      <c r="N563" s="292"/>
      <c r="O563" s="296"/>
      <c r="P563" s="403"/>
      <c r="Q563" s="294"/>
      <c r="R563" s="298"/>
      <c r="S563" s="262">
        <v>46094</v>
      </c>
      <c r="T563" s="9"/>
      <c r="U563" s="9"/>
    </row>
    <row r="564" spans="1:21" hidden="1">
      <c r="A564" s="299">
        <f t="shared" si="11"/>
        <v>563</v>
      </c>
      <c r="B564" s="323">
        <v>46094</v>
      </c>
      <c r="C564" s="323" t="s">
        <v>4562</v>
      </c>
      <c r="D564" s="323" t="s">
        <v>4563</v>
      </c>
      <c r="E564" s="323" t="s">
        <v>22</v>
      </c>
      <c r="F564" s="323" t="s">
        <v>60</v>
      </c>
      <c r="G564" s="323" t="s">
        <v>180</v>
      </c>
      <c r="H564" s="305">
        <v>9300971211</v>
      </c>
      <c r="I564" s="305" t="s">
        <v>4564</v>
      </c>
      <c r="J564" s="385" t="s">
        <v>63</v>
      </c>
      <c r="K564" s="323"/>
      <c r="L564" s="323" t="s">
        <v>49</v>
      </c>
      <c r="M564" s="323" t="s">
        <v>40</v>
      </c>
      <c r="N564" s="323"/>
      <c r="O564" s="323"/>
      <c r="P564" s="323"/>
      <c r="Q564" s="305"/>
      <c r="R564" s="386"/>
      <c r="S564" s="262">
        <v>46094</v>
      </c>
      <c r="T564" s="29"/>
      <c r="U564" s="9"/>
    </row>
    <row r="565" spans="1:21" hidden="1">
      <c r="A565" s="292">
        <f>ROW()-1</f>
        <v>564</v>
      </c>
      <c r="B565" s="322">
        <v>46095</v>
      </c>
      <c r="C565" s="292" t="s">
        <v>134</v>
      </c>
      <c r="D565" s="292" t="s">
        <v>2762</v>
      </c>
      <c r="E565" s="292" t="s">
        <v>22</v>
      </c>
      <c r="F565" s="292" t="s">
        <v>60</v>
      </c>
      <c r="G565" s="292" t="s">
        <v>180</v>
      </c>
      <c r="H565" s="294">
        <v>8766460470</v>
      </c>
      <c r="I565" s="292" t="s">
        <v>4565</v>
      </c>
      <c r="J565" s="294" t="s">
        <v>56</v>
      </c>
      <c r="K565" s="292" t="s">
        <v>137</v>
      </c>
      <c r="L565" s="292" t="s">
        <v>49</v>
      </c>
      <c r="M565" s="292" t="s">
        <v>40</v>
      </c>
      <c r="N565" s="292"/>
      <c r="O565" s="292"/>
      <c r="P565" s="292"/>
      <c r="Q565" s="294"/>
      <c r="R565" s="298"/>
      <c r="S565" s="262">
        <v>46095</v>
      </c>
      <c r="T565" s="30"/>
      <c r="U565" s="9"/>
    </row>
    <row r="566" spans="1:21" hidden="1">
      <c r="A566" s="303">
        <f t="shared" ref="A566:A573" si="12">ROW()-1</f>
        <v>565</v>
      </c>
      <c r="B566" s="323">
        <v>46095</v>
      </c>
      <c r="C566" s="303"/>
      <c r="D566" s="303" t="s">
        <v>2762</v>
      </c>
      <c r="E566" s="303" t="s">
        <v>22</v>
      </c>
      <c r="F566" s="303" t="s">
        <v>60</v>
      </c>
      <c r="G566" s="303" t="s">
        <v>244</v>
      </c>
      <c r="H566" s="305">
        <v>8796403555</v>
      </c>
      <c r="I566" s="303" t="s">
        <v>4566</v>
      </c>
      <c r="J566" s="305" t="s">
        <v>122</v>
      </c>
      <c r="K566" s="303" t="s">
        <v>4567</v>
      </c>
      <c r="L566" s="303" t="s">
        <v>49</v>
      </c>
      <c r="M566" s="303" t="s">
        <v>40</v>
      </c>
      <c r="N566" s="303"/>
      <c r="O566" s="303"/>
      <c r="P566" s="303"/>
      <c r="Q566" s="305"/>
      <c r="R566" s="309"/>
      <c r="S566" s="262">
        <v>46095</v>
      </c>
      <c r="T566" s="30"/>
      <c r="U566" s="9"/>
    </row>
    <row r="567" spans="1:21" hidden="1">
      <c r="A567" s="292">
        <f t="shared" si="12"/>
        <v>566</v>
      </c>
      <c r="B567" s="322">
        <v>46095</v>
      </c>
      <c r="C567" s="292" t="s">
        <v>4568</v>
      </c>
      <c r="D567" s="292" t="s">
        <v>4569</v>
      </c>
      <c r="E567" s="292" t="s">
        <v>82</v>
      </c>
      <c r="F567" s="292" t="s">
        <v>60</v>
      </c>
      <c r="G567" s="292" t="s">
        <v>180</v>
      </c>
      <c r="H567" s="294">
        <v>9042510466</v>
      </c>
      <c r="I567" s="292" t="s">
        <v>4570</v>
      </c>
      <c r="J567" s="294" t="s">
        <v>567</v>
      </c>
      <c r="K567" s="292" t="s">
        <v>4571</v>
      </c>
      <c r="L567" s="292" t="s">
        <v>49</v>
      </c>
      <c r="M567" s="292" t="s">
        <v>40</v>
      </c>
      <c r="N567" s="292"/>
      <c r="O567" s="292"/>
      <c r="P567" s="292"/>
      <c r="Q567" s="294"/>
      <c r="R567" s="298"/>
      <c r="S567" s="262">
        <v>46095</v>
      </c>
      <c r="T567" s="30"/>
      <c r="U567" s="9"/>
    </row>
    <row r="568" spans="1:21" hidden="1">
      <c r="A568" s="303">
        <f t="shared" si="12"/>
        <v>567</v>
      </c>
      <c r="B568" s="323">
        <v>46095</v>
      </c>
      <c r="C568" s="303" t="s">
        <v>4572</v>
      </c>
      <c r="D568" s="303" t="s">
        <v>4573</v>
      </c>
      <c r="E568" s="303" t="s">
        <v>416</v>
      </c>
      <c r="F568" s="303" t="s">
        <v>23</v>
      </c>
      <c r="G568" s="303" t="s">
        <v>127</v>
      </c>
      <c r="H568" s="316">
        <v>8724039859</v>
      </c>
      <c r="I568" s="316" t="s">
        <v>4574</v>
      </c>
      <c r="J568" s="305" t="s">
        <v>1698</v>
      </c>
      <c r="K568" s="303" t="s">
        <v>4575</v>
      </c>
      <c r="L568" s="303" t="s">
        <v>49</v>
      </c>
      <c r="M568" s="303" t="s">
        <v>50</v>
      </c>
      <c r="N568" s="303"/>
      <c r="O568" s="303"/>
      <c r="P568" s="303"/>
      <c r="Q568" s="305"/>
      <c r="R568" s="309"/>
      <c r="S568" s="262">
        <v>46095</v>
      </c>
      <c r="T568" s="30"/>
      <c r="U568" s="9"/>
    </row>
    <row r="569" spans="1:21" hidden="1">
      <c r="A569" s="288">
        <f t="shared" si="12"/>
        <v>568</v>
      </c>
      <c r="B569" s="322">
        <v>46095</v>
      </c>
      <c r="C569" s="292" t="s">
        <v>4576</v>
      </c>
      <c r="D569" s="292" t="s">
        <v>4577</v>
      </c>
      <c r="E569" s="322" t="s">
        <v>595</v>
      </c>
      <c r="F569" s="292" t="s">
        <v>44</v>
      </c>
      <c r="G569" s="292" t="s">
        <v>4433</v>
      </c>
      <c r="H569" s="294">
        <v>8172077406</v>
      </c>
      <c r="I569" s="292" t="s">
        <v>4578</v>
      </c>
      <c r="J569" s="294" t="s">
        <v>122</v>
      </c>
      <c r="K569" s="292" t="s">
        <v>4579</v>
      </c>
      <c r="L569" s="292" t="s">
        <v>49</v>
      </c>
      <c r="M569" s="292" t="s">
        <v>2623</v>
      </c>
      <c r="N569" s="292"/>
      <c r="O569" s="296"/>
      <c r="P569" s="403"/>
      <c r="Q569" s="294"/>
      <c r="R569" s="298"/>
      <c r="S569" s="262">
        <v>46095</v>
      </c>
      <c r="T569" s="9"/>
      <c r="U569" s="9"/>
    </row>
    <row r="570" spans="1:21" hidden="1">
      <c r="A570" s="299">
        <f t="shared" si="12"/>
        <v>569</v>
      </c>
      <c r="B570" s="323">
        <v>46095</v>
      </c>
      <c r="C570" s="303" t="s">
        <v>4580</v>
      </c>
      <c r="D570" s="303" t="s">
        <v>2981</v>
      </c>
      <c r="E570" s="323" t="s">
        <v>22</v>
      </c>
      <c r="F570" s="303" t="s">
        <v>73</v>
      </c>
      <c r="G570" s="323" t="s">
        <v>273</v>
      </c>
      <c r="H570" s="316">
        <v>9822567200</v>
      </c>
      <c r="I570" s="356" t="s">
        <v>4581</v>
      </c>
      <c r="J570" s="364" t="s">
        <v>1698</v>
      </c>
      <c r="K570" s="303"/>
      <c r="L570" s="303" t="s">
        <v>58</v>
      </c>
      <c r="M570" s="303" t="s">
        <v>50</v>
      </c>
      <c r="N570" s="303"/>
      <c r="O570" s="307"/>
      <c r="P570" s="375"/>
      <c r="Q570" s="305"/>
      <c r="R570" s="309"/>
      <c r="S570" s="262">
        <v>46095</v>
      </c>
      <c r="T570" s="9"/>
      <c r="U570" s="9"/>
    </row>
    <row r="571" spans="1:21" hidden="1">
      <c r="A571" s="288">
        <f t="shared" si="12"/>
        <v>570</v>
      </c>
      <c r="B571" s="322">
        <v>46095</v>
      </c>
      <c r="C571" s="292" t="s">
        <v>4582</v>
      </c>
      <c r="D571" s="292" t="s">
        <v>4515</v>
      </c>
      <c r="E571" s="322" t="s">
        <v>595</v>
      </c>
      <c r="F571" s="292" t="s">
        <v>73</v>
      </c>
      <c r="G571" s="292" t="s">
        <v>73</v>
      </c>
      <c r="H571" s="294">
        <v>7980876564</v>
      </c>
      <c r="I571" s="292" t="s">
        <v>4583</v>
      </c>
      <c r="J571" s="294" t="s">
        <v>122</v>
      </c>
      <c r="K571" s="292" t="s">
        <v>4584</v>
      </c>
      <c r="L571" s="292" t="s">
        <v>58</v>
      </c>
      <c r="M571" s="292" t="s">
        <v>2623</v>
      </c>
      <c r="N571" s="292"/>
      <c r="O571" s="296"/>
      <c r="P571" s="403"/>
      <c r="Q571" s="294"/>
      <c r="R571" s="298"/>
      <c r="S571" s="262">
        <v>46095</v>
      </c>
      <c r="T571" s="9"/>
      <c r="U571" s="9"/>
    </row>
    <row r="572" spans="1:21" hidden="1">
      <c r="A572" s="299">
        <f t="shared" si="12"/>
        <v>571</v>
      </c>
      <c r="B572" s="323">
        <v>46095</v>
      </c>
      <c r="C572" s="323" t="s">
        <v>4585</v>
      </c>
      <c r="D572" s="303" t="s">
        <v>1490</v>
      </c>
      <c r="E572" s="303"/>
      <c r="F572" s="303" t="s">
        <v>73</v>
      </c>
      <c r="G572" s="323" t="s">
        <v>273</v>
      </c>
      <c r="H572" s="305">
        <v>9706062654</v>
      </c>
      <c r="I572" s="303" t="s">
        <v>4586</v>
      </c>
      <c r="J572" s="411" t="s">
        <v>567</v>
      </c>
      <c r="K572" s="303" t="s">
        <v>4587</v>
      </c>
      <c r="L572" s="303" t="s">
        <v>58</v>
      </c>
      <c r="M572" s="303" t="s">
        <v>50</v>
      </c>
      <c r="N572" s="303"/>
      <c r="O572" s="307"/>
      <c r="P572" s="375"/>
      <c r="Q572" s="305"/>
      <c r="R572" s="309"/>
      <c r="S572" s="262">
        <v>46095</v>
      </c>
      <c r="T572" s="9"/>
      <c r="U572" s="9"/>
    </row>
    <row r="573" spans="1:21" hidden="1">
      <c r="A573" s="288">
        <f t="shared" si="12"/>
        <v>572</v>
      </c>
      <c r="B573" s="322">
        <v>46095</v>
      </c>
      <c r="C573" s="322" t="s">
        <v>4588</v>
      </c>
      <c r="D573" s="292" t="s">
        <v>749</v>
      </c>
      <c r="E573" s="292" t="s">
        <v>214</v>
      </c>
      <c r="F573" s="292" t="s">
        <v>73</v>
      </c>
      <c r="G573" s="322" t="s">
        <v>273</v>
      </c>
      <c r="H573" s="294">
        <v>9848051893</v>
      </c>
      <c r="I573" s="292" t="s">
        <v>4589</v>
      </c>
      <c r="J573" s="366" t="s">
        <v>567</v>
      </c>
      <c r="K573" s="292" t="s">
        <v>4590</v>
      </c>
      <c r="L573" s="292" t="s">
        <v>58</v>
      </c>
      <c r="M573" s="292" t="s">
        <v>50</v>
      </c>
      <c r="N573" s="292"/>
      <c r="O573" s="296"/>
      <c r="P573" s="403"/>
      <c r="Q573" s="294"/>
      <c r="R573" s="298"/>
      <c r="S573" s="262">
        <v>46095</v>
      </c>
      <c r="T573" s="9"/>
      <c r="U573" s="9"/>
    </row>
    <row r="574" spans="1:21" hidden="1">
      <c r="A574" s="299">
        <f>ROW()-1</f>
        <v>573</v>
      </c>
      <c r="B574" s="323">
        <v>46095</v>
      </c>
      <c r="C574" s="323" t="s">
        <v>4591</v>
      </c>
      <c r="D574" s="303" t="s">
        <v>4515</v>
      </c>
      <c r="E574" s="323" t="s">
        <v>595</v>
      </c>
      <c r="F574" s="303" t="s">
        <v>73</v>
      </c>
      <c r="G574" s="323" t="s">
        <v>273</v>
      </c>
      <c r="H574" s="305">
        <v>9830089876</v>
      </c>
      <c r="I574" s="303" t="s">
        <v>4592</v>
      </c>
      <c r="J574" s="305" t="s">
        <v>122</v>
      </c>
      <c r="K574" s="303" t="s">
        <v>4593</v>
      </c>
      <c r="L574" s="303" t="s">
        <v>58</v>
      </c>
      <c r="M574" s="303" t="s">
        <v>2623</v>
      </c>
      <c r="N574" s="303"/>
      <c r="O574" s="307"/>
      <c r="P574" s="375"/>
      <c r="Q574" s="305"/>
      <c r="R574" s="309"/>
      <c r="S574" s="262">
        <v>46095</v>
      </c>
      <c r="T574" s="9"/>
      <c r="U574" s="9"/>
    </row>
    <row r="575" spans="1:21" hidden="1">
      <c r="A575" s="292">
        <f>ROW()-1</f>
        <v>574</v>
      </c>
      <c r="B575" s="322">
        <v>46095</v>
      </c>
      <c r="C575" s="292"/>
      <c r="D575" s="292" t="s">
        <v>4594</v>
      </c>
      <c r="E575" s="292" t="s">
        <v>22</v>
      </c>
      <c r="F575" s="292" t="s">
        <v>73</v>
      </c>
      <c r="G575" s="292" t="s">
        <v>273</v>
      </c>
      <c r="H575" s="315">
        <v>7566464807</v>
      </c>
      <c r="I575" s="292"/>
      <c r="J575" s="292" t="s">
        <v>1698</v>
      </c>
      <c r="K575" s="292"/>
      <c r="L575" s="292" t="s">
        <v>58</v>
      </c>
      <c r="M575" s="292" t="s">
        <v>50</v>
      </c>
      <c r="N575" s="292"/>
      <c r="O575" s="292"/>
      <c r="P575" s="292"/>
      <c r="Q575" s="294"/>
      <c r="R575" s="298"/>
      <c r="S575" s="262">
        <v>46095</v>
      </c>
      <c r="T575" s="30"/>
      <c r="U575" s="9"/>
    </row>
    <row r="576" spans="1:21" hidden="1">
      <c r="A576" s="299">
        <f>ROW()-1</f>
        <v>575</v>
      </c>
      <c r="B576" s="323">
        <v>46095</v>
      </c>
      <c r="C576" s="323" t="s">
        <v>4595</v>
      </c>
      <c r="D576" s="303" t="s">
        <v>655</v>
      </c>
      <c r="E576" s="303" t="s">
        <v>82</v>
      </c>
      <c r="F576" s="303" t="s">
        <v>73</v>
      </c>
      <c r="G576" s="303" t="s">
        <v>273</v>
      </c>
      <c r="H576" s="305">
        <v>9901682997</v>
      </c>
      <c r="I576" s="303" t="s">
        <v>4596</v>
      </c>
      <c r="J576" s="305" t="s">
        <v>567</v>
      </c>
      <c r="K576" s="303" t="s">
        <v>4597</v>
      </c>
      <c r="L576" s="303" t="s">
        <v>58</v>
      </c>
      <c r="M576" s="303" t="s">
        <v>50</v>
      </c>
      <c r="N576" s="303"/>
      <c r="O576" s="307"/>
      <c r="P576" s="375"/>
      <c r="Q576" s="305"/>
      <c r="R576" s="309"/>
      <c r="S576" s="262">
        <v>46095</v>
      </c>
      <c r="T576" s="9"/>
      <c r="U576" s="9"/>
    </row>
    <row r="577" spans="1:21" hidden="1">
      <c r="A577" s="288">
        <f t="shared" ref="A577:A603" si="13">ROW()-1</f>
        <v>576</v>
      </c>
      <c r="B577" s="322">
        <v>46095</v>
      </c>
      <c r="C577" s="322" t="s">
        <v>4598</v>
      </c>
      <c r="D577" s="292" t="s">
        <v>4599</v>
      </c>
      <c r="E577" s="292" t="s">
        <v>22</v>
      </c>
      <c r="F577" s="292" t="s">
        <v>60</v>
      </c>
      <c r="G577" s="292" t="s">
        <v>180</v>
      </c>
      <c r="H577" s="294">
        <v>9422620543</v>
      </c>
      <c r="I577" s="292" t="s">
        <v>4600</v>
      </c>
      <c r="J577" s="294" t="s">
        <v>567</v>
      </c>
      <c r="K577" s="292" t="s">
        <v>4601</v>
      </c>
      <c r="L577" s="292" t="s">
        <v>58</v>
      </c>
      <c r="M577" s="292" t="s">
        <v>40</v>
      </c>
      <c r="N577" s="292"/>
      <c r="O577" s="296"/>
      <c r="P577" s="403"/>
      <c r="Q577" s="294"/>
      <c r="R577" s="298"/>
      <c r="S577" s="262">
        <v>46095</v>
      </c>
      <c r="T577" s="9"/>
      <c r="U577" s="9"/>
    </row>
    <row r="578" spans="1:21">
      <c r="A578" s="299">
        <f>ROW()-1</f>
        <v>577</v>
      </c>
      <c r="B578" s="323">
        <v>46095</v>
      </c>
      <c r="C578" s="364" t="s">
        <v>3965</v>
      </c>
      <c r="D578" s="303" t="s">
        <v>21</v>
      </c>
      <c r="E578" s="303" t="s">
        <v>22</v>
      </c>
      <c r="F578" s="303" t="s">
        <v>1239</v>
      </c>
      <c r="G578" s="316" t="s">
        <v>4602</v>
      </c>
      <c r="H578" s="316"/>
      <c r="I578" s="361" t="s">
        <v>1643</v>
      </c>
      <c r="J578" s="305" t="s">
        <v>1698</v>
      </c>
      <c r="K578" s="303" t="s">
        <v>4603</v>
      </c>
      <c r="L578" s="303" t="s">
        <v>27</v>
      </c>
      <c r="M578" s="303" t="s">
        <v>28</v>
      </c>
      <c r="N578" s="303" t="s">
        <v>4604</v>
      </c>
      <c r="O578" s="307">
        <v>46095</v>
      </c>
      <c r="P578" s="313">
        <v>700000</v>
      </c>
      <c r="Q578" s="305" t="s">
        <v>70</v>
      </c>
      <c r="R578" s="309"/>
      <c r="S578" s="262">
        <v>46095</v>
      </c>
      <c r="T578" s="9"/>
      <c r="U578" s="9"/>
    </row>
    <row r="579" spans="1:21" ht="45" hidden="1">
      <c r="A579" s="288">
        <f>ROW()-1</f>
        <v>578</v>
      </c>
      <c r="B579" s="322">
        <v>46095</v>
      </c>
      <c r="C579" s="366" t="s">
        <v>4605</v>
      </c>
      <c r="D579" s="292" t="s">
        <v>2780</v>
      </c>
      <c r="E579" s="292" t="s">
        <v>22</v>
      </c>
      <c r="F579" s="292" t="s">
        <v>73</v>
      </c>
      <c r="G579" s="339" t="s">
        <v>1860</v>
      </c>
      <c r="H579" s="315"/>
      <c r="I579" s="390" t="s">
        <v>4606</v>
      </c>
      <c r="J579" s="294" t="s">
        <v>1698</v>
      </c>
      <c r="K579" s="292" t="s">
        <v>4607</v>
      </c>
      <c r="L579" s="292" t="s">
        <v>117</v>
      </c>
      <c r="M579" s="292" t="s">
        <v>50</v>
      </c>
      <c r="N579" s="292" t="s">
        <v>4608</v>
      </c>
      <c r="O579" s="296">
        <v>46095</v>
      </c>
      <c r="P579" s="319">
        <v>1973532.63</v>
      </c>
      <c r="Q579" s="294" t="s">
        <v>70</v>
      </c>
      <c r="R579" s="298"/>
      <c r="S579" s="262">
        <v>46095</v>
      </c>
      <c r="T579" s="9"/>
      <c r="U579" s="9"/>
    </row>
    <row r="580" spans="1:21" ht="45" hidden="1">
      <c r="A580" s="299">
        <f>ROW()-1</f>
        <v>579</v>
      </c>
      <c r="B580" s="323">
        <v>46095</v>
      </c>
      <c r="C580" s="364" t="s">
        <v>4609</v>
      </c>
      <c r="D580" s="303" t="s">
        <v>158</v>
      </c>
      <c r="E580" s="303" t="s">
        <v>22</v>
      </c>
      <c r="F580" s="303" t="s">
        <v>60</v>
      </c>
      <c r="G580" s="314" t="s">
        <v>3871</v>
      </c>
      <c r="H580" s="316"/>
      <c r="I580" s="353" t="s">
        <v>4610</v>
      </c>
      <c r="J580" s="305" t="s">
        <v>1698</v>
      </c>
      <c r="K580" s="303"/>
      <c r="L580" s="303" t="s">
        <v>27</v>
      </c>
      <c r="M580" s="303" t="s">
        <v>40</v>
      </c>
      <c r="N580" s="303" t="s">
        <v>4611</v>
      </c>
      <c r="O580" s="307">
        <v>46095</v>
      </c>
      <c r="P580" s="412">
        <v>164588</v>
      </c>
      <c r="Q580" s="305" t="s">
        <v>70</v>
      </c>
      <c r="R580" s="309"/>
      <c r="S580" s="262">
        <v>46095</v>
      </c>
      <c r="T580" s="9"/>
      <c r="U580" s="9"/>
    </row>
    <row r="581" spans="1:21" hidden="1">
      <c r="A581" s="288">
        <f t="shared" si="13"/>
        <v>580</v>
      </c>
      <c r="B581" s="322">
        <v>46096</v>
      </c>
      <c r="C581" s="322" t="s">
        <v>4612</v>
      </c>
      <c r="D581" s="322" t="s">
        <v>4613</v>
      </c>
      <c r="E581" s="322" t="s">
        <v>3130</v>
      </c>
      <c r="F581" s="322" t="s">
        <v>32</v>
      </c>
      <c r="G581" s="322" t="s">
        <v>4614</v>
      </c>
      <c r="H581" s="294">
        <v>9035545189</v>
      </c>
      <c r="I581" s="292" t="s">
        <v>4615</v>
      </c>
      <c r="J581" s="402" t="s">
        <v>1698</v>
      </c>
      <c r="K581" s="292" t="s">
        <v>4616</v>
      </c>
      <c r="L581" s="322" t="s">
        <v>49</v>
      </c>
      <c r="M581" s="322" t="s">
        <v>50</v>
      </c>
      <c r="N581" s="322"/>
      <c r="O581" s="322"/>
      <c r="P581" s="322"/>
      <c r="Q581" s="294"/>
      <c r="R581" s="388"/>
      <c r="S581" s="262">
        <v>46096</v>
      </c>
      <c r="T581" s="29"/>
      <c r="U581" s="9"/>
    </row>
    <row r="582" spans="1:21" hidden="1">
      <c r="A582" s="299">
        <f t="shared" si="13"/>
        <v>581</v>
      </c>
      <c r="B582" s="323">
        <v>46096</v>
      </c>
      <c r="C582" s="364" t="s">
        <v>4617</v>
      </c>
      <c r="D582" s="323" t="s">
        <v>4618</v>
      </c>
      <c r="E582" s="303" t="s">
        <v>143</v>
      </c>
      <c r="F582" s="303" t="s">
        <v>73</v>
      </c>
      <c r="G582" s="323" t="s">
        <v>878</v>
      </c>
      <c r="H582" s="305">
        <v>7303235106</v>
      </c>
      <c r="I582" s="303" t="s">
        <v>4619</v>
      </c>
      <c r="J582" s="305" t="s">
        <v>122</v>
      </c>
      <c r="K582" s="303" t="s">
        <v>4620</v>
      </c>
      <c r="L582" s="303" t="s">
        <v>49</v>
      </c>
      <c r="M582" s="303" t="s">
        <v>2623</v>
      </c>
      <c r="N582" s="303"/>
      <c r="O582" s="307"/>
      <c r="P582" s="375"/>
      <c r="Q582" s="305"/>
      <c r="R582" s="309"/>
      <c r="S582" s="262">
        <v>46096</v>
      </c>
      <c r="T582" s="9"/>
      <c r="U582" s="9"/>
    </row>
    <row r="583" spans="1:21" hidden="1">
      <c r="A583" s="288">
        <f t="shared" si="13"/>
        <v>582</v>
      </c>
      <c r="B583" s="322">
        <v>46096</v>
      </c>
      <c r="C583" s="366"/>
      <c r="D583" s="292" t="s">
        <v>4621</v>
      </c>
      <c r="E583" s="292" t="s">
        <v>514</v>
      </c>
      <c r="F583" s="292" t="s">
        <v>44</v>
      </c>
      <c r="G583" s="322" t="s">
        <v>4622</v>
      </c>
      <c r="H583" s="294">
        <v>8114520146</v>
      </c>
      <c r="I583" s="295"/>
      <c r="J583" s="294" t="s">
        <v>567</v>
      </c>
      <c r="K583" s="292" t="s">
        <v>4623</v>
      </c>
      <c r="L583" s="292" t="s">
        <v>49</v>
      </c>
      <c r="M583" s="292" t="s">
        <v>50</v>
      </c>
      <c r="N583" s="292"/>
      <c r="O583" s="296"/>
      <c r="P583" s="403"/>
      <c r="Q583" s="294"/>
      <c r="R583" s="298"/>
      <c r="S583" s="262">
        <v>46096</v>
      </c>
      <c r="T583" s="9"/>
      <c r="U583" s="9"/>
    </row>
    <row r="584" spans="1:21" hidden="1">
      <c r="A584" s="299">
        <f t="shared" si="13"/>
        <v>583</v>
      </c>
      <c r="B584" s="323">
        <v>46096</v>
      </c>
      <c r="C584" s="364"/>
      <c r="D584" s="303" t="s">
        <v>4624</v>
      </c>
      <c r="E584" s="303" t="s">
        <v>3130</v>
      </c>
      <c r="F584" s="303" t="s">
        <v>23</v>
      </c>
      <c r="G584" s="323" t="s">
        <v>127</v>
      </c>
      <c r="H584" s="305">
        <v>9902308075</v>
      </c>
      <c r="I584" s="303" t="s">
        <v>4625</v>
      </c>
      <c r="J584" s="305" t="s">
        <v>63</v>
      </c>
      <c r="K584" s="303" t="s">
        <v>4626</v>
      </c>
      <c r="L584" s="303" t="s">
        <v>49</v>
      </c>
      <c r="M584" s="303" t="s">
        <v>50</v>
      </c>
      <c r="N584" s="303"/>
      <c r="O584" s="307"/>
      <c r="P584" s="375"/>
      <c r="Q584" s="305"/>
      <c r="R584" s="309"/>
      <c r="S584" s="262">
        <v>46096</v>
      </c>
      <c r="T584" s="9"/>
      <c r="U584" s="9"/>
    </row>
    <row r="585" spans="1:21" hidden="1">
      <c r="A585" s="288">
        <f t="shared" si="13"/>
        <v>584</v>
      </c>
      <c r="B585" s="322">
        <v>46096</v>
      </c>
      <c r="C585" s="366" t="s">
        <v>4627</v>
      </c>
      <c r="D585" s="292" t="s">
        <v>4628</v>
      </c>
      <c r="E585" s="292" t="s">
        <v>22</v>
      </c>
      <c r="F585" s="292" t="s">
        <v>23</v>
      </c>
      <c r="G585" s="322" t="s">
        <v>188</v>
      </c>
      <c r="H585" s="294">
        <v>8855074015</v>
      </c>
      <c r="I585" s="292" t="s">
        <v>4629</v>
      </c>
      <c r="J585" s="294" t="s">
        <v>122</v>
      </c>
      <c r="K585" s="292"/>
      <c r="L585" s="292" t="s">
        <v>49</v>
      </c>
      <c r="M585" s="292" t="s">
        <v>2623</v>
      </c>
      <c r="N585" s="292"/>
      <c r="O585" s="296"/>
      <c r="P585" s="403"/>
      <c r="Q585" s="294"/>
      <c r="R585" s="298"/>
      <c r="S585" s="262">
        <v>46096</v>
      </c>
      <c r="T585" s="9"/>
      <c r="U585" s="9"/>
    </row>
    <row r="586" spans="1:21" hidden="1">
      <c r="A586" s="299">
        <f t="shared" si="13"/>
        <v>585</v>
      </c>
      <c r="B586" s="323">
        <v>46097</v>
      </c>
      <c r="C586" s="364" t="s">
        <v>4630</v>
      </c>
      <c r="D586" s="303" t="s">
        <v>4631</v>
      </c>
      <c r="E586" s="303" t="s">
        <v>162</v>
      </c>
      <c r="F586" s="303" t="s">
        <v>23</v>
      </c>
      <c r="G586" s="303" t="s">
        <v>23</v>
      </c>
      <c r="H586" s="305">
        <v>9893031557</v>
      </c>
      <c r="I586" s="314"/>
      <c r="J586" s="305" t="s">
        <v>1113</v>
      </c>
      <c r="K586" s="303" t="s">
        <v>4632</v>
      </c>
      <c r="L586" s="303" t="s">
        <v>49</v>
      </c>
      <c r="M586" s="303" t="s">
        <v>50</v>
      </c>
      <c r="N586" s="303"/>
      <c r="O586" s="307"/>
      <c r="P586" s="375"/>
      <c r="Q586" s="305"/>
      <c r="R586" s="309"/>
      <c r="S586" s="262">
        <v>46097</v>
      </c>
      <c r="T586" s="9"/>
      <c r="U586" s="9"/>
    </row>
    <row r="587" spans="1:21" hidden="1">
      <c r="A587" s="288">
        <f t="shared" si="13"/>
        <v>586</v>
      </c>
      <c r="B587" s="322">
        <v>46097</v>
      </c>
      <c r="C587" s="366" t="s">
        <v>4633</v>
      </c>
      <c r="D587" s="292" t="s">
        <v>4634</v>
      </c>
      <c r="E587" s="292" t="s">
        <v>214</v>
      </c>
      <c r="F587" s="292" t="s">
        <v>60</v>
      </c>
      <c r="G587" s="322" t="s">
        <v>4635</v>
      </c>
      <c r="H587" s="294">
        <v>9912822959</v>
      </c>
      <c r="I587" s="292" t="s">
        <v>4636</v>
      </c>
      <c r="J587" s="294" t="s">
        <v>567</v>
      </c>
      <c r="K587" s="292" t="s">
        <v>4637</v>
      </c>
      <c r="L587" s="292" t="s">
        <v>49</v>
      </c>
      <c r="M587" s="292" t="s">
        <v>40</v>
      </c>
      <c r="N587" s="292"/>
      <c r="O587" s="296"/>
      <c r="P587" s="403"/>
      <c r="Q587" s="294"/>
      <c r="R587" s="298"/>
      <c r="S587" s="262">
        <v>46097</v>
      </c>
      <c r="T587" s="9"/>
      <c r="U587" s="9"/>
    </row>
    <row r="588" spans="1:21" hidden="1">
      <c r="A588" s="299">
        <f t="shared" si="13"/>
        <v>587</v>
      </c>
      <c r="B588" s="323">
        <v>46097</v>
      </c>
      <c r="C588" s="364" t="s">
        <v>4638</v>
      </c>
      <c r="D588" s="303"/>
      <c r="E588" s="303" t="s">
        <v>1421</v>
      </c>
      <c r="F588" s="303" t="s">
        <v>44</v>
      </c>
      <c r="G588" s="323" t="s">
        <v>45</v>
      </c>
      <c r="H588" s="305">
        <v>9861429446</v>
      </c>
      <c r="I588" s="303" t="s">
        <v>4639</v>
      </c>
      <c r="J588" s="305" t="s">
        <v>122</v>
      </c>
      <c r="K588" s="303" t="s">
        <v>4640</v>
      </c>
      <c r="L588" s="303" t="s">
        <v>49</v>
      </c>
      <c r="M588" s="303" t="s">
        <v>2623</v>
      </c>
      <c r="N588" s="303"/>
      <c r="O588" s="307"/>
      <c r="P588" s="375"/>
      <c r="Q588" s="305"/>
      <c r="R588" s="309"/>
      <c r="S588" s="262">
        <v>46097</v>
      </c>
      <c r="T588" s="9"/>
      <c r="U588" s="9"/>
    </row>
    <row r="589" spans="1:21" hidden="1">
      <c r="A589" s="288">
        <f t="shared" si="13"/>
        <v>588</v>
      </c>
      <c r="B589" s="322">
        <v>46097</v>
      </c>
      <c r="C589" s="366" t="s">
        <v>130</v>
      </c>
      <c r="D589" s="292" t="s">
        <v>3671</v>
      </c>
      <c r="E589" s="292" t="s">
        <v>82</v>
      </c>
      <c r="F589" s="292" t="s">
        <v>60</v>
      </c>
      <c r="G589" s="322" t="s">
        <v>4641</v>
      </c>
      <c r="H589" s="294">
        <v>7358598482</v>
      </c>
      <c r="I589" s="292" t="s">
        <v>4642</v>
      </c>
      <c r="J589" s="294" t="s">
        <v>122</v>
      </c>
      <c r="K589" s="292" t="s">
        <v>4643</v>
      </c>
      <c r="L589" s="292" t="s">
        <v>49</v>
      </c>
      <c r="M589" s="292" t="s">
        <v>40</v>
      </c>
      <c r="N589" s="292"/>
      <c r="O589" s="296"/>
      <c r="P589" s="403"/>
      <c r="Q589" s="294"/>
      <c r="R589" s="298"/>
      <c r="S589" s="262">
        <v>46097</v>
      </c>
      <c r="T589" s="9"/>
      <c r="U589" s="9"/>
    </row>
    <row r="590" spans="1:21" hidden="1">
      <c r="A590" s="299">
        <f t="shared" si="13"/>
        <v>589</v>
      </c>
      <c r="B590" s="323">
        <v>46097</v>
      </c>
      <c r="C590" s="364" t="s">
        <v>4644</v>
      </c>
      <c r="D590" s="303" t="s">
        <v>4645</v>
      </c>
      <c r="E590" s="303" t="s">
        <v>22</v>
      </c>
      <c r="F590" s="303" t="s">
        <v>44</v>
      </c>
      <c r="G590" s="323" t="s">
        <v>4646</v>
      </c>
      <c r="H590" s="316">
        <v>9921246020</v>
      </c>
      <c r="I590" s="338"/>
      <c r="J590" s="305" t="s">
        <v>1698</v>
      </c>
      <c r="K590" s="303" t="s">
        <v>3800</v>
      </c>
      <c r="L590" s="303" t="s">
        <v>49</v>
      </c>
      <c r="M590" s="303" t="s">
        <v>50</v>
      </c>
      <c r="N590" s="303"/>
      <c r="O590" s="307"/>
      <c r="P590" s="375"/>
      <c r="Q590" s="305"/>
      <c r="R590" s="309"/>
      <c r="S590" s="262">
        <v>46097</v>
      </c>
      <c r="T590" s="9"/>
      <c r="U590" s="9"/>
    </row>
    <row r="591" spans="1:21" hidden="1">
      <c r="A591" s="294">
        <f t="shared" si="13"/>
        <v>590</v>
      </c>
      <c r="B591" s="366">
        <v>46098</v>
      </c>
      <c r="C591" s="366" t="s">
        <v>42</v>
      </c>
      <c r="D591" s="366" t="s">
        <v>655</v>
      </c>
      <c r="E591" s="366" t="s">
        <v>3130</v>
      </c>
      <c r="F591" s="366" t="s">
        <v>23</v>
      </c>
      <c r="G591" s="366" t="s">
        <v>3418</v>
      </c>
      <c r="H591" s="294">
        <v>7829999972</v>
      </c>
      <c r="I591" s="366"/>
      <c r="J591" s="402" t="s">
        <v>63</v>
      </c>
      <c r="K591" s="366" t="s">
        <v>4647</v>
      </c>
      <c r="L591" s="366" t="s">
        <v>58</v>
      </c>
      <c r="M591" s="366" t="s">
        <v>50</v>
      </c>
      <c r="N591" s="366"/>
      <c r="O591" s="366"/>
      <c r="P591" s="366"/>
      <c r="Q591" s="366"/>
      <c r="R591" s="413"/>
      <c r="S591" s="262">
        <v>46098</v>
      </c>
      <c r="T591" s="28"/>
      <c r="U591" s="28"/>
    </row>
    <row r="592" spans="1:21" hidden="1">
      <c r="A592" s="305">
        <f t="shared" si="13"/>
        <v>591</v>
      </c>
      <c r="B592" s="364">
        <v>46098</v>
      </c>
      <c r="C592" s="364" t="s">
        <v>4648</v>
      </c>
      <c r="D592" s="364" t="s">
        <v>4649</v>
      </c>
      <c r="E592" s="364" t="s">
        <v>22</v>
      </c>
      <c r="F592" s="364" t="s">
        <v>73</v>
      </c>
      <c r="G592" s="364" t="s">
        <v>273</v>
      </c>
      <c r="H592" s="305">
        <v>9699445559</v>
      </c>
      <c r="I592" s="364" t="s">
        <v>4650</v>
      </c>
      <c r="J592" s="385" t="s">
        <v>63</v>
      </c>
      <c r="K592" s="364" t="s">
        <v>4651</v>
      </c>
      <c r="L592" s="364" t="s">
        <v>58</v>
      </c>
      <c r="M592" s="364" t="s">
        <v>50</v>
      </c>
      <c r="N592" s="364"/>
      <c r="O592" s="364"/>
      <c r="P592" s="364"/>
      <c r="Q592" s="364"/>
      <c r="R592" s="401"/>
      <c r="S592" s="262">
        <v>46098</v>
      </c>
      <c r="T592" s="28"/>
      <c r="U592" s="28"/>
    </row>
    <row r="593" spans="1:21" hidden="1">
      <c r="A593" s="288">
        <f t="shared" si="13"/>
        <v>592</v>
      </c>
      <c r="B593" s="322">
        <v>46098</v>
      </c>
      <c r="C593" s="366" t="s">
        <v>4652</v>
      </c>
      <c r="D593" s="366" t="s">
        <v>4649</v>
      </c>
      <c r="E593" s="366" t="s">
        <v>22</v>
      </c>
      <c r="F593" s="366" t="s">
        <v>73</v>
      </c>
      <c r="G593" s="366" t="s">
        <v>273</v>
      </c>
      <c r="H593" s="294">
        <v>9819922051</v>
      </c>
      <c r="I593" s="295"/>
      <c r="J593" s="294" t="s">
        <v>567</v>
      </c>
      <c r="K593" s="366"/>
      <c r="L593" s="292" t="s">
        <v>58</v>
      </c>
      <c r="M593" s="292" t="s">
        <v>50</v>
      </c>
      <c r="N593" s="292"/>
      <c r="O593" s="296"/>
      <c r="P593" s="403"/>
      <c r="Q593" s="294"/>
      <c r="R593" s="298"/>
      <c r="S593" s="262">
        <v>46098</v>
      </c>
      <c r="T593" s="9"/>
      <c r="U593" s="9"/>
    </row>
    <row r="594" spans="1:21" hidden="1">
      <c r="A594" s="299">
        <f t="shared" si="13"/>
        <v>593</v>
      </c>
      <c r="B594" s="323">
        <v>46098</v>
      </c>
      <c r="C594" s="364" t="s">
        <v>4653</v>
      </c>
      <c r="D594" s="303"/>
      <c r="E594" s="303"/>
      <c r="F594" s="303" t="s">
        <v>53</v>
      </c>
      <c r="G594" s="364" t="s">
        <v>54</v>
      </c>
      <c r="H594" s="305">
        <v>8308499222</v>
      </c>
      <c r="I594" s="314"/>
      <c r="J594" s="305" t="s">
        <v>122</v>
      </c>
      <c r="K594" s="364" t="s">
        <v>4654</v>
      </c>
      <c r="L594" s="364" t="s">
        <v>58</v>
      </c>
      <c r="M594" s="303" t="s">
        <v>50</v>
      </c>
      <c r="N594" s="303"/>
      <c r="O594" s="307"/>
      <c r="P594" s="375"/>
      <c r="Q594" s="305"/>
      <c r="R594" s="309"/>
      <c r="S594" s="262">
        <v>46098</v>
      </c>
      <c r="T594" s="9"/>
      <c r="U594" s="9"/>
    </row>
    <row r="595" spans="1:21" hidden="1">
      <c r="A595" s="288">
        <f t="shared" si="13"/>
        <v>594</v>
      </c>
      <c r="B595" s="322">
        <v>46098</v>
      </c>
      <c r="C595" s="366" t="s">
        <v>4655</v>
      </c>
      <c r="D595" s="366" t="s">
        <v>2743</v>
      </c>
      <c r="E595" s="292" t="s">
        <v>193</v>
      </c>
      <c r="F595" s="292" t="s">
        <v>83</v>
      </c>
      <c r="G595" s="366" t="s">
        <v>559</v>
      </c>
      <c r="H595" s="294">
        <v>9825070221</v>
      </c>
      <c r="I595" s="366" t="s">
        <v>4656</v>
      </c>
      <c r="J595" s="294" t="s">
        <v>122</v>
      </c>
      <c r="K595" s="295" t="s">
        <v>4657</v>
      </c>
      <c r="L595" s="292" t="s">
        <v>49</v>
      </c>
      <c r="M595" s="292" t="s">
        <v>50</v>
      </c>
      <c r="N595" s="292"/>
      <c r="O595" s="296"/>
      <c r="P595" s="403"/>
      <c r="Q595" s="294"/>
      <c r="R595" s="298"/>
      <c r="S595" s="262">
        <v>46098</v>
      </c>
      <c r="T595" s="9"/>
      <c r="U595" s="9"/>
    </row>
    <row r="596" spans="1:21" hidden="1">
      <c r="A596" s="299">
        <f t="shared" si="13"/>
        <v>595</v>
      </c>
      <c r="B596" s="323">
        <v>46098</v>
      </c>
      <c r="C596" s="364" t="s">
        <v>42</v>
      </c>
      <c r="D596" s="364" t="s">
        <v>3314</v>
      </c>
      <c r="E596" s="303" t="s">
        <v>214</v>
      </c>
      <c r="F596" s="303" t="s">
        <v>23</v>
      </c>
      <c r="G596" s="364" t="s">
        <v>188</v>
      </c>
      <c r="H596" s="305">
        <v>7416768587</v>
      </c>
      <c r="I596" s="314"/>
      <c r="J596" s="305" t="s">
        <v>122</v>
      </c>
      <c r="K596" s="364" t="s">
        <v>4658</v>
      </c>
      <c r="L596" s="364" t="s">
        <v>49</v>
      </c>
      <c r="M596" s="303" t="s">
        <v>50</v>
      </c>
      <c r="N596" s="303"/>
      <c r="O596" s="307"/>
      <c r="P596" s="375"/>
      <c r="Q596" s="305"/>
      <c r="R596" s="309"/>
      <c r="S596" s="262">
        <v>46098</v>
      </c>
      <c r="T596" s="9"/>
      <c r="U596" s="9"/>
    </row>
    <row r="597" spans="1:21" hidden="1">
      <c r="A597" s="288">
        <f t="shared" si="13"/>
        <v>596</v>
      </c>
      <c r="B597" s="322">
        <v>46098</v>
      </c>
      <c r="C597" s="366" t="s">
        <v>4659</v>
      </c>
      <c r="D597" s="366" t="s">
        <v>3011</v>
      </c>
      <c r="E597" s="292" t="s">
        <v>22</v>
      </c>
      <c r="F597" s="292" t="s">
        <v>44</v>
      </c>
      <c r="G597" s="366" t="s">
        <v>149</v>
      </c>
      <c r="H597" s="294">
        <v>8379858298</v>
      </c>
      <c r="I597" s="366" t="s">
        <v>4660</v>
      </c>
      <c r="J597" s="294" t="s">
        <v>63</v>
      </c>
      <c r="K597" s="366" t="s">
        <v>4661</v>
      </c>
      <c r="L597" s="366" t="s">
        <v>49</v>
      </c>
      <c r="M597" s="292" t="s">
        <v>50</v>
      </c>
      <c r="N597" s="292"/>
      <c r="O597" s="296"/>
      <c r="P597" s="403"/>
      <c r="Q597" s="294"/>
      <c r="R597" s="298"/>
      <c r="S597" s="262">
        <v>46098</v>
      </c>
      <c r="T597" s="9"/>
      <c r="U597" s="9"/>
    </row>
    <row r="598" spans="1:21" ht="30" hidden="1">
      <c r="A598" s="299">
        <f t="shared" si="13"/>
        <v>597</v>
      </c>
      <c r="B598" s="323">
        <v>46098</v>
      </c>
      <c r="C598" s="411" t="s">
        <v>4662</v>
      </c>
      <c r="D598" s="303" t="s">
        <v>21</v>
      </c>
      <c r="E598" s="303" t="s">
        <v>22</v>
      </c>
      <c r="F598" s="303" t="s">
        <v>32</v>
      </c>
      <c r="G598" s="316" t="s">
        <v>4663</v>
      </c>
      <c r="H598" s="414" t="s">
        <v>4664</v>
      </c>
      <c r="I598" s="353" t="s">
        <v>4665</v>
      </c>
      <c r="J598" s="305" t="s">
        <v>1698</v>
      </c>
      <c r="K598" s="303" t="s">
        <v>4666</v>
      </c>
      <c r="L598" s="314" t="s">
        <v>27</v>
      </c>
      <c r="M598" s="303" t="s">
        <v>28</v>
      </c>
      <c r="N598" s="303" t="s">
        <v>4667</v>
      </c>
      <c r="O598" s="307">
        <v>46098</v>
      </c>
      <c r="P598" s="313">
        <v>5372000</v>
      </c>
      <c r="Q598" s="305" t="s">
        <v>70</v>
      </c>
      <c r="R598" s="309"/>
      <c r="S598" s="262">
        <v>46098</v>
      </c>
      <c r="T598" s="9"/>
      <c r="U598" s="9"/>
    </row>
    <row r="599" spans="1:21" ht="30" hidden="1">
      <c r="A599" s="288">
        <f t="shared" si="13"/>
        <v>598</v>
      </c>
      <c r="B599" s="322">
        <v>46098</v>
      </c>
      <c r="C599" s="292" t="s">
        <v>912</v>
      </c>
      <c r="D599" s="292" t="s">
        <v>4668</v>
      </c>
      <c r="E599" s="292" t="s">
        <v>22</v>
      </c>
      <c r="F599" s="292" t="s">
        <v>32</v>
      </c>
      <c r="G599" s="315" t="s">
        <v>4669</v>
      </c>
      <c r="H599" s="339">
        <v>8308005299</v>
      </c>
      <c r="I599" s="362" t="s">
        <v>4670</v>
      </c>
      <c r="J599" s="294" t="s">
        <v>1698</v>
      </c>
      <c r="K599" s="415" t="s">
        <v>4671</v>
      </c>
      <c r="L599" s="292" t="s">
        <v>27</v>
      </c>
      <c r="M599" s="292" t="s">
        <v>77</v>
      </c>
      <c r="N599" s="292" t="s">
        <v>916</v>
      </c>
      <c r="O599" s="296">
        <v>46098</v>
      </c>
      <c r="P599" s="319">
        <v>290000</v>
      </c>
      <c r="Q599" s="294" t="s">
        <v>119</v>
      </c>
      <c r="R599" s="298"/>
      <c r="S599" s="262">
        <v>46098</v>
      </c>
      <c r="T599" s="9"/>
      <c r="U599" s="9"/>
    </row>
    <row r="600" spans="1:21" hidden="1">
      <c r="A600" s="299">
        <f t="shared" si="13"/>
        <v>599</v>
      </c>
      <c r="B600" s="323">
        <v>46098</v>
      </c>
      <c r="C600" s="303" t="s">
        <v>4672</v>
      </c>
      <c r="D600" s="303" t="s">
        <v>4673</v>
      </c>
      <c r="E600" s="303" t="s">
        <v>199</v>
      </c>
      <c r="F600" s="303" t="s">
        <v>59</v>
      </c>
      <c r="G600" s="316" t="s">
        <v>4674</v>
      </c>
      <c r="H600" s="316"/>
      <c r="I600" s="353" t="s">
        <v>4675</v>
      </c>
      <c r="J600" s="305" t="s">
        <v>25</v>
      </c>
      <c r="K600" s="303" t="s">
        <v>4676</v>
      </c>
      <c r="L600" s="303" t="s">
        <v>27</v>
      </c>
      <c r="M600" s="303" t="s">
        <v>28</v>
      </c>
      <c r="N600" s="303" t="s">
        <v>4677</v>
      </c>
      <c r="O600" s="307">
        <v>46098</v>
      </c>
      <c r="P600" s="324">
        <v>2685000</v>
      </c>
      <c r="Q600" s="305" t="s">
        <v>30</v>
      </c>
      <c r="R600" s="309"/>
      <c r="S600" s="262">
        <v>46098</v>
      </c>
      <c r="T600" s="9"/>
      <c r="U600" s="9"/>
    </row>
    <row r="601" spans="1:21" hidden="1">
      <c r="A601" s="288">
        <f t="shared" si="13"/>
        <v>600</v>
      </c>
      <c r="B601" s="322">
        <v>46098</v>
      </c>
      <c r="C601" s="292" t="s">
        <v>4678</v>
      </c>
      <c r="D601" s="292" t="s">
        <v>131</v>
      </c>
      <c r="E601" s="292" t="s">
        <v>22</v>
      </c>
      <c r="F601" s="292" t="s">
        <v>23</v>
      </c>
      <c r="G601" s="315" t="s">
        <v>4679</v>
      </c>
      <c r="H601" s="315">
        <v>7028366983</v>
      </c>
      <c r="I601" s="396" t="s">
        <v>4680</v>
      </c>
      <c r="J601" s="294" t="s">
        <v>1698</v>
      </c>
      <c r="K601" s="292"/>
      <c r="L601" s="292" t="s">
        <v>27</v>
      </c>
      <c r="M601" s="292" t="s">
        <v>77</v>
      </c>
      <c r="N601" s="292" t="s">
        <v>4681</v>
      </c>
      <c r="O601" s="296">
        <v>46098</v>
      </c>
      <c r="P601" s="319">
        <v>708513</v>
      </c>
      <c r="Q601" s="294" t="s">
        <v>70</v>
      </c>
      <c r="R601" s="298"/>
      <c r="S601" s="262">
        <v>46098</v>
      </c>
      <c r="T601" s="9"/>
      <c r="U601" s="9"/>
    </row>
    <row r="602" spans="1:21" ht="30" hidden="1">
      <c r="A602" s="299">
        <f t="shared" si="13"/>
        <v>601</v>
      </c>
      <c r="B602" s="323">
        <v>46098</v>
      </c>
      <c r="C602" s="303" t="s">
        <v>4682</v>
      </c>
      <c r="D602" s="303" t="s">
        <v>1951</v>
      </c>
      <c r="E602" s="303" t="s">
        <v>22</v>
      </c>
      <c r="F602" s="303" t="s">
        <v>59</v>
      </c>
      <c r="G602" s="338" t="s">
        <v>4683</v>
      </c>
      <c r="H602" s="316"/>
      <c r="I602" s="416" t="s">
        <v>4684</v>
      </c>
      <c r="J602" s="305" t="s">
        <v>1698</v>
      </c>
      <c r="K602" s="303" t="s">
        <v>4685</v>
      </c>
      <c r="L602" s="303" t="s">
        <v>27</v>
      </c>
      <c r="M602" s="303" t="s">
        <v>50</v>
      </c>
      <c r="N602" s="303" t="s">
        <v>4686</v>
      </c>
      <c r="O602" s="307">
        <v>46098</v>
      </c>
      <c r="P602" s="313">
        <v>160000</v>
      </c>
      <c r="Q602" s="305" t="s">
        <v>119</v>
      </c>
      <c r="R602" s="309"/>
      <c r="S602" s="262">
        <v>46098</v>
      </c>
      <c r="T602" s="9"/>
      <c r="U602" s="9"/>
    </row>
    <row r="603" spans="1:21" hidden="1">
      <c r="A603" s="288">
        <f t="shared" si="13"/>
        <v>602</v>
      </c>
      <c r="B603" s="322">
        <v>46098</v>
      </c>
      <c r="C603" s="292" t="s">
        <v>4687</v>
      </c>
      <c r="D603" s="292" t="s">
        <v>31</v>
      </c>
      <c r="E603" s="292" t="s">
        <v>22</v>
      </c>
      <c r="F603" s="292" t="s">
        <v>59</v>
      </c>
      <c r="G603" s="315" t="s">
        <v>4688</v>
      </c>
      <c r="H603" s="315"/>
      <c r="I603" s="362" t="s">
        <v>4689</v>
      </c>
      <c r="J603" s="294" t="s">
        <v>1698</v>
      </c>
      <c r="K603" s="292" t="s">
        <v>4690</v>
      </c>
      <c r="L603" s="292" t="s">
        <v>27</v>
      </c>
      <c r="M603" s="292" t="s">
        <v>28</v>
      </c>
      <c r="N603" s="292" t="s">
        <v>4691</v>
      </c>
      <c r="O603" s="296">
        <v>46098</v>
      </c>
      <c r="P603" s="319">
        <v>125000</v>
      </c>
      <c r="Q603" s="294" t="s">
        <v>70</v>
      </c>
      <c r="R603" s="298"/>
      <c r="S603" s="262">
        <v>46098</v>
      </c>
      <c r="T603" s="9"/>
      <c r="U603" s="9"/>
    </row>
    <row r="604" spans="1:21" hidden="1">
      <c r="A604" s="299">
        <f>ROW()-1</f>
        <v>603</v>
      </c>
      <c r="B604" s="323">
        <v>46098</v>
      </c>
      <c r="C604" s="303" t="s">
        <v>4692</v>
      </c>
      <c r="D604" s="303" t="s">
        <v>4693</v>
      </c>
      <c r="E604" s="303" t="s">
        <v>22</v>
      </c>
      <c r="F604" s="303" t="s">
        <v>32</v>
      </c>
      <c r="G604" s="316" t="s">
        <v>4694</v>
      </c>
      <c r="H604" s="316">
        <v>8380062866</v>
      </c>
      <c r="I604" s="361" t="s">
        <v>4695</v>
      </c>
      <c r="J604" s="305" t="s">
        <v>1698</v>
      </c>
      <c r="K604" s="417" t="s">
        <v>4696</v>
      </c>
      <c r="L604" s="303" t="s">
        <v>74</v>
      </c>
      <c r="M604" s="303" t="s">
        <v>28</v>
      </c>
      <c r="N604" s="303" t="s">
        <v>4697</v>
      </c>
      <c r="O604" s="307">
        <v>46098</v>
      </c>
      <c r="P604" s="313">
        <v>1029219.84</v>
      </c>
      <c r="Q604" s="305" t="s">
        <v>70</v>
      </c>
      <c r="R604" s="309"/>
      <c r="S604" s="262">
        <v>46098</v>
      </c>
      <c r="T604" s="9"/>
      <c r="U604" s="9"/>
    </row>
    <row r="605" spans="1:21" hidden="1">
      <c r="A605" s="288">
        <f t="shared" ref="A605:A668" si="14">ROW()-1</f>
        <v>604</v>
      </c>
      <c r="B605" s="322">
        <v>46099</v>
      </c>
      <c r="C605" s="292" t="s">
        <v>4698</v>
      </c>
      <c r="D605" s="292" t="s">
        <v>21</v>
      </c>
      <c r="E605" s="292" t="s">
        <v>22</v>
      </c>
      <c r="F605" s="292" t="s">
        <v>83</v>
      </c>
      <c r="G605" s="315" t="s">
        <v>852</v>
      </c>
      <c r="H605" s="315">
        <v>8210109067</v>
      </c>
      <c r="I605" s="396" t="s">
        <v>4699</v>
      </c>
      <c r="J605" s="294" t="s">
        <v>1698</v>
      </c>
      <c r="K605" s="418" t="s">
        <v>4700</v>
      </c>
      <c r="L605" s="292" t="s">
        <v>27</v>
      </c>
      <c r="M605" s="292" t="s">
        <v>28</v>
      </c>
      <c r="N605" s="292"/>
      <c r="O605" s="296">
        <v>46098</v>
      </c>
      <c r="P605" s="403" t="s">
        <v>4701</v>
      </c>
      <c r="Q605" s="294" t="s">
        <v>79</v>
      </c>
      <c r="R605" s="298"/>
      <c r="S605" s="262">
        <v>46099</v>
      </c>
      <c r="T605" s="9"/>
      <c r="U605" s="9"/>
    </row>
    <row r="606" spans="1:21" ht="45" hidden="1">
      <c r="A606" s="299">
        <f t="shared" si="14"/>
        <v>605</v>
      </c>
      <c r="B606" s="323">
        <v>46099</v>
      </c>
      <c r="C606" s="303" t="s">
        <v>4702</v>
      </c>
      <c r="D606" s="303" t="s">
        <v>131</v>
      </c>
      <c r="E606" s="303" t="s">
        <v>22</v>
      </c>
      <c r="F606" s="303" t="s">
        <v>32</v>
      </c>
      <c r="G606" s="316" t="s">
        <v>4703</v>
      </c>
      <c r="H606" s="316"/>
      <c r="I606" s="306" t="s">
        <v>4704</v>
      </c>
      <c r="J606" s="305" t="s">
        <v>1698</v>
      </c>
      <c r="K606" s="419" t="s">
        <v>4705</v>
      </c>
      <c r="L606" s="303" t="s">
        <v>27</v>
      </c>
      <c r="M606" s="303" t="s">
        <v>77</v>
      </c>
      <c r="N606" s="303" t="s">
        <v>4706</v>
      </c>
      <c r="O606" s="307">
        <v>46099</v>
      </c>
      <c r="P606" s="412">
        <v>511563</v>
      </c>
      <c r="Q606" s="305" t="s">
        <v>79</v>
      </c>
      <c r="R606" s="309"/>
      <c r="S606" s="262">
        <v>46099</v>
      </c>
      <c r="T606" s="9"/>
      <c r="U606" s="9"/>
    </row>
    <row r="607" spans="1:21" hidden="1">
      <c r="A607" s="288">
        <f t="shared" si="14"/>
        <v>606</v>
      </c>
      <c r="B607" s="322">
        <v>46099</v>
      </c>
      <c r="C607" s="292" t="s">
        <v>4707</v>
      </c>
      <c r="D607" s="292" t="s">
        <v>243</v>
      </c>
      <c r="E607" s="292" t="s">
        <v>22</v>
      </c>
      <c r="F607" s="292" t="s">
        <v>73</v>
      </c>
      <c r="G607" s="315" t="s">
        <v>4708</v>
      </c>
      <c r="H607" s="315" t="s">
        <v>4709</v>
      </c>
      <c r="I607" s="362" t="s">
        <v>4710</v>
      </c>
      <c r="J607" s="294" t="s">
        <v>1698</v>
      </c>
      <c r="K607" s="420" t="s">
        <v>4711</v>
      </c>
      <c r="L607" s="292" t="s">
        <v>27</v>
      </c>
      <c r="M607" s="292" t="s">
        <v>28</v>
      </c>
      <c r="N607" s="292" t="s">
        <v>4712</v>
      </c>
      <c r="O607" s="296">
        <v>46099</v>
      </c>
      <c r="P607" s="319">
        <v>2738287.02</v>
      </c>
      <c r="Q607" s="294" t="s">
        <v>70</v>
      </c>
      <c r="R607" s="298"/>
      <c r="S607" s="262">
        <v>46099</v>
      </c>
      <c r="T607" s="9"/>
      <c r="U607" s="9"/>
    </row>
    <row r="608" spans="1:21" hidden="1">
      <c r="A608" s="299">
        <f t="shared" si="14"/>
        <v>607</v>
      </c>
      <c r="B608" s="323">
        <v>46099</v>
      </c>
      <c r="C608" s="303" t="s">
        <v>4713</v>
      </c>
      <c r="D608" s="303" t="s">
        <v>4714</v>
      </c>
      <c r="E608" s="303" t="s">
        <v>22</v>
      </c>
      <c r="F608" s="303" t="s">
        <v>59</v>
      </c>
      <c r="G608" s="316" t="s">
        <v>4715</v>
      </c>
      <c r="H608" s="316"/>
      <c r="I608" s="353" t="s">
        <v>4716</v>
      </c>
      <c r="J608" s="305" t="s">
        <v>1698</v>
      </c>
      <c r="K608" s="303" t="s">
        <v>4717</v>
      </c>
      <c r="L608" s="303" t="s">
        <v>117</v>
      </c>
      <c r="M608" s="303" t="s">
        <v>50</v>
      </c>
      <c r="N608" s="303" t="s">
        <v>4718</v>
      </c>
      <c r="O608" s="307">
        <v>46099</v>
      </c>
      <c r="P608" s="313">
        <v>230000</v>
      </c>
      <c r="Q608" s="305" t="s">
        <v>292</v>
      </c>
      <c r="R608" s="309"/>
      <c r="S608" s="262">
        <v>46099</v>
      </c>
      <c r="T608" s="9"/>
      <c r="U608" s="9"/>
    </row>
    <row r="609" spans="1:21" hidden="1">
      <c r="A609" s="288">
        <f t="shared" si="14"/>
        <v>608</v>
      </c>
      <c r="B609" s="322">
        <v>46099</v>
      </c>
      <c r="C609" s="292" t="s">
        <v>4719</v>
      </c>
      <c r="D609" s="292" t="s">
        <v>4720</v>
      </c>
      <c r="E609" s="292" t="s">
        <v>22</v>
      </c>
      <c r="F609" s="292" t="s">
        <v>60</v>
      </c>
      <c r="G609" s="315" t="s">
        <v>170</v>
      </c>
      <c r="H609" s="294">
        <v>9158770011</v>
      </c>
      <c r="I609" s="379" t="s">
        <v>4721</v>
      </c>
      <c r="J609" s="294" t="s">
        <v>56</v>
      </c>
      <c r="K609" s="292" t="s">
        <v>4722</v>
      </c>
      <c r="L609" s="292" t="s">
        <v>49</v>
      </c>
      <c r="M609" s="292" t="s">
        <v>40</v>
      </c>
      <c r="N609" s="292"/>
      <c r="O609" s="296"/>
      <c r="P609" s="403"/>
      <c r="Q609" s="294"/>
      <c r="R609" s="298"/>
      <c r="S609" s="262">
        <v>46099</v>
      </c>
      <c r="T609" s="9"/>
      <c r="U609" s="9"/>
    </row>
    <row r="610" spans="1:21" hidden="1">
      <c r="A610" s="299">
        <f t="shared" si="14"/>
        <v>609</v>
      </c>
      <c r="B610" s="323">
        <v>46099</v>
      </c>
      <c r="C610" s="303" t="s">
        <v>4723</v>
      </c>
      <c r="D610" s="303" t="s">
        <v>4724</v>
      </c>
      <c r="E610" s="303" t="s">
        <v>82</v>
      </c>
      <c r="F610" s="303" t="s">
        <v>23</v>
      </c>
      <c r="G610" s="316" t="s">
        <v>267</v>
      </c>
      <c r="H610" s="305">
        <v>9884531675</v>
      </c>
      <c r="I610" s="378" t="s">
        <v>4725</v>
      </c>
      <c r="J610" s="305" t="s">
        <v>63</v>
      </c>
      <c r="K610" s="303" t="s">
        <v>4726</v>
      </c>
      <c r="L610" s="303" t="s">
        <v>49</v>
      </c>
      <c r="M610" s="303" t="s">
        <v>50</v>
      </c>
      <c r="N610" s="303"/>
      <c r="O610" s="307"/>
      <c r="P610" s="375"/>
      <c r="Q610" s="305"/>
      <c r="R610" s="309"/>
      <c r="S610" s="262">
        <v>46099</v>
      </c>
      <c r="T610" s="9"/>
      <c r="U610" s="9"/>
    </row>
    <row r="611" spans="1:21" hidden="1">
      <c r="A611" s="288">
        <f t="shared" si="14"/>
        <v>610</v>
      </c>
      <c r="B611" s="322">
        <v>46099</v>
      </c>
      <c r="C611" s="292" t="s">
        <v>42</v>
      </c>
      <c r="D611" s="292" t="s">
        <v>2762</v>
      </c>
      <c r="E611" s="292" t="s">
        <v>22</v>
      </c>
      <c r="F611" s="292" t="s">
        <v>83</v>
      </c>
      <c r="G611" s="315" t="s">
        <v>1941</v>
      </c>
      <c r="H611" s="294">
        <v>9922504871</v>
      </c>
      <c r="I611" s="379" t="s">
        <v>4727</v>
      </c>
      <c r="J611" s="294" t="s">
        <v>1113</v>
      </c>
      <c r="K611" s="292" t="s">
        <v>4728</v>
      </c>
      <c r="L611" s="292" t="s">
        <v>49</v>
      </c>
      <c r="M611" s="292" t="s">
        <v>50</v>
      </c>
      <c r="N611" s="292"/>
      <c r="O611" s="296"/>
      <c r="P611" s="403"/>
      <c r="Q611" s="294"/>
      <c r="R611" s="298"/>
      <c r="S611" s="262">
        <v>46099</v>
      </c>
      <c r="T611" s="9"/>
      <c r="U611" s="9"/>
    </row>
    <row r="612" spans="1:21" hidden="1">
      <c r="A612" s="299">
        <f t="shared" si="14"/>
        <v>611</v>
      </c>
      <c r="B612" s="323">
        <v>46099</v>
      </c>
      <c r="C612" s="303" t="s">
        <v>42</v>
      </c>
      <c r="D612" s="303"/>
      <c r="E612" s="303" t="s">
        <v>22</v>
      </c>
      <c r="F612" s="303" t="s">
        <v>23</v>
      </c>
      <c r="G612" s="303" t="s">
        <v>23</v>
      </c>
      <c r="H612" s="305">
        <v>9860794969</v>
      </c>
      <c r="I612" s="314"/>
      <c r="J612" s="305" t="s">
        <v>63</v>
      </c>
      <c r="K612" s="303" t="s">
        <v>2223</v>
      </c>
      <c r="L612" s="303" t="s">
        <v>58</v>
      </c>
      <c r="M612" s="303" t="s">
        <v>50</v>
      </c>
      <c r="N612" s="303"/>
      <c r="O612" s="307"/>
      <c r="P612" s="375"/>
      <c r="Q612" s="305"/>
      <c r="R612" s="309"/>
      <c r="S612" s="262">
        <v>46099</v>
      </c>
      <c r="T612" s="9"/>
      <c r="U612" s="9"/>
    </row>
    <row r="613" spans="1:21" hidden="1">
      <c r="A613" s="288">
        <f t="shared" si="14"/>
        <v>612</v>
      </c>
      <c r="B613" s="322">
        <v>46099</v>
      </c>
      <c r="C613" s="292" t="s">
        <v>4729</v>
      </c>
      <c r="D613" s="292"/>
      <c r="E613" s="292" t="s">
        <v>22</v>
      </c>
      <c r="F613" s="292" t="s">
        <v>73</v>
      </c>
      <c r="G613" s="292" t="s">
        <v>3281</v>
      </c>
      <c r="H613" s="294">
        <v>9830139198</v>
      </c>
      <c r="I613" s="379" t="s">
        <v>4730</v>
      </c>
      <c r="J613" s="294" t="s">
        <v>63</v>
      </c>
      <c r="K613" s="292" t="s">
        <v>4731</v>
      </c>
      <c r="L613" s="292" t="s">
        <v>58</v>
      </c>
      <c r="M613" s="292" t="s">
        <v>50</v>
      </c>
      <c r="N613" s="292"/>
      <c r="O613" s="296"/>
      <c r="P613" s="403"/>
      <c r="Q613" s="294"/>
      <c r="R613" s="298"/>
      <c r="S613" s="262">
        <v>46099</v>
      </c>
      <c r="T613" s="9"/>
      <c r="U613" s="9"/>
    </row>
    <row r="614" spans="1:21" hidden="1">
      <c r="A614" s="299">
        <f t="shared" si="14"/>
        <v>613</v>
      </c>
      <c r="B614" s="323">
        <v>46099</v>
      </c>
      <c r="C614" s="314" t="s">
        <v>42</v>
      </c>
      <c r="D614" s="303" t="s">
        <v>586</v>
      </c>
      <c r="E614" s="303" t="s">
        <v>22</v>
      </c>
      <c r="F614" s="303" t="s">
        <v>73</v>
      </c>
      <c r="G614" s="303" t="s">
        <v>4732</v>
      </c>
      <c r="H614" s="305">
        <v>9970661010</v>
      </c>
      <c r="I614" s="378" t="s">
        <v>4733</v>
      </c>
      <c r="J614" s="305" t="s">
        <v>567</v>
      </c>
      <c r="K614" s="303" t="s">
        <v>4734</v>
      </c>
      <c r="L614" s="303" t="s">
        <v>58</v>
      </c>
      <c r="M614" s="303" t="s">
        <v>50</v>
      </c>
      <c r="N614" s="303"/>
      <c r="O614" s="307"/>
      <c r="P614" s="375"/>
      <c r="Q614" s="305"/>
      <c r="R614" s="309"/>
      <c r="S614" s="262">
        <v>46099</v>
      </c>
      <c r="T614" s="9"/>
      <c r="U614" s="9"/>
    </row>
    <row r="615" spans="1:21" hidden="1">
      <c r="A615" s="288">
        <f t="shared" si="14"/>
        <v>614</v>
      </c>
      <c r="B615" s="322">
        <v>46100</v>
      </c>
      <c r="C615" s="292" t="s">
        <v>4735</v>
      </c>
      <c r="D615" s="292" t="s">
        <v>675</v>
      </c>
      <c r="E615" s="292" t="s">
        <v>22</v>
      </c>
      <c r="F615" s="292" t="s">
        <v>73</v>
      </c>
      <c r="G615" s="292" t="s">
        <v>449</v>
      </c>
      <c r="H615" s="315">
        <v>9370424318</v>
      </c>
      <c r="I615" s="379" t="s">
        <v>4736</v>
      </c>
      <c r="J615" s="292" t="s">
        <v>1698</v>
      </c>
      <c r="K615" s="292" t="s">
        <v>4737</v>
      </c>
      <c r="L615" s="292" t="s">
        <v>58</v>
      </c>
      <c r="M615" s="292" t="s">
        <v>50</v>
      </c>
      <c r="N615" s="292"/>
      <c r="O615" s="296"/>
      <c r="P615" s="403"/>
      <c r="Q615" s="294"/>
      <c r="R615" s="298"/>
      <c r="S615" s="262" t="s">
        <v>4738</v>
      </c>
      <c r="T615" s="9"/>
      <c r="U615" s="9"/>
    </row>
    <row r="616" spans="1:21" ht="19.5" hidden="1">
      <c r="A616" s="299">
        <f t="shared" si="14"/>
        <v>615</v>
      </c>
      <c r="B616" s="323">
        <v>46100</v>
      </c>
      <c r="C616" s="303" t="s">
        <v>4739</v>
      </c>
      <c r="D616" s="303" t="s">
        <v>199</v>
      </c>
      <c r="E616" s="303" t="s">
        <v>199</v>
      </c>
      <c r="F616" s="303" t="s">
        <v>73</v>
      </c>
      <c r="G616" s="303" t="s">
        <v>54</v>
      </c>
      <c r="H616" s="305">
        <v>8696664660</v>
      </c>
      <c r="I616" s="421"/>
      <c r="J616" s="305" t="s">
        <v>63</v>
      </c>
      <c r="K616" s="303" t="s">
        <v>4739</v>
      </c>
      <c r="L616" s="303" t="s">
        <v>58</v>
      </c>
      <c r="M616" s="303" t="s">
        <v>50</v>
      </c>
      <c r="N616" s="303"/>
      <c r="O616" s="307"/>
      <c r="P616" s="375"/>
      <c r="Q616" s="305"/>
      <c r="R616" s="309"/>
      <c r="S616" s="262" t="s">
        <v>4738</v>
      </c>
      <c r="T616" s="9"/>
      <c r="U616" s="9"/>
    </row>
    <row r="617" spans="1:21" ht="19.5" hidden="1">
      <c r="A617" s="288">
        <f t="shared" si="14"/>
        <v>616</v>
      </c>
      <c r="B617" s="322">
        <v>46100</v>
      </c>
      <c r="C617" s="295" t="s">
        <v>42</v>
      </c>
      <c r="D617" s="292"/>
      <c r="E617" s="292"/>
      <c r="F617" s="292" t="s">
        <v>73</v>
      </c>
      <c r="G617" s="292" t="s">
        <v>3241</v>
      </c>
      <c r="H617" s="294">
        <v>8698081153</v>
      </c>
      <c r="I617" s="422"/>
      <c r="J617" s="292" t="s">
        <v>1113</v>
      </c>
      <c r="K617" s="292"/>
      <c r="L617" s="292" t="s">
        <v>58</v>
      </c>
      <c r="M617" s="292" t="s">
        <v>50</v>
      </c>
      <c r="N617" s="292"/>
      <c r="O617" s="296"/>
      <c r="P617" s="403"/>
      <c r="Q617" s="294"/>
      <c r="R617" s="298"/>
      <c r="S617" s="262" t="s">
        <v>4738</v>
      </c>
      <c r="T617" s="9"/>
      <c r="U617" s="9"/>
    </row>
    <row r="618" spans="1:21" hidden="1">
      <c r="A618" s="299">
        <f t="shared" si="14"/>
        <v>617</v>
      </c>
      <c r="B618" s="323">
        <v>46100</v>
      </c>
      <c r="C618" s="303" t="s">
        <v>4740</v>
      </c>
      <c r="D618" s="303" t="s">
        <v>859</v>
      </c>
      <c r="E618" s="303" t="s">
        <v>22</v>
      </c>
      <c r="F618" s="303" t="s">
        <v>59</v>
      </c>
      <c r="G618" s="303" t="s">
        <v>4741</v>
      </c>
      <c r="H618" s="305">
        <v>9823115933</v>
      </c>
      <c r="I618" s="378" t="s">
        <v>4742</v>
      </c>
      <c r="J618" s="305" t="s">
        <v>63</v>
      </c>
      <c r="K618" s="303" t="s">
        <v>4743</v>
      </c>
      <c r="L618" s="303" t="s">
        <v>58</v>
      </c>
      <c r="M618" s="303" t="s">
        <v>50</v>
      </c>
      <c r="N618" s="303"/>
      <c r="O618" s="307"/>
      <c r="P618" s="375"/>
      <c r="Q618" s="305"/>
      <c r="R618" s="309"/>
      <c r="S618" s="262" t="s">
        <v>4738</v>
      </c>
      <c r="T618" s="9"/>
      <c r="U618" s="9"/>
    </row>
    <row r="619" spans="1:21" hidden="1">
      <c r="A619" s="288">
        <f t="shared" si="14"/>
        <v>618</v>
      </c>
      <c r="B619" s="322">
        <v>46100</v>
      </c>
      <c r="C619" s="292" t="s">
        <v>4744</v>
      </c>
      <c r="D619" s="292" t="s">
        <v>749</v>
      </c>
      <c r="E619" s="292" t="s">
        <v>214</v>
      </c>
      <c r="F619" s="292" t="s">
        <v>73</v>
      </c>
      <c r="G619" s="292" t="s">
        <v>449</v>
      </c>
      <c r="H619" s="294">
        <v>9353573733</v>
      </c>
      <c r="I619" s="379" t="s">
        <v>4745</v>
      </c>
      <c r="J619" s="294" t="s">
        <v>122</v>
      </c>
      <c r="K619" s="292" t="s">
        <v>4746</v>
      </c>
      <c r="L619" s="292" t="s">
        <v>58</v>
      </c>
      <c r="M619" s="292" t="s">
        <v>50</v>
      </c>
      <c r="N619" s="292"/>
      <c r="O619" s="296"/>
      <c r="P619" s="403"/>
      <c r="Q619" s="294"/>
      <c r="R619" s="298"/>
      <c r="S619" s="262" t="s">
        <v>4738</v>
      </c>
      <c r="T619" s="9"/>
      <c r="U619" s="9"/>
    </row>
    <row r="620" spans="1:21" hidden="1">
      <c r="A620" s="299">
        <f t="shared" si="14"/>
        <v>619</v>
      </c>
      <c r="B620" s="323">
        <v>46100</v>
      </c>
      <c r="C620" s="303" t="s">
        <v>312</v>
      </c>
      <c r="D620" s="303" t="s">
        <v>859</v>
      </c>
      <c r="E620" s="303" t="s">
        <v>22</v>
      </c>
      <c r="F620" s="303" t="s">
        <v>23</v>
      </c>
      <c r="G620" s="303" t="s">
        <v>127</v>
      </c>
      <c r="H620" s="305">
        <v>9370694025</v>
      </c>
      <c r="I620" s="303" t="s">
        <v>314</v>
      </c>
      <c r="J620" s="305" t="s">
        <v>567</v>
      </c>
      <c r="K620" s="303" t="s">
        <v>315</v>
      </c>
      <c r="L620" s="303" t="s">
        <v>58</v>
      </c>
      <c r="M620" s="303" t="s">
        <v>50</v>
      </c>
      <c r="N620" s="303"/>
      <c r="O620" s="307"/>
      <c r="P620" s="375"/>
      <c r="Q620" s="305"/>
      <c r="R620" s="309"/>
      <c r="S620" s="262" t="s">
        <v>4738</v>
      </c>
      <c r="T620" s="9"/>
      <c r="U620" s="9"/>
    </row>
    <row r="621" spans="1:21" hidden="1">
      <c r="A621" s="288">
        <f t="shared" si="14"/>
        <v>620</v>
      </c>
      <c r="B621" s="322">
        <v>46100</v>
      </c>
      <c r="C621" s="292" t="s">
        <v>42</v>
      </c>
      <c r="D621" s="292" t="s">
        <v>288</v>
      </c>
      <c r="E621" s="292" t="s">
        <v>272</v>
      </c>
      <c r="F621" s="292" t="s">
        <v>44</v>
      </c>
      <c r="G621" s="292" t="s">
        <v>4747</v>
      </c>
      <c r="H621" s="294">
        <v>7889018758</v>
      </c>
      <c r="I621" s="423"/>
      <c r="J621" s="294" t="s">
        <v>63</v>
      </c>
      <c r="K621" s="292" t="s">
        <v>4748</v>
      </c>
      <c r="L621" s="292" t="s">
        <v>58</v>
      </c>
      <c r="M621" s="292" t="s">
        <v>50</v>
      </c>
      <c r="N621" s="292"/>
      <c r="O621" s="296"/>
      <c r="P621" s="403"/>
      <c r="Q621" s="294"/>
      <c r="R621" s="298"/>
      <c r="S621" s="262" t="s">
        <v>4738</v>
      </c>
      <c r="T621" s="9"/>
      <c r="U621" s="9"/>
    </row>
    <row r="622" spans="1:21" hidden="1">
      <c r="A622" s="299">
        <f t="shared" si="14"/>
        <v>621</v>
      </c>
      <c r="B622" s="323">
        <v>46100</v>
      </c>
      <c r="C622" s="303" t="s">
        <v>42</v>
      </c>
      <c r="D622" s="303"/>
      <c r="E622" s="303"/>
      <c r="F622" s="303" t="s">
        <v>44</v>
      </c>
      <c r="G622" s="303" t="s">
        <v>44</v>
      </c>
      <c r="H622" s="305">
        <v>9914833015</v>
      </c>
      <c r="I622" s="303" t="s">
        <v>4223</v>
      </c>
      <c r="J622" s="305" t="s">
        <v>122</v>
      </c>
      <c r="K622" s="303"/>
      <c r="L622" s="303" t="s">
        <v>58</v>
      </c>
      <c r="M622" s="303" t="s">
        <v>50</v>
      </c>
      <c r="N622" s="303"/>
      <c r="O622" s="307"/>
      <c r="P622" s="375"/>
      <c r="Q622" s="305"/>
      <c r="R622" s="309"/>
      <c r="S622" s="262" t="s">
        <v>4738</v>
      </c>
      <c r="T622" s="9"/>
      <c r="U622" s="9"/>
    </row>
    <row r="623" spans="1:21" hidden="1">
      <c r="A623" s="288">
        <f t="shared" si="14"/>
        <v>622</v>
      </c>
      <c r="B623" s="322">
        <v>46100</v>
      </c>
      <c r="C623" s="292" t="s">
        <v>42</v>
      </c>
      <c r="D623" s="292" t="s">
        <v>623</v>
      </c>
      <c r="E623" s="292" t="s">
        <v>193</v>
      </c>
      <c r="F623" s="292" t="s">
        <v>73</v>
      </c>
      <c r="G623" s="315" t="s">
        <v>109</v>
      </c>
      <c r="H623" s="315">
        <v>9265324569</v>
      </c>
      <c r="I623" s="424" t="s">
        <v>4749</v>
      </c>
      <c r="J623" s="292" t="s">
        <v>1698</v>
      </c>
      <c r="K623" s="292" t="s">
        <v>4750</v>
      </c>
      <c r="L623" s="292" t="s">
        <v>58</v>
      </c>
      <c r="M623" s="292" t="s">
        <v>50</v>
      </c>
      <c r="N623" s="292"/>
      <c r="O623" s="296"/>
      <c r="P623" s="403"/>
      <c r="Q623" s="294"/>
      <c r="R623" s="298"/>
      <c r="S623" s="262" t="s">
        <v>4738</v>
      </c>
      <c r="T623" s="9"/>
      <c r="U623" s="9"/>
    </row>
    <row r="624" spans="1:21" hidden="1">
      <c r="A624" s="299">
        <f t="shared" si="14"/>
        <v>623</v>
      </c>
      <c r="B624" s="323">
        <v>46100</v>
      </c>
      <c r="C624" s="303" t="s">
        <v>42</v>
      </c>
      <c r="D624" s="303" t="s">
        <v>4020</v>
      </c>
      <c r="E624" s="303" t="s">
        <v>22</v>
      </c>
      <c r="F624" s="303" t="s">
        <v>44</v>
      </c>
      <c r="G624" s="303" t="s">
        <v>4032</v>
      </c>
      <c r="H624" s="346">
        <v>9326736192</v>
      </c>
      <c r="I624" s="314"/>
      <c r="J624" s="305" t="s">
        <v>567</v>
      </c>
      <c r="K624" s="303" t="s">
        <v>4751</v>
      </c>
      <c r="L624" s="303" t="s">
        <v>49</v>
      </c>
      <c r="M624" s="303" t="s">
        <v>50</v>
      </c>
      <c r="N624" s="303"/>
      <c r="O624" s="307"/>
      <c r="P624" s="375"/>
      <c r="Q624" s="305"/>
      <c r="R624" s="309"/>
      <c r="S624" s="262" t="s">
        <v>4738</v>
      </c>
      <c r="T624" s="9"/>
      <c r="U624" s="9"/>
    </row>
    <row r="625" spans="1:21" hidden="1">
      <c r="A625" s="288">
        <f t="shared" si="14"/>
        <v>624</v>
      </c>
      <c r="B625" s="322">
        <v>46101</v>
      </c>
      <c r="C625" s="292" t="s">
        <v>962</v>
      </c>
      <c r="D625" s="292" t="s">
        <v>4752</v>
      </c>
      <c r="E625" s="295" t="s">
        <v>22</v>
      </c>
      <c r="F625" s="292" t="s">
        <v>32</v>
      </c>
      <c r="G625" s="315" t="s">
        <v>4753</v>
      </c>
      <c r="H625" s="315" t="s">
        <v>4754</v>
      </c>
      <c r="I625" s="315" t="s">
        <v>4755</v>
      </c>
      <c r="J625" s="294" t="s">
        <v>25</v>
      </c>
      <c r="K625" s="418" t="s">
        <v>4756</v>
      </c>
      <c r="L625" s="292" t="s">
        <v>27</v>
      </c>
      <c r="M625" s="292" t="s">
        <v>28</v>
      </c>
      <c r="N625" s="292" t="s">
        <v>4757</v>
      </c>
      <c r="O625" s="296">
        <v>46102</v>
      </c>
      <c r="P625" s="403"/>
      <c r="Q625" s="294" t="s">
        <v>30</v>
      </c>
      <c r="R625" s="298"/>
      <c r="S625" s="262" t="s">
        <v>4758</v>
      </c>
      <c r="T625" s="9"/>
      <c r="U625" s="9"/>
    </row>
    <row r="626" spans="1:21" hidden="1">
      <c r="A626" s="299">
        <f t="shared" si="14"/>
        <v>625</v>
      </c>
      <c r="B626" s="323">
        <v>46101</v>
      </c>
      <c r="C626" s="303" t="s">
        <v>4759</v>
      </c>
      <c r="D626" s="303" t="s">
        <v>2762</v>
      </c>
      <c r="E626" s="314" t="s">
        <v>22</v>
      </c>
      <c r="F626" s="303" t="s">
        <v>32</v>
      </c>
      <c r="G626" s="316" t="s">
        <v>4703</v>
      </c>
      <c r="H626" s="316"/>
      <c r="I626" s="316" t="s">
        <v>3972</v>
      </c>
      <c r="J626" s="305" t="s">
        <v>1698</v>
      </c>
      <c r="K626" s="425" t="s">
        <v>3973</v>
      </c>
      <c r="L626" s="303" t="s">
        <v>27</v>
      </c>
      <c r="M626" s="303" t="s">
        <v>77</v>
      </c>
      <c r="N626" s="303" t="s">
        <v>4760</v>
      </c>
      <c r="O626" s="307">
        <v>46103</v>
      </c>
      <c r="P626" s="313"/>
      <c r="Q626" s="305" t="s">
        <v>79</v>
      </c>
      <c r="R626" s="309"/>
      <c r="S626" s="262" t="s">
        <v>4758</v>
      </c>
      <c r="T626" s="9"/>
      <c r="U626" s="9"/>
    </row>
    <row r="627" spans="1:21" hidden="1">
      <c r="A627" s="288">
        <f t="shared" si="14"/>
        <v>626</v>
      </c>
      <c r="B627" s="322">
        <v>46101</v>
      </c>
      <c r="C627" s="292" t="s">
        <v>4761</v>
      </c>
      <c r="D627" s="292" t="s">
        <v>4762</v>
      </c>
      <c r="E627" s="292" t="s">
        <v>82</v>
      </c>
      <c r="F627" s="292" t="s">
        <v>44</v>
      </c>
      <c r="G627" s="292" t="s">
        <v>3304</v>
      </c>
      <c r="H627" s="318">
        <v>7339420090</v>
      </c>
      <c r="I627" s="294" t="s">
        <v>4763</v>
      </c>
      <c r="J627" s="294" t="s">
        <v>122</v>
      </c>
      <c r="K627" s="292" t="s">
        <v>4764</v>
      </c>
      <c r="L627" s="292" t="s">
        <v>49</v>
      </c>
      <c r="M627" s="292" t="s">
        <v>50</v>
      </c>
      <c r="N627" s="292"/>
      <c r="O627" s="296"/>
      <c r="P627" s="403"/>
      <c r="Q627" s="294"/>
      <c r="R627" s="298"/>
      <c r="S627" s="262" t="s">
        <v>4758</v>
      </c>
      <c r="T627" s="9"/>
      <c r="U627" s="9"/>
    </row>
    <row r="628" spans="1:21" hidden="1">
      <c r="A628" s="299">
        <f t="shared" si="14"/>
        <v>627</v>
      </c>
      <c r="B628" s="323">
        <v>46101</v>
      </c>
      <c r="C628" s="303" t="s">
        <v>42</v>
      </c>
      <c r="D628" s="303" t="s">
        <v>2762</v>
      </c>
      <c r="E628" s="303" t="s">
        <v>22</v>
      </c>
      <c r="F628" s="303" t="s">
        <v>23</v>
      </c>
      <c r="G628" s="303" t="s">
        <v>4138</v>
      </c>
      <c r="H628" s="305">
        <v>9309842320</v>
      </c>
      <c r="I628" s="305" t="s">
        <v>4765</v>
      </c>
      <c r="J628" s="305" t="s">
        <v>122</v>
      </c>
      <c r="K628" s="303" t="s">
        <v>4766</v>
      </c>
      <c r="L628" s="303" t="s">
        <v>49</v>
      </c>
      <c r="M628" s="303" t="s">
        <v>50</v>
      </c>
      <c r="N628" s="303"/>
      <c r="O628" s="307"/>
      <c r="P628" s="375"/>
      <c r="Q628" s="305"/>
      <c r="R628" s="309"/>
      <c r="S628" s="262" t="s">
        <v>4758</v>
      </c>
      <c r="T628" s="9"/>
      <c r="U628" s="9"/>
    </row>
    <row r="629" spans="1:21" hidden="1">
      <c r="A629" s="288">
        <f t="shared" si="14"/>
        <v>628</v>
      </c>
      <c r="B629" s="322">
        <v>46101</v>
      </c>
      <c r="C629" s="292" t="s">
        <v>4767</v>
      </c>
      <c r="D629" s="292" t="s">
        <v>4768</v>
      </c>
      <c r="E629" s="292" t="s">
        <v>199</v>
      </c>
      <c r="F629" s="292" t="s">
        <v>44</v>
      </c>
      <c r="G629" s="292" t="s">
        <v>44</v>
      </c>
      <c r="H629" s="318">
        <v>6377005037</v>
      </c>
      <c r="I629" s="294" t="s">
        <v>4769</v>
      </c>
      <c r="J629" s="294" t="s">
        <v>63</v>
      </c>
      <c r="K629" s="292" t="s">
        <v>4770</v>
      </c>
      <c r="L629" s="292" t="s">
        <v>49</v>
      </c>
      <c r="M629" s="292" t="s">
        <v>50</v>
      </c>
      <c r="N629" s="292"/>
      <c r="O629" s="296"/>
      <c r="P629" s="403"/>
      <c r="Q629" s="294"/>
      <c r="R629" s="298"/>
      <c r="S629" s="262" t="s">
        <v>4758</v>
      </c>
      <c r="T629" s="9"/>
      <c r="U629" s="9"/>
    </row>
    <row r="630" spans="1:21" hidden="1">
      <c r="A630" s="299">
        <f t="shared" si="14"/>
        <v>629</v>
      </c>
      <c r="B630" s="323">
        <v>46101</v>
      </c>
      <c r="C630" s="303" t="s">
        <v>4771</v>
      </c>
      <c r="D630" s="303" t="s">
        <v>2762</v>
      </c>
      <c r="E630" s="303" t="s">
        <v>22</v>
      </c>
      <c r="F630" s="303" t="s">
        <v>83</v>
      </c>
      <c r="G630" s="303" t="s">
        <v>852</v>
      </c>
      <c r="H630" s="346">
        <v>8208567422</v>
      </c>
      <c r="I630" s="305" t="s">
        <v>4772</v>
      </c>
      <c r="J630" s="305" t="s">
        <v>122</v>
      </c>
      <c r="K630" s="303" t="s">
        <v>3692</v>
      </c>
      <c r="L630" s="303" t="s">
        <v>49</v>
      </c>
      <c r="M630" s="303" t="s">
        <v>2623</v>
      </c>
      <c r="N630" s="303"/>
      <c r="O630" s="307"/>
      <c r="P630" s="375"/>
      <c r="Q630" s="305"/>
      <c r="R630" s="309"/>
      <c r="S630" s="262" t="s">
        <v>4758</v>
      </c>
      <c r="T630" s="9"/>
      <c r="U630" s="9"/>
    </row>
    <row r="631" spans="1:21" hidden="1">
      <c r="A631" s="288">
        <f t="shared" si="14"/>
        <v>630</v>
      </c>
      <c r="B631" s="322">
        <v>46101</v>
      </c>
      <c r="C631" s="292" t="s">
        <v>4773</v>
      </c>
      <c r="D631" s="292" t="s">
        <v>4774</v>
      </c>
      <c r="E631" s="292" t="s">
        <v>22</v>
      </c>
      <c r="F631" s="292" t="s">
        <v>60</v>
      </c>
      <c r="G631" s="292" t="s">
        <v>135</v>
      </c>
      <c r="H631" s="318">
        <v>9665006844</v>
      </c>
      <c r="I631" s="426" t="s">
        <v>4775</v>
      </c>
      <c r="J631" s="294" t="s">
        <v>56</v>
      </c>
      <c r="K631" s="292" t="s">
        <v>4773</v>
      </c>
      <c r="L631" s="292" t="s">
        <v>49</v>
      </c>
      <c r="M631" s="292" t="s">
        <v>40</v>
      </c>
      <c r="N631" s="292"/>
      <c r="O631" s="296"/>
      <c r="P631" s="403"/>
      <c r="Q631" s="294"/>
      <c r="R631" s="298"/>
      <c r="S631" s="262" t="s">
        <v>4758</v>
      </c>
      <c r="T631" s="9"/>
      <c r="U631" s="9"/>
    </row>
    <row r="632" spans="1:21" hidden="1">
      <c r="A632" s="299">
        <f t="shared" si="14"/>
        <v>631</v>
      </c>
      <c r="B632" s="323">
        <v>46101</v>
      </c>
      <c r="C632" s="303" t="s">
        <v>4776</v>
      </c>
      <c r="D632" s="303" t="s">
        <v>460</v>
      </c>
      <c r="E632" s="303" t="s">
        <v>82</v>
      </c>
      <c r="F632" s="303" t="s">
        <v>73</v>
      </c>
      <c r="G632" s="303" t="s">
        <v>449</v>
      </c>
      <c r="H632" s="346">
        <v>9842171393</v>
      </c>
      <c r="I632" s="356" t="s">
        <v>4777</v>
      </c>
      <c r="J632" s="305" t="s">
        <v>63</v>
      </c>
      <c r="K632" s="303" t="s">
        <v>4778</v>
      </c>
      <c r="L632" s="303" t="s">
        <v>58</v>
      </c>
      <c r="M632" s="303" t="s">
        <v>50</v>
      </c>
      <c r="N632" s="303"/>
      <c r="O632" s="307"/>
      <c r="P632" s="375"/>
      <c r="Q632" s="305"/>
      <c r="R632" s="309"/>
      <c r="S632" s="262" t="s">
        <v>4758</v>
      </c>
      <c r="T632" s="9"/>
      <c r="U632" s="9"/>
    </row>
    <row r="633" spans="1:21" hidden="1">
      <c r="A633" s="288">
        <f t="shared" si="14"/>
        <v>632</v>
      </c>
      <c r="B633" s="322">
        <v>46101</v>
      </c>
      <c r="C633" s="292" t="s">
        <v>4779</v>
      </c>
      <c r="D633" s="292" t="s">
        <v>4780</v>
      </c>
      <c r="E633" s="292" t="s">
        <v>1421</v>
      </c>
      <c r="F633" s="292" t="s">
        <v>73</v>
      </c>
      <c r="G633" s="292" t="s">
        <v>449</v>
      </c>
      <c r="H633" s="318">
        <v>9583577044</v>
      </c>
      <c r="I633" s="292" t="s">
        <v>4781</v>
      </c>
      <c r="J633" s="294" t="s">
        <v>567</v>
      </c>
      <c r="K633" s="292" t="s">
        <v>4782</v>
      </c>
      <c r="L633" s="292" t="s">
        <v>58</v>
      </c>
      <c r="M633" s="292" t="s">
        <v>50</v>
      </c>
      <c r="N633" s="292"/>
      <c r="O633" s="296"/>
      <c r="P633" s="403"/>
      <c r="Q633" s="294"/>
      <c r="R633" s="298"/>
      <c r="S633" s="262" t="s">
        <v>4758</v>
      </c>
      <c r="T633" s="9"/>
      <c r="U633" s="9"/>
    </row>
    <row r="634" spans="1:21" hidden="1">
      <c r="A634" s="299">
        <f t="shared" si="14"/>
        <v>633</v>
      </c>
      <c r="B634" s="323">
        <v>46101</v>
      </c>
      <c r="C634" s="303" t="s">
        <v>42</v>
      </c>
      <c r="D634" s="303" t="s">
        <v>359</v>
      </c>
      <c r="E634" s="303" t="s">
        <v>193</v>
      </c>
      <c r="F634" s="303" t="s">
        <v>44</v>
      </c>
      <c r="G634" s="316" t="s">
        <v>4783</v>
      </c>
      <c r="H634" s="346">
        <v>9662233553</v>
      </c>
      <c r="I634" s="314"/>
      <c r="J634" s="305" t="s">
        <v>63</v>
      </c>
      <c r="K634" s="303" t="s">
        <v>4784</v>
      </c>
      <c r="L634" s="303" t="s">
        <v>58</v>
      </c>
      <c r="M634" s="303" t="s">
        <v>50</v>
      </c>
      <c r="N634" s="303"/>
      <c r="O634" s="307"/>
      <c r="P634" s="375"/>
      <c r="Q634" s="305"/>
      <c r="R634" s="309"/>
      <c r="S634" s="262" t="s">
        <v>4758</v>
      </c>
      <c r="T634" s="9"/>
      <c r="U634" s="9"/>
    </row>
    <row r="635" spans="1:21" hidden="1">
      <c r="A635" s="288">
        <f t="shared" si="14"/>
        <v>634</v>
      </c>
      <c r="B635" s="322">
        <v>46102</v>
      </c>
      <c r="C635" s="292" t="s">
        <v>4785</v>
      </c>
      <c r="D635" s="292" t="s">
        <v>4786</v>
      </c>
      <c r="E635" s="292" t="s">
        <v>82</v>
      </c>
      <c r="F635" s="292" t="s">
        <v>23</v>
      </c>
      <c r="G635" s="315" t="s">
        <v>4787</v>
      </c>
      <c r="H635" s="318">
        <v>9500086765</v>
      </c>
      <c r="I635" s="294" t="s">
        <v>4788</v>
      </c>
      <c r="J635" s="294" t="s">
        <v>63</v>
      </c>
      <c r="K635" s="292"/>
      <c r="L635" s="292" t="s">
        <v>49</v>
      </c>
      <c r="M635" s="292" t="s">
        <v>50</v>
      </c>
      <c r="N635" s="292"/>
      <c r="O635" s="296"/>
      <c r="P635" s="403"/>
      <c r="Q635" s="294"/>
      <c r="R635" s="298"/>
      <c r="S635" s="262" t="s">
        <v>4789</v>
      </c>
      <c r="T635" s="9"/>
      <c r="U635" s="9"/>
    </row>
    <row r="636" spans="1:21" hidden="1">
      <c r="A636" s="299">
        <f t="shared" si="14"/>
        <v>635</v>
      </c>
      <c r="B636" s="323">
        <v>46102</v>
      </c>
      <c r="C636" s="303" t="s">
        <v>4790</v>
      </c>
      <c r="D636" s="303" t="s">
        <v>4791</v>
      </c>
      <c r="E636" s="303" t="s">
        <v>193</v>
      </c>
      <c r="F636" s="303" t="s">
        <v>23</v>
      </c>
      <c r="G636" s="316" t="s">
        <v>1220</v>
      </c>
      <c r="H636" s="346">
        <v>9067298517</v>
      </c>
      <c r="I636" s="305" t="s">
        <v>4792</v>
      </c>
      <c r="J636" s="305" t="s">
        <v>63</v>
      </c>
      <c r="K636" s="303" t="s">
        <v>4793</v>
      </c>
      <c r="L636" s="303" t="s">
        <v>49</v>
      </c>
      <c r="M636" s="303" t="s">
        <v>50</v>
      </c>
      <c r="N636" s="303"/>
      <c r="O636" s="307"/>
      <c r="P636" s="375"/>
      <c r="Q636" s="305"/>
      <c r="R636" s="309"/>
      <c r="S636" s="262" t="s">
        <v>4789</v>
      </c>
      <c r="T636" s="9"/>
      <c r="U636" s="9"/>
    </row>
    <row r="637" spans="1:21" hidden="1">
      <c r="A637" s="288">
        <f t="shared" si="14"/>
        <v>636</v>
      </c>
      <c r="B637" s="322">
        <v>46102</v>
      </c>
      <c r="C637" s="292" t="s">
        <v>4744</v>
      </c>
      <c r="D637" s="292" t="s">
        <v>2762</v>
      </c>
      <c r="E637" s="292" t="s">
        <v>22</v>
      </c>
      <c r="F637" s="292" t="s">
        <v>60</v>
      </c>
      <c r="G637" s="315" t="s">
        <v>180</v>
      </c>
      <c r="H637" s="318">
        <v>8956557211</v>
      </c>
      <c r="I637" s="295"/>
      <c r="J637" s="294" t="s">
        <v>567</v>
      </c>
      <c r="K637" s="292" t="s">
        <v>3066</v>
      </c>
      <c r="L637" s="292" t="s">
        <v>49</v>
      </c>
      <c r="M637" s="292" t="s">
        <v>40</v>
      </c>
      <c r="N637" s="292"/>
      <c r="O637" s="296"/>
      <c r="P637" s="403"/>
      <c r="Q637" s="294"/>
      <c r="R637" s="298"/>
      <c r="S637" s="262" t="s">
        <v>4789</v>
      </c>
      <c r="T637" s="9"/>
      <c r="U637" s="9"/>
    </row>
    <row r="638" spans="1:21" hidden="1">
      <c r="A638" s="299">
        <f t="shared" si="14"/>
        <v>637</v>
      </c>
      <c r="B638" s="323">
        <v>46102</v>
      </c>
      <c r="C638" s="303"/>
      <c r="D638" s="303" t="s">
        <v>749</v>
      </c>
      <c r="E638" s="303" t="s">
        <v>214</v>
      </c>
      <c r="F638" s="303" t="s">
        <v>83</v>
      </c>
      <c r="G638" s="316" t="s">
        <v>4794</v>
      </c>
      <c r="H638" s="346">
        <v>6301528656</v>
      </c>
      <c r="I638" s="314"/>
      <c r="J638" s="305" t="s">
        <v>1624</v>
      </c>
      <c r="K638" s="303" t="s">
        <v>3758</v>
      </c>
      <c r="L638" s="303" t="s">
        <v>58</v>
      </c>
      <c r="M638" s="303" t="s">
        <v>28</v>
      </c>
      <c r="N638" s="303"/>
      <c r="O638" s="307"/>
      <c r="P638" s="375"/>
      <c r="Q638" s="305"/>
      <c r="R638" s="309"/>
      <c r="S638" s="262" t="s">
        <v>4789</v>
      </c>
      <c r="T638" s="9"/>
      <c r="U638" s="9"/>
    </row>
    <row r="639" spans="1:21" hidden="1">
      <c r="A639" s="288">
        <f t="shared" si="14"/>
        <v>638</v>
      </c>
      <c r="B639" s="322">
        <v>46102</v>
      </c>
      <c r="C639" s="292" t="s">
        <v>4795</v>
      </c>
      <c r="D639" s="292" t="s">
        <v>131</v>
      </c>
      <c r="E639" s="292" t="s">
        <v>22</v>
      </c>
      <c r="F639" s="292" t="s">
        <v>1561</v>
      </c>
      <c r="G639" s="315" t="s">
        <v>4796</v>
      </c>
      <c r="H639" s="315"/>
      <c r="I639" s="362" t="s">
        <v>4797</v>
      </c>
      <c r="J639" s="294" t="s">
        <v>1698</v>
      </c>
      <c r="K639" s="292"/>
      <c r="L639" s="292" t="s">
        <v>27</v>
      </c>
      <c r="M639" s="292" t="s">
        <v>50</v>
      </c>
      <c r="N639" s="292"/>
      <c r="O639" s="296"/>
      <c r="P639" s="403"/>
      <c r="Q639" s="294"/>
      <c r="R639" s="298"/>
      <c r="S639" s="262" t="s">
        <v>4789</v>
      </c>
      <c r="T639" s="9"/>
      <c r="U639" s="9"/>
    </row>
    <row r="640" spans="1:21" hidden="1">
      <c r="A640" s="299">
        <f t="shared" si="14"/>
        <v>639</v>
      </c>
      <c r="B640" s="323">
        <v>46102</v>
      </c>
      <c r="C640" s="303" t="s">
        <v>4798</v>
      </c>
      <c r="D640" s="303" t="s">
        <v>131</v>
      </c>
      <c r="E640" s="303" t="s">
        <v>22</v>
      </c>
      <c r="F640" s="303" t="s">
        <v>60</v>
      </c>
      <c r="G640" s="316" t="s">
        <v>4799</v>
      </c>
      <c r="H640" s="316">
        <v>9701346790</v>
      </c>
      <c r="I640" s="353" t="s">
        <v>4800</v>
      </c>
      <c r="J640" s="305" t="s">
        <v>1698</v>
      </c>
      <c r="K640" s="303" t="s">
        <v>4801</v>
      </c>
      <c r="L640" s="303" t="s">
        <v>27</v>
      </c>
      <c r="M640" s="303" t="s">
        <v>50</v>
      </c>
      <c r="N640" s="303" t="s">
        <v>4802</v>
      </c>
      <c r="O640" s="307">
        <v>46102</v>
      </c>
      <c r="P640" s="313">
        <v>270431</v>
      </c>
      <c r="Q640" s="305" t="s">
        <v>70</v>
      </c>
      <c r="R640" s="309"/>
      <c r="S640" s="262" t="s">
        <v>4789</v>
      </c>
      <c r="T640" s="9"/>
      <c r="U640" s="9"/>
    </row>
    <row r="641" spans="1:21" hidden="1">
      <c r="A641" s="288">
        <f t="shared" si="14"/>
        <v>640</v>
      </c>
      <c r="B641" s="322">
        <v>46102</v>
      </c>
      <c r="C641" s="292" t="s">
        <v>858</v>
      </c>
      <c r="D641" s="292" t="s">
        <v>4803</v>
      </c>
      <c r="E641" s="292" t="s">
        <v>22</v>
      </c>
      <c r="F641" s="292" t="s">
        <v>60</v>
      </c>
      <c r="G641" s="315" t="s">
        <v>4804</v>
      </c>
      <c r="H641" s="315">
        <v>9701346791</v>
      </c>
      <c r="I641" s="396" t="s">
        <v>4805</v>
      </c>
      <c r="J641" s="294" t="s">
        <v>1698</v>
      </c>
      <c r="K641" s="292" t="s">
        <v>4806</v>
      </c>
      <c r="L641" s="292" t="s">
        <v>27</v>
      </c>
      <c r="M641" s="292" t="s">
        <v>40</v>
      </c>
      <c r="N641" s="292"/>
      <c r="O641" s="296"/>
      <c r="P641" s="403"/>
      <c r="Q641" s="294"/>
      <c r="R641" s="298"/>
      <c r="S641" s="262" t="s">
        <v>4789</v>
      </c>
      <c r="T641" s="9"/>
      <c r="U641" s="9"/>
    </row>
    <row r="642" spans="1:21" hidden="1">
      <c r="A642" s="299">
        <f t="shared" si="14"/>
        <v>641</v>
      </c>
      <c r="B642" s="323">
        <v>46102</v>
      </c>
      <c r="C642" s="303" t="s">
        <v>4120</v>
      </c>
      <c r="D642" s="303" t="s">
        <v>4121</v>
      </c>
      <c r="E642" s="303" t="s">
        <v>22</v>
      </c>
      <c r="F642" s="303" t="s">
        <v>32</v>
      </c>
      <c r="G642" s="316" t="s">
        <v>4807</v>
      </c>
      <c r="H642" s="316"/>
      <c r="I642" s="316" t="s">
        <v>4808</v>
      </c>
      <c r="J642" s="305" t="s">
        <v>1698</v>
      </c>
      <c r="K642" s="303" t="s">
        <v>4809</v>
      </c>
      <c r="L642" s="303" t="s">
        <v>27</v>
      </c>
      <c r="M642" s="303" t="s">
        <v>28</v>
      </c>
      <c r="N642" s="303" t="s">
        <v>4810</v>
      </c>
      <c r="O642" s="307">
        <v>46103</v>
      </c>
      <c r="P642" s="313"/>
      <c r="Q642" s="305" t="s">
        <v>70</v>
      </c>
      <c r="R642" s="309"/>
      <c r="S642" s="262" t="s">
        <v>4789</v>
      </c>
      <c r="T642" s="9"/>
      <c r="U642" s="9"/>
    </row>
    <row r="643" spans="1:21" hidden="1">
      <c r="A643" s="288">
        <f t="shared" si="14"/>
        <v>642</v>
      </c>
      <c r="B643" s="322">
        <v>46102</v>
      </c>
      <c r="C643" s="292" t="s">
        <v>4811</v>
      </c>
      <c r="D643" s="292" t="s">
        <v>1708</v>
      </c>
      <c r="E643" s="292" t="s">
        <v>22</v>
      </c>
      <c r="F643" s="292" t="s">
        <v>1239</v>
      </c>
      <c r="G643" s="315" t="s">
        <v>4812</v>
      </c>
      <c r="H643" s="315"/>
      <c r="I643" s="362" t="s">
        <v>4813</v>
      </c>
      <c r="J643" s="294" t="s">
        <v>1698</v>
      </c>
      <c r="K643" s="292" t="s">
        <v>1569</v>
      </c>
      <c r="L643" s="292" t="s">
        <v>27</v>
      </c>
      <c r="M643" s="292" t="s">
        <v>28</v>
      </c>
      <c r="N643" s="292" t="s">
        <v>4814</v>
      </c>
      <c r="O643" s="296">
        <v>46103</v>
      </c>
      <c r="P643" s="319">
        <v>915000</v>
      </c>
      <c r="Q643" s="294" t="s">
        <v>70</v>
      </c>
      <c r="R643" s="298"/>
      <c r="S643" s="262" t="s">
        <v>4789</v>
      </c>
      <c r="T643" s="9"/>
      <c r="U643" s="9"/>
    </row>
    <row r="644" spans="1:21" hidden="1">
      <c r="A644" s="299">
        <f t="shared" si="14"/>
        <v>643</v>
      </c>
      <c r="B644" s="323">
        <v>46102</v>
      </c>
      <c r="C644" s="303" t="s">
        <v>71</v>
      </c>
      <c r="D644" s="303" t="s">
        <v>2146</v>
      </c>
      <c r="E644" s="303" t="s">
        <v>22</v>
      </c>
      <c r="F644" s="303" t="s">
        <v>1239</v>
      </c>
      <c r="G644" s="316" t="s">
        <v>4812</v>
      </c>
      <c r="H644" s="427" t="s">
        <v>931</v>
      </c>
      <c r="I644" s="428" t="s">
        <v>803</v>
      </c>
      <c r="J644" s="305" t="s">
        <v>1698</v>
      </c>
      <c r="K644" s="429" t="s">
        <v>932</v>
      </c>
      <c r="L644" s="303" t="s">
        <v>27</v>
      </c>
      <c r="M644" s="303" t="s">
        <v>77</v>
      </c>
      <c r="N644" s="303" t="s">
        <v>4815</v>
      </c>
      <c r="O644" s="307">
        <v>46103</v>
      </c>
      <c r="P644" s="412">
        <v>525000</v>
      </c>
      <c r="Q644" s="305" t="s">
        <v>79</v>
      </c>
      <c r="R644" s="309"/>
      <c r="S644" s="262" t="s">
        <v>4789</v>
      </c>
      <c r="T644" s="9"/>
      <c r="U644" s="9"/>
    </row>
    <row r="645" spans="1:21">
      <c r="A645" s="288">
        <f t="shared" si="14"/>
        <v>644</v>
      </c>
      <c r="B645" s="322">
        <v>46103</v>
      </c>
      <c r="C645" s="292" t="s">
        <v>4816</v>
      </c>
      <c r="D645" s="292" t="s">
        <v>31</v>
      </c>
      <c r="E645" s="292" t="s">
        <v>22</v>
      </c>
      <c r="F645" s="292" t="s">
        <v>73</v>
      </c>
      <c r="G645" s="315" t="s">
        <v>4817</v>
      </c>
      <c r="H645" s="315"/>
      <c r="I645" s="339"/>
      <c r="J645" s="294" t="s">
        <v>1698</v>
      </c>
      <c r="K645" s="292"/>
      <c r="L645" s="292" t="s">
        <v>27</v>
      </c>
      <c r="M645" s="292" t="s">
        <v>28</v>
      </c>
      <c r="N645" s="292"/>
      <c r="O645" s="296"/>
      <c r="P645" s="403"/>
      <c r="Q645" s="294"/>
      <c r="R645" s="298"/>
      <c r="S645" s="262" t="s">
        <v>4818</v>
      </c>
      <c r="T645" s="9"/>
      <c r="U645" s="9"/>
    </row>
    <row r="646" spans="1:21" hidden="1">
      <c r="A646" s="299">
        <f t="shared" si="14"/>
        <v>645</v>
      </c>
      <c r="B646" s="323">
        <v>46103</v>
      </c>
      <c r="C646" s="303"/>
      <c r="D646" s="303" t="s">
        <v>3129</v>
      </c>
      <c r="E646" s="303" t="s">
        <v>3130</v>
      </c>
      <c r="F646" s="303" t="s">
        <v>60</v>
      </c>
      <c r="G646" s="316" t="s">
        <v>170</v>
      </c>
      <c r="H646" s="346">
        <v>9600788351</v>
      </c>
      <c r="I646" s="314"/>
      <c r="J646" s="305" t="s">
        <v>122</v>
      </c>
      <c r="K646" s="303" t="s">
        <v>4819</v>
      </c>
      <c r="L646" s="303" t="s">
        <v>49</v>
      </c>
      <c r="M646" s="303" t="s">
        <v>40</v>
      </c>
      <c r="N646" s="303"/>
      <c r="O646" s="307"/>
      <c r="P646" s="375"/>
      <c r="Q646" s="305"/>
      <c r="R646" s="309"/>
      <c r="S646" s="262" t="s">
        <v>4818</v>
      </c>
      <c r="T646" s="9"/>
      <c r="U646" s="9"/>
    </row>
    <row r="647" spans="1:21" hidden="1">
      <c r="A647" s="288">
        <f t="shared" si="14"/>
        <v>646</v>
      </c>
      <c r="B647" s="322">
        <v>46103</v>
      </c>
      <c r="C647" s="292" t="s">
        <v>4820</v>
      </c>
      <c r="D647" s="292" t="s">
        <v>4821</v>
      </c>
      <c r="E647" s="292" t="s">
        <v>82</v>
      </c>
      <c r="F647" s="292" t="s">
        <v>60</v>
      </c>
      <c r="G647" s="315" t="s">
        <v>170</v>
      </c>
      <c r="H647" s="318">
        <v>6384937381</v>
      </c>
      <c r="I647" s="294" t="s">
        <v>4822</v>
      </c>
      <c r="J647" s="294" t="s">
        <v>63</v>
      </c>
      <c r="K647" s="292"/>
      <c r="L647" s="292" t="s">
        <v>49</v>
      </c>
      <c r="M647" s="292" t="s">
        <v>40</v>
      </c>
      <c r="N647" s="292"/>
      <c r="O647" s="296"/>
      <c r="P647" s="403"/>
      <c r="Q647" s="294"/>
      <c r="R647" s="298"/>
      <c r="S647" s="262" t="s">
        <v>4818</v>
      </c>
      <c r="T647" s="9"/>
      <c r="U647" s="9"/>
    </row>
    <row r="648" spans="1:21" hidden="1">
      <c r="A648" s="299">
        <f t="shared" si="14"/>
        <v>647</v>
      </c>
      <c r="B648" s="323">
        <v>46103</v>
      </c>
      <c r="C648" s="303" t="s">
        <v>4823</v>
      </c>
      <c r="D648" s="303" t="s">
        <v>4824</v>
      </c>
      <c r="E648" s="303" t="s">
        <v>595</v>
      </c>
      <c r="F648" s="303" t="s">
        <v>44</v>
      </c>
      <c r="G648" s="316" t="s">
        <v>4825</v>
      </c>
      <c r="H648" s="346">
        <v>7719356412</v>
      </c>
      <c r="I648" s="305" t="s">
        <v>4826</v>
      </c>
      <c r="J648" s="305" t="s">
        <v>1113</v>
      </c>
      <c r="K648" s="303" t="s">
        <v>4827</v>
      </c>
      <c r="L648" s="303" t="s">
        <v>49</v>
      </c>
      <c r="M648" s="303" t="s">
        <v>50</v>
      </c>
      <c r="N648" s="303"/>
      <c r="O648" s="307"/>
      <c r="P648" s="375"/>
      <c r="Q648" s="305"/>
      <c r="R648" s="309"/>
      <c r="S648" s="262" t="s">
        <v>4818</v>
      </c>
      <c r="T648" s="9"/>
      <c r="U648" s="9"/>
    </row>
    <row r="649" spans="1:21" hidden="1">
      <c r="A649" s="288">
        <f t="shared" si="14"/>
        <v>648</v>
      </c>
      <c r="B649" s="322">
        <v>46103</v>
      </c>
      <c r="C649" s="292"/>
      <c r="D649" s="292" t="s">
        <v>2762</v>
      </c>
      <c r="E649" s="295" t="s">
        <v>22</v>
      </c>
      <c r="F649" s="292" t="s">
        <v>60</v>
      </c>
      <c r="G649" s="315" t="s">
        <v>180</v>
      </c>
      <c r="H649" s="318">
        <v>8956741901</v>
      </c>
      <c r="I649" s="294" t="s">
        <v>4828</v>
      </c>
      <c r="J649" s="294" t="s">
        <v>56</v>
      </c>
      <c r="K649" s="292" t="s">
        <v>4829</v>
      </c>
      <c r="L649" s="292" t="s">
        <v>49</v>
      </c>
      <c r="M649" s="292" t="s">
        <v>40</v>
      </c>
      <c r="N649" s="292"/>
      <c r="O649" s="296"/>
      <c r="P649" s="403"/>
      <c r="Q649" s="294"/>
      <c r="R649" s="298"/>
      <c r="S649" s="262" t="s">
        <v>4818</v>
      </c>
      <c r="T649" s="9"/>
      <c r="U649" s="9"/>
    </row>
    <row r="650" spans="1:21" hidden="1">
      <c r="A650" s="299">
        <f t="shared" si="14"/>
        <v>649</v>
      </c>
      <c r="B650" s="323">
        <v>46103</v>
      </c>
      <c r="C650" s="303" t="s">
        <v>4830</v>
      </c>
      <c r="D650" s="303" t="s">
        <v>4831</v>
      </c>
      <c r="E650" s="303" t="s">
        <v>22</v>
      </c>
      <c r="F650" s="303" t="s">
        <v>44</v>
      </c>
      <c r="G650" s="316" t="s">
        <v>4832</v>
      </c>
      <c r="H650" s="346">
        <v>8855055506</v>
      </c>
      <c r="I650" s="305" t="s">
        <v>4833</v>
      </c>
      <c r="J650" s="305" t="s">
        <v>122</v>
      </c>
      <c r="K650" s="303" t="s">
        <v>4834</v>
      </c>
      <c r="L650" s="303" t="s">
        <v>49</v>
      </c>
      <c r="M650" s="303" t="s">
        <v>50</v>
      </c>
      <c r="N650" s="303"/>
      <c r="O650" s="307"/>
      <c r="P650" s="375"/>
      <c r="Q650" s="305"/>
      <c r="R650" s="309"/>
      <c r="S650" s="262" t="s">
        <v>4818</v>
      </c>
      <c r="T650" s="9"/>
      <c r="U650" s="9"/>
    </row>
    <row r="651" spans="1:21" hidden="1">
      <c r="A651" s="288">
        <f t="shared" si="14"/>
        <v>650</v>
      </c>
      <c r="B651" s="322">
        <v>46103</v>
      </c>
      <c r="C651" s="292" t="s">
        <v>4835</v>
      </c>
      <c r="D651" s="292" t="s">
        <v>4836</v>
      </c>
      <c r="E651" s="292" t="s">
        <v>22</v>
      </c>
      <c r="F651" s="292" t="s">
        <v>73</v>
      </c>
      <c r="G651" s="292" t="s">
        <v>2565</v>
      </c>
      <c r="H651" s="318">
        <v>8208391527</v>
      </c>
      <c r="I651" s="294" t="s">
        <v>4837</v>
      </c>
      <c r="J651" s="294" t="s">
        <v>63</v>
      </c>
      <c r="K651" s="292" t="s">
        <v>4838</v>
      </c>
      <c r="L651" s="292" t="s">
        <v>49</v>
      </c>
      <c r="M651" s="292" t="s">
        <v>50</v>
      </c>
      <c r="N651" s="292"/>
      <c r="O651" s="296"/>
      <c r="P651" s="403"/>
      <c r="Q651" s="294"/>
      <c r="R651" s="298"/>
      <c r="S651" s="262" t="s">
        <v>4818</v>
      </c>
      <c r="T651" s="9"/>
      <c r="U651" s="9"/>
    </row>
    <row r="652" spans="1:21" hidden="1">
      <c r="A652" s="299">
        <f t="shared" si="14"/>
        <v>651</v>
      </c>
      <c r="B652" s="323">
        <v>46103</v>
      </c>
      <c r="C652" s="303" t="s">
        <v>4835</v>
      </c>
      <c r="D652" s="303" t="s">
        <v>4839</v>
      </c>
      <c r="E652" s="303" t="s">
        <v>214</v>
      </c>
      <c r="F652" s="303" t="s">
        <v>60</v>
      </c>
      <c r="G652" s="316" t="s">
        <v>244</v>
      </c>
      <c r="H652" s="346">
        <v>9912323490</v>
      </c>
      <c r="I652" s="314"/>
      <c r="J652" s="305" t="s">
        <v>122</v>
      </c>
      <c r="K652" s="303" t="s">
        <v>4840</v>
      </c>
      <c r="L652" s="303" t="s">
        <v>49</v>
      </c>
      <c r="M652" s="303" t="s">
        <v>40</v>
      </c>
      <c r="N652" s="303"/>
      <c r="O652" s="307"/>
      <c r="P652" s="375"/>
      <c r="Q652" s="305"/>
      <c r="R652" s="309"/>
      <c r="S652" s="262" t="s">
        <v>4818</v>
      </c>
      <c r="T652" s="9"/>
      <c r="U652" s="9"/>
    </row>
    <row r="653" spans="1:21" hidden="1">
      <c r="A653" s="288">
        <f t="shared" si="14"/>
        <v>652</v>
      </c>
      <c r="B653" s="322">
        <v>46104</v>
      </c>
      <c r="C653" s="292" t="s">
        <v>4841</v>
      </c>
      <c r="D653" s="292" t="s">
        <v>331</v>
      </c>
      <c r="E653" s="292" t="s">
        <v>214</v>
      </c>
      <c r="F653" s="292" t="s">
        <v>23</v>
      </c>
      <c r="G653" s="315" t="s">
        <v>3418</v>
      </c>
      <c r="H653" s="318">
        <v>9528115504</v>
      </c>
      <c r="I653" s="295"/>
      <c r="J653" s="294" t="s">
        <v>1698</v>
      </c>
      <c r="K653" s="292" t="s">
        <v>4842</v>
      </c>
      <c r="L653" s="292" t="s">
        <v>58</v>
      </c>
      <c r="M653" s="292" t="s">
        <v>50</v>
      </c>
      <c r="N653" s="430"/>
      <c r="O653" s="296"/>
      <c r="P653" s="403"/>
      <c r="Q653" s="294"/>
      <c r="R653" s="298"/>
      <c r="S653" s="262" t="s">
        <v>4843</v>
      </c>
      <c r="T653" s="9"/>
      <c r="U653" s="9"/>
    </row>
    <row r="654" spans="1:21" hidden="1">
      <c r="A654" s="299">
        <f t="shared" si="14"/>
        <v>653</v>
      </c>
      <c r="B654" s="323">
        <v>46104</v>
      </c>
      <c r="C654" s="303"/>
      <c r="D654" s="303"/>
      <c r="E654" s="303"/>
      <c r="F654" s="303" t="s">
        <v>73</v>
      </c>
      <c r="G654" s="316" t="s">
        <v>273</v>
      </c>
      <c r="H654" s="346">
        <v>9380005085</v>
      </c>
      <c r="I654" s="305" t="s">
        <v>835</v>
      </c>
      <c r="J654" s="305" t="s">
        <v>63</v>
      </c>
      <c r="K654" s="303" t="s">
        <v>3673</v>
      </c>
      <c r="L654" s="303" t="s">
        <v>58</v>
      </c>
      <c r="M654" s="303" t="s">
        <v>50</v>
      </c>
      <c r="N654" s="303"/>
      <c r="O654" s="307"/>
      <c r="P654" s="375"/>
      <c r="Q654" s="305"/>
      <c r="R654" s="309"/>
      <c r="S654" s="262" t="s">
        <v>4843</v>
      </c>
      <c r="T654" s="9"/>
      <c r="U654" s="9"/>
    </row>
    <row r="655" spans="1:21" hidden="1">
      <c r="A655" s="288">
        <f t="shared" si="14"/>
        <v>654</v>
      </c>
      <c r="B655" s="322">
        <v>46104</v>
      </c>
      <c r="C655" s="292" t="s">
        <v>4844</v>
      </c>
      <c r="D655" s="292"/>
      <c r="E655" s="292"/>
      <c r="F655" s="292" t="s">
        <v>60</v>
      </c>
      <c r="G655" s="315" t="s">
        <v>180</v>
      </c>
      <c r="H655" s="318">
        <v>9945091147</v>
      </c>
      <c r="I655" s="294" t="s">
        <v>4845</v>
      </c>
      <c r="J655" s="294" t="s">
        <v>567</v>
      </c>
      <c r="K655" s="292" t="s">
        <v>4846</v>
      </c>
      <c r="L655" s="292" t="s">
        <v>49</v>
      </c>
      <c r="M655" s="292" t="s">
        <v>40</v>
      </c>
      <c r="N655" s="292"/>
      <c r="O655" s="296"/>
      <c r="P655" s="403"/>
      <c r="Q655" s="294"/>
      <c r="R655" s="298"/>
      <c r="S655" s="262" t="s">
        <v>4843</v>
      </c>
      <c r="T655" s="9"/>
      <c r="U655" s="9"/>
    </row>
    <row r="656" spans="1:21" hidden="1">
      <c r="A656" s="299">
        <f t="shared" si="14"/>
        <v>655</v>
      </c>
      <c r="B656" s="323">
        <v>46104</v>
      </c>
      <c r="C656" s="303" t="s">
        <v>4847</v>
      </c>
      <c r="D656" s="303" t="s">
        <v>1486</v>
      </c>
      <c r="E656" s="303" t="s">
        <v>193</v>
      </c>
      <c r="F656" s="303" t="s">
        <v>32</v>
      </c>
      <c r="G656" s="303" t="s">
        <v>4848</v>
      </c>
      <c r="H656" s="316"/>
      <c r="I656" s="316" t="s">
        <v>4849</v>
      </c>
      <c r="J656" s="305" t="s">
        <v>1698</v>
      </c>
      <c r="K656" s="303" t="s">
        <v>4850</v>
      </c>
      <c r="L656" s="303" t="s">
        <v>27</v>
      </c>
      <c r="M656" s="303" t="s">
        <v>50</v>
      </c>
      <c r="N656" s="303" t="s">
        <v>4851</v>
      </c>
      <c r="O656" s="307">
        <v>46103</v>
      </c>
      <c r="P656" s="313">
        <v>1214440</v>
      </c>
      <c r="Q656" s="305" t="s">
        <v>292</v>
      </c>
      <c r="R656" s="309"/>
      <c r="S656" s="262" t="s">
        <v>4843</v>
      </c>
      <c r="T656" s="9"/>
      <c r="U656" s="9"/>
    </row>
    <row r="657" spans="1:21" hidden="1">
      <c r="A657" s="288">
        <f t="shared" si="14"/>
        <v>656</v>
      </c>
      <c r="B657" s="322">
        <v>46104</v>
      </c>
      <c r="C657" s="292" t="s">
        <v>4852</v>
      </c>
      <c r="D657" s="292" t="s">
        <v>4853</v>
      </c>
      <c r="E657" s="292" t="s">
        <v>162</v>
      </c>
      <c r="F657" s="292" t="s">
        <v>73</v>
      </c>
      <c r="G657" s="315" t="s">
        <v>4854</v>
      </c>
      <c r="H657" s="315">
        <v>9424400502</v>
      </c>
      <c r="I657" s="315" t="s">
        <v>4855</v>
      </c>
      <c r="J657" s="294" t="s">
        <v>1698</v>
      </c>
      <c r="K657" s="292" t="s">
        <v>4856</v>
      </c>
      <c r="L657" s="292" t="s">
        <v>49</v>
      </c>
      <c r="M657" s="292" t="s">
        <v>50</v>
      </c>
      <c r="N657" s="292"/>
      <c r="O657" s="296"/>
      <c r="P657" s="403"/>
      <c r="Q657" s="294"/>
      <c r="R657" s="298"/>
      <c r="S657" s="262" t="s">
        <v>4843</v>
      </c>
      <c r="T657" s="9"/>
      <c r="U657" s="9"/>
    </row>
    <row r="658" spans="1:21" hidden="1">
      <c r="A658" s="299">
        <f t="shared" si="14"/>
        <v>657</v>
      </c>
      <c r="B658" s="323">
        <v>46104</v>
      </c>
      <c r="C658" s="303" t="s">
        <v>134</v>
      </c>
      <c r="D658" s="303" t="s">
        <v>2762</v>
      </c>
      <c r="E658" s="303" t="s">
        <v>22</v>
      </c>
      <c r="F658" s="303" t="s">
        <v>60</v>
      </c>
      <c r="G658" s="316" t="s">
        <v>135</v>
      </c>
      <c r="H658" s="346">
        <v>8766460470</v>
      </c>
      <c r="I658" s="305" t="s">
        <v>4565</v>
      </c>
      <c r="J658" s="305" t="s">
        <v>63</v>
      </c>
      <c r="K658" s="303" t="s">
        <v>137</v>
      </c>
      <c r="L658" s="303" t="s">
        <v>49</v>
      </c>
      <c r="M658" s="303" t="s">
        <v>40</v>
      </c>
      <c r="N658" s="303"/>
      <c r="O658" s="307"/>
      <c r="P658" s="375"/>
      <c r="Q658" s="305"/>
      <c r="R658" s="309"/>
      <c r="S658" s="262" t="s">
        <v>4843</v>
      </c>
      <c r="T658" s="9"/>
      <c r="U658" s="9"/>
    </row>
    <row r="659" spans="1:21" ht="30" hidden="1">
      <c r="A659" s="288">
        <f t="shared" si="14"/>
        <v>658</v>
      </c>
      <c r="B659" s="322">
        <v>46105</v>
      </c>
      <c r="C659" s="292" t="s">
        <v>4857</v>
      </c>
      <c r="D659" s="292" t="s">
        <v>4858</v>
      </c>
      <c r="E659" s="292" t="s">
        <v>22</v>
      </c>
      <c r="F659" s="292" t="s">
        <v>73</v>
      </c>
      <c r="G659" s="292" t="s">
        <v>1860</v>
      </c>
      <c r="H659" s="315"/>
      <c r="I659" s="390" t="s">
        <v>4859</v>
      </c>
      <c r="J659" s="294" t="s">
        <v>1698</v>
      </c>
      <c r="K659" s="292"/>
      <c r="L659" s="292" t="s">
        <v>27</v>
      </c>
      <c r="M659" s="292" t="s">
        <v>50</v>
      </c>
      <c r="N659" s="292" t="s">
        <v>4860</v>
      </c>
      <c r="O659" s="296">
        <v>46106</v>
      </c>
      <c r="P659" s="319">
        <v>1778245.8</v>
      </c>
      <c r="Q659" s="294" t="s">
        <v>70</v>
      </c>
      <c r="R659" s="298"/>
      <c r="S659" s="262">
        <v>46105</v>
      </c>
      <c r="T659" s="9"/>
      <c r="U659" s="9"/>
    </row>
    <row r="660" spans="1:21" hidden="1">
      <c r="A660" s="299">
        <f t="shared" si="14"/>
        <v>659</v>
      </c>
      <c r="B660" s="323">
        <v>46105</v>
      </c>
      <c r="C660" s="303"/>
      <c r="D660" s="303"/>
      <c r="E660" s="303"/>
      <c r="F660" s="303" t="s">
        <v>73</v>
      </c>
      <c r="G660" s="303" t="s">
        <v>1860</v>
      </c>
      <c r="H660" s="346">
        <v>9012840651</v>
      </c>
      <c r="I660" s="374"/>
      <c r="J660" s="305" t="s">
        <v>122</v>
      </c>
      <c r="K660" s="303"/>
      <c r="L660" s="303" t="s">
        <v>58</v>
      </c>
      <c r="M660" s="303" t="s">
        <v>50</v>
      </c>
      <c r="N660" s="303"/>
      <c r="O660" s="307"/>
      <c r="P660" s="375"/>
      <c r="Q660" s="305"/>
      <c r="R660" s="309"/>
      <c r="S660" s="262">
        <v>46105</v>
      </c>
      <c r="T660" s="9"/>
      <c r="U660" s="9"/>
    </row>
    <row r="661" spans="1:21" hidden="1">
      <c r="A661" s="288">
        <f t="shared" si="14"/>
        <v>660</v>
      </c>
      <c r="B661" s="322">
        <v>46105</v>
      </c>
      <c r="C661" s="292"/>
      <c r="D661" s="292" t="s">
        <v>4861</v>
      </c>
      <c r="E661" s="292" t="s">
        <v>143</v>
      </c>
      <c r="F661" s="292" t="s">
        <v>73</v>
      </c>
      <c r="G661" s="292" t="s">
        <v>1860</v>
      </c>
      <c r="H661" s="318">
        <v>9336708967</v>
      </c>
      <c r="I661" s="431"/>
      <c r="J661" s="294" t="s">
        <v>567</v>
      </c>
      <c r="K661" s="292" t="s">
        <v>4862</v>
      </c>
      <c r="L661" s="292" t="s">
        <v>58</v>
      </c>
      <c r="M661" s="292" t="s">
        <v>50</v>
      </c>
      <c r="N661" s="292"/>
      <c r="O661" s="296"/>
      <c r="P661" s="403"/>
      <c r="Q661" s="294"/>
      <c r="R661" s="298"/>
      <c r="S661" s="262">
        <v>46105</v>
      </c>
      <c r="T661" s="9"/>
      <c r="U661" s="9"/>
    </row>
    <row r="662" spans="1:21" hidden="1">
      <c r="A662" s="299">
        <f t="shared" si="14"/>
        <v>661</v>
      </c>
      <c r="B662" s="323">
        <v>46105</v>
      </c>
      <c r="C662" s="303" t="s">
        <v>4863</v>
      </c>
      <c r="D662" s="303" t="s">
        <v>4864</v>
      </c>
      <c r="E662" s="303" t="s">
        <v>126</v>
      </c>
      <c r="F662" s="303" t="s">
        <v>23</v>
      </c>
      <c r="G662" s="316" t="s">
        <v>188</v>
      </c>
      <c r="H662" s="346">
        <v>8858276215</v>
      </c>
      <c r="I662" s="314"/>
      <c r="J662" s="305" t="s">
        <v>1698</v>
      </c>
      <c r="K662" s="303" t="s">
        <v>4865</v>
      </c>
      <c r="L662" s="303" t="s">
        <v>49</v>
      </c>
      <c r="M662" s="303" t="s">
        <v>50</v>
      </c>
      <c r="N662" s="303"/>
      <c r="O662" s="307"/>
      <c r="P662" s="375"/>
      <c r="Q662" s="305"/>
      <c r="R662" s="309"/>
      <c r="S662" s="262">
        <v>46105</v>
      </c>
      <c r="T662" s="9"/>
      <c r="U662" s="9"/>
    </row>
    <row r="663" spans="1:21" hidden="1">
      <c r="A663" s="288">
        <f t="shared" si="14"/>
        <v>662</v>
      </c>
      <c r="B663" s="322">
        <v>46105</v>
      </c>
      <c r="C663" s="292"/>
      <c r="D663" s="292" t="s">
        <v>2762</v>
      </c>
      <c r="E663" s="292" t="s">
        <v>22</v>
      </c>
      <c r="F663" s="292" t="s">
        <v>60</v>
      </c>
      <c r="G663" s="315" t="s">
        <v>135</v>
      </c>
      <c r="H663" s="318">
        <v>8446882898</v>
      </c>
      <c r="I663" s="294" t="s">
        <v>4866</v>
      </c>
      <c r="J663" s="294" t="s">
        <v>63</v>
      </c>
      <c r="K663" s="292" t="s">
        <v>4867</v>
      </c>
      <c r="L663" s="292" t="s">
        <v>49</v>
      </c>
      <c r="M663" s="292" t="s">
        <v>40</v>
      </c>
      <c r="N663" s="292"/>
      <c r="O663" s="296"/>
      <c r="P663" s="403"/>
      <c r="Q663" s="294"/>
      <c r="R663" s="298"/>
      <c r="S663" s="262">
        <v>46105</v>
      </c>
      <c r="T663" s="9"/>
      <c r="U663" s="9"/>
    </row>
    <row r="664" spans="1:21" hidden="1">
      <c r="A664" s="299">
        <f t="shared" si="14"/>
        <v>663</v>
      </c>
      <c r="B664" s="323">
        <v>46105</v>
      </c>
      <c r="C664" s="303"/>
      <c r="D664" s="303" t="s">
        <v>4868</v>
      </c>
      <c r="E664" s="303" t="s">
        <v>143</v>
      </c>
      <c r="F664" s="303" t="s">
        <v>60</v>
      </c>
      <c r="G664" s="316" t="s">
        <v>4869</v>
      </c>
      <c r="H664" s="346">
        <v>8858418876</v>
      </c>
      <c r="I664" s="314"/>
      <c r="J664" s="305" t="s">
        <v>122</v>
      </c>
      <c r="K664" s="303" t="s">
        <v>4870</v>
      </c>
      <c r="L664" s="303" t="s">
        <v>49</v>
      </c>
      <c r="M664" s="303" t="s">
        <v>40</v>
      </c>
      <c r="N664" s="303"/>
      <c r="O664" s="307"/>
      <c r="P664" s="375"/>
      <c r="Q664" s="305"/>
      <c r="R664" s="309"/>
      <c r="S664" s="262">
        <v>46105</v>
      </c>
      <c r="T664" s="9"/>
      <c r="U664" s="9"/>
    </row>
    <row r="665" spans="1:21" hidden="1">
      <c r="A665" s="288">
        <f t="shared" si="14"/>
        <v>664</v>
      </c>
      <c r="B665" s="322">
        <v>46105</v>
      </c>
      <c r="C665" s="292" t="s">
        <v>4871</v>
      </c>
      <c r="D665" s="292" t="s">
        <v>4872</v>
      </c>
      <c r="E665" s="292" t="s">
        <v>3130</v>
      </c>
      <c r="F665" s="292" t="s">
        <v>60</v>
      </c>
      <c r="G665" s="315" t="s">
        <v>3817</v>
      </c>
      <c r="H665" s="318">
        <v>7411365669</v>
      </c>
      <c r="I665" s="292" t="s">
        <v>4873</v>
      </c>
      <c r="J665" s="294" t="s">
        <v>567</v>
      </c>
      <c r="K665" s="292" t="s">
        <v>4874</v>
      </c>
      <c r="L665" s="292" t="s">
        <v>49</v>
      </c>
      <c r="M665" s="292" t="s">
        <v>40</v>
      </c>
      <c r="N665" s="292"/>
      <c r="O665" s="296"/>
      <c r="P665" s="403"/>
      <c r="Q665" s="294"/>
      <c r="R665" s="298"/>
      <c r="S665" s="262">
        <v>46105</v>
      </c>
      <c r="T665" s="9"/>
      <c r="U665" s="9"/>
    </row>
    <row r="666" spans="1:21" hidden="1">
      <c r="A666" s="299">
        <f t="shared" si="14"/>
        <v>665</v>
      </c>
      <c r="B666" s="323">
        <v>46105</v>
      </c>
      <c r="C666" s="303" t="s">
        <v>4875</v>
      </c>
      <c r="D666" s="303" t="s">
        <v>4876</v>
      </c>
      <c r="E666" s="303" t="s">
        <v>193</v>
      </c>
      <c r="F666" s="303" t="s">
        <v>60</v>
      </c>
      <c r="G666" s="303" t="s">
        <v>180</v>
      </c>
      <c r="H666" s="346">
        <v>9106629740</v>
      </c>
      <c r="I666" s="303" t="s">
        <v>4877</v>
      </c>
      <c r="J666" s="305" t="s">
        <v>63</v>
      </c>
      <c r="K666" s="303"/>
      <c r="L666" s="303" t="s">
        <v>49</v>
      </c>
      <c r="M666" s="303" t="s">
        <v>40</v>
      </c>
      <c r="N666" s="303"/>
      <c r="O666" s="307"/>
      <c r="P666" s="375"/>
      <c r="Q666" s="305"/>
      <c r="R666" s="309"/>
      <c r="S666" s="262">
        <v>46105</v>
      </c>
      <c r="T666" s="9"/>
      <c r="U666" s="9"/>
    </row>
    <row r="667" spans="1:21" ht="60" hidden="1">
      <c r="A667" s="318">
        <f t="shared" si="14"/>
        <v>666</v>
      </c>
      <c r="B667" s="322">
        <v>46105</v>
      </c>
      <c r="C667" s="339" t="s">
        <v>4878</v>
      </c>
      <c r="D667" s="318" t="s">
        <v>4879</v>
      </c>
      <c r="E667" s="318"/>
      <c r="F667" s="339" t="s">
        <v>60</v>
      </c>
      <c r="G667" s="339" t="s">
        <v>2561</v>
      </c>
      <c r="H667" s="318">
        <v>9906183277</v>
      </c>
      <c r="I667" s="292" t="s">
        <v>4880</v>
      </c>
      <c r="J667" s="318" t="s">
        <v>122</v>
      </c>
      <c r="K667" s="318"/>
      <c r="L667" s="339" t="s">
        <v>49</v>
      </c>
      <c r="M667" s="339" t="s">
        <v>40</v>
      </c>
      <c r="N667" s="318"/>
      <c r="O667" s="318"/>
      <c r="P667" s="318"/>
      <c r="Q667" s="318"/>
      <c r="R667" s="432"/>
      <c r="S667" s="262">
        <v>46105</v>
      </c>
      <c r="T667" s="31"/>
      <c r="U667" s="31"/>
    </row>
    <row r="668" spans="1:21" ht="195" hidden="1">
      <c r="A668" s="299">
        <f t="shared" si="14"/>
        <v>667</v>
      </c>
      <c r="B668" s="323">
        <v>46106</v>
      </c>
      <c r="C668" s="303" t="s">
        <v>2902</v>
      </c>
      <c r="D668" s="314" t="s">
        <v>2903</v>
      </c>
      <c r="E668" s="303" t="s">
        <v>22</v>
      </c>
      <c r="F668" s="303" t="s">
        <v>59</v>
      </c>
      <c r="G668" s="303" t="s">
        <v>4881</v>
      </c>
      <c r="H668" s="305">
        <v>9881929797</v>
      </c>
      <c r="I668" s="303" t="s">
        <v>2905</v>
      </c>
      <c r="J668" s="305" t="s">
        <v>122</v>
      </c>
      <c r="K668" s="303" t="s">
        <v>2906</v>
      </c>
      <c r="L668" s="303" t="s">
        <v>49</v>
      </c>
      <c r="M668" s="303" t="s">
        <v>50</v>
      </c>
      <c r="N668" s="303"/>
      <c r="O668" s="307"/>
      <c r="P668" s="375"/>
      <c r="Q668" s="305"/>
      <c r="R668" s="309"/>
      <c r="S668" s="262">
        <v>46106</v>
      </c>
      <c r="T668" s="9"/>
      <c r="U668" s="9"/>
    </row>
    <row r="669" spans="1:21" ht="105" hidden="1">
      <c r="A669" s="288">
        <f t="shared" ref="A669:A732" si="15">ROW()-1</f>
        <v>668</v>
      </c>
      <c r="B669" s="322">
        <v>46106</v>
      </c>
      <c r="C669" s="339" t="s">
        <v>4882</v>
      </c>
      <c r="D669" s="295" t="s">
        <v>4883</v>
      </c>
      <c r="E669" s="292" t="s">
        <v>143</v>
      </c>
      <c r="F669" s="292" t="s">
        <v>44</v>
      </c>
      <c r="G669" s="292" t="s">
        <v>45</v>
      </c>
      <c r="H669" s="294">
        <v>9818629125</v>
      </c>
      <c r="I669" s="292" t="s">
        <v>4884</v>
      </c>
      <c r="J669" s="294" t="s">
        <v>1113</v>
      </c>
      <c r="K669" s="292" t="s">
        <v>4885</v>
      </c>
      <c r="L669" s="292" t="s">
        <v>49</v>
      </c>
      <c r="M669" s="292" t="s">
        <v>50</v>
      </c>
      <c r="N669" s="292"/>
      <c r="O669" s="296"/>
      <c r="P669" s="403"/>
      <c r="Q669" s="294"/>
      <c r="R669" s="298"/>
      <c r="S669" s="262">
        <v>46106</v>
      </c>
      <c r="T669" s="9"/>
      <c r="U669" s="9"/>
    </row>
    <row r="670" spans="1:21" ht="45" hidden="1">
      <c r="A670" s="299">
        <f t="shared" si="15"/>
        <v>669</v>
      </c>
      <c r="B670" s="323">
        <v>46106</v>
      </c>
      <c r="C670" s="303"/>
      <c r="D670" s="314" t="s">
        <v>4886</v>
      </c>
      <c r="E670" s="303" t="s">
        <v>199</v>
      </c>
      <c r="F670" s="338" t="s">
        <v>60</v>
      </c>
      <c r="G670" s="303" t="s">
        <v>4401</v>
      </c>
      <c r="H670" s="305">
        <v>9929484727</v>
      </c>
      <c r="I670" s="303" t="s">
        <v>4887</v>
      </c>
      <c r="J670" s="346" t="s">
        <v>567</v>
      </c>
      <c r="K670" s="303" t="s">
        <v>4888</v>
      </c>
      <c r="L670" s="303" t="s">
        <v>49</v>
      </c>
      <c r="M670" s="303" t="s">
        <v>40</v>
      </c>
      <c r="N670" s="303"/>
      <c r="O670" s="307"/>
      <c r="P670" s="375"/>
      <c r="Q670" s="305"/>
      <c r="R670" s="309"/>
      <c r="S670" s="262">
        <v>46106</v>
      </c>
      <c r="T670" s="9"/>
      <c r="U670" s="9"/>
    </row>
    <row r="671" spans="1:21" ht="150" hidden="1">
      <c r="A671" s="288">
        <f t="shared" si="15"/>
        <v>670</v>
      </c>
      <c r="B671" s="322">
        <v>46106</v>
      </c>
      <c r="C671" s="292" t="s">
        <v>4889</v>
      </c>
      <c r="D671" s="295" t="s">
        <v>4890</v>
      </c>
      <c r="E671" s="292" t="s">
        <v>22</v>
      </c>
      <c r="F671" s="292" t="s">
        <v>83</v>
      </c>
      <c r="G671" s="292" t="s">
        <v>852</v>
      </c>
      <c r="H671" s="294">
        <v>9011001396</v>
      </c>
      <c r="I671" s="292" t="s">
        <v>4891</v>
      </c>
      <c r="J671" s="294" t="s">
        <v>1624</v>
      </c>
      <c r="K671" s="292" t="s">
        <v>4892</v>
      </c>
      <c r="L671" s="292" t="s">
        <v>49</v>
      </c>
      <c r="M671" s="292" t="s">
        <v>28</v>
      </c>
      <c r="N671" s="292"/>
      <c r="O671" s="296"/>
      <c r="P671" s="403"/>
      <c r="Q671" s="294"/>
      <c r="R671" s="298"/>
      <c r="S671" s="262">
        <v>46106</v>
      </c>
      <c r="T671" s="9"/>
      <c r="U671" s="9"/>
    </row>
    <row r="672" spans="1:21" hidden="1">
      <c r="A672" s="299">
        <f t="shared" si="15"/>
        <v>671</v>
      </c>
      <c r="B672" s="323">
        <v>46106</v>
      </c>
      <c r="C672" s="303" t="s">
        <v>71</v>
      </c>
      <c r="D672" s="303" t="s">
        <v>4893</v>
      </c>
      <c r="E672" s="303" t="s">
        <v>22</v>
      </c>
      <c r="F672" s="303" t="s">
        <v>73</v>
      </c>
      <c r="G672" s="316" t="s">
        <v>4894</v>
      </c>
      <c r="H672" s="433"/>
      <c r="I672" s="428" t="s">
        <v>4895</v>
      </c>
      <c r="J672" s="305" t="s">
        <v>1698</v>
      </c>
      <c r="K672" s="303" t="s">
        <v>4896</v>
      </c>
      <c r="L672" s="303" t="s">
        <v>27</v>
      </c>
      <c r="M672" s="303" t="s">
        <v>77</v>
      </c>
      <c r="N672" s="303" t="s">
        <v>4897</v>
      </c>
      <c r="O672" s="307">
        <v>46108</v>
      </c>
      <c r="P672" s="313">
        <v>750000</v>
      </c>
      <c r="Q672" s="305" t="s">
        <v>79</v>
      </c>
      <c r="R672" s="309"/>
      <c r="S672" s="262">
        <v>46106</v>
      </c>
      <c r="T672" s="9"/>
      <c r="U672" s="9"/>
    </row>
    <row r="673" spans="1:21" ht="60" hidden="1">
      <c r="A673" s="288">
        <f t="shared" si="15"/>
        <v>672</v>
      </c>
      <c r="B673" s="322">
        <v>46106</v>
      </c>
      <c r="C673" s="292" t="s">
        <v>4898</v>
      </c>
      <c r="D673" s="292" t="s">
        <v>1911</v>
      </c>
      <c r="E673" s="292" t="s">
        <v>22</v>
      </c>
      <c r="F673" s="292" t="s">
        <v>60</v>
      </c>
      <c r="G673" s="315" t="s">
        <v>4899</v>
      </c>
      <c r="H673" s="294"/>
      <c r="I673" s="423" t="s">
        <v>4900</v>
      </c>
      <c r="J673" s="294" t="s">
        <v>56</v>
      </c>
      <c r="K673" s="398" t="s">
        <v>4901</v>
      </c>
      <c r="L673" s="292" t="s">
        <v>27</v>
      </c>
      <c r="M673" s="292" t="s">
        <v>40</v>
      </c>
      <c r="N673" s="292" t="s">
        <v>4902</v>
      </c>
      <c r="O673" s="296">
        <v>46108</v>
      </c>
      <c r="P673" s="434">
        <v>860000</v>
      </c>
      <c r="Q673" s="294" t="s">
        <v>98</v>
      </c>
      <c r="R673" s="298"/>
      <c r="S673" s="262">
        <v>46106</v>
      </c>
      <c r="T673" s="9"/>
      <c r="U673" s="9"/>
    </row>
    <row r="674" spans="1:21" hidden="1">
      <c r="A674" s="299">
        <f t="shared" si="15"/>
        <v>673</v>
      </c>
      <c r="B674" s="323">
        <v>46106</v>
      </c>
      <c r="C674" s="303" t="s">
        <v>4903</v>
      </c>
      <c r="D674" s="303" t="s">
        <v>4121</v>
      </c>
      <c r="E674" s="303" t="s">
        <v>22</v>
      </c>
      <c r="F674" s="303" t="s">
        <v>73</v>
      </c>
      <c r="G674" s="316" t="s">
        <v>4904</v>
      </c>
      <c r="H674" s="305"/>
      <c r="I674" s="303" t="s">
        <v>4905</v>
      </c>
      <c r="J674" s="305" t="s">
        <v>1698</v>
      </c>
      <c r="K674" s="303" t="s">
        <v>4906</v>
      </c>
      <c r="L674" s="303" t="s">
        <v>27</v>
      </c>
      <c r="M674" s="303" t="s">
        <v>77</v>
      </c>
      <c r="N674" s="303"/>
      <c r="O674" s="307"/>
      <c r="P674" s="375"/>
      <c r="Q674" s="305" t="s">
        <v>70</v>
      </c>
      <c r="R674" s="309"/>
      <c r="S674" s="262">
        <v>46106</v>
      </c>
      <c r="T674" s="9"/>
      <c r="U674" s="9"/>
    </row>
    <row r="675" spans="1:21" ht="19.5" hidden="1">
      <c r="A675" s="288">
        <f t="shared" si="15"/>
        <v>674</v>
      </c>
      <c r="B675" s="322">
        <v>46107</v>
      </c>
      <c r="C675" s="292" t="s">
        <v>4907</v>
      </c>
      <c r="D675" s="292" t="s">
        <v>183</v>
      </c>
      <c r="E675" s="292" t="s">
        <v>22</v>
      </c>
      <c r="F675" s="292" t="s">
        <v>32</v>
      </c>
      <c r="G675" s="315" t="s">
        <v>3134</v>
      </c>
      <c r="H675" s="294">
        <v>9820881656</v>
      </c>
      <c r="I675" s="292" t="s">
        <v>4908</v>
      </c>
      <c r="J675" s="294" t="s">
        <v>1113</v>
      </c>
      <c r="K675" s="292" t="s">
        <v>4909</v>
      </c>
      <c r="L675" s="292" t="s">
        <v>58</v>
      </c>
      <c r="M675" s="292" t="s">
        <v>50</v>
      </c>
      <c r="N675" s="435"/>
      <c r="O675" s="296"/>
      <c r="P675" s="403"/>
      <c r="Q675" s="294"/>
      <c r="R675" s="298"/>
      <c r="S675" s="262">
        <v>46107</v>
      </c>
      <c r="T675" s="9"/>
      <c r="U675" s="9"/>
    </row>
    <row r="676" spans="1:21" ht="19.5" hidden="1">
      <c r="A676" s="299">
        <f t="shared" si="15"/>
        <v>675</v>
      </c>
      <c r="B676" s="323">
        <v>46107</v>
      </c>
      <c r="C676" s="303"/>
      <c r="D676" s="303"/>
      <c r="E676" s="303"/>
      <c r="F676" s="303" t="s">
        <v>73</v>
      </c>
      <c r="G676" s="316" t="s">
        <v>834</v>
      </c>
      <c r="H676" s="305">
        <v>8087332565</v>
      </c>
      <c r="I676" s="435"/>
      <c r="J676" s="305" t="s">
        <v>1113</v>
      </c>
      <c r="K676" s="303" t="s">
        <v>4910</v>
      </c>
      <c r="L676" s="303" t="s">
        <v>58</v>
      </c>
      <c r="M676" s="303" t="s">
        <v>50</v>
      </c>
      <c r="N676" s="303"/>
      <c r="O676" s="307"/>
      <c r="P676" s="375"/>
      <c r="Q676" s="305"/>
      <c r="R676" s="309"/>
      <c r="S676" s="262">
        <v>46107</v>
      </c>
      <c r="T676" s="9"/>
      <c r="U676" s="9"/>
    </row>
    <row r="677" spans="1:21" hidden="1">
      <c r="A677" s="288">
        <f t="shared" si="15"/>
        <v>676</v>
      </c>
      <c r="B677" s="322">
        <v>46107</v>
      </c>
      <c r="C677" s="292" t="s">
        <v>4911</v>
      </c>
      <c r="D677" s="292" t="s">
        <v>183</v>
      </c>
      <c r="E677" s="292" t="s">
        <v>22</v>
      </c>
      <c r="F677" s="292" t="s">
        <v>60</v>
      </c>
      <c r="G677" s="315" t="s">
        <v>4912</v>
      </c>
      <c r="H677" s="294">
        <v>7738897130</v>
      </c>
      <c r="I677" s="292" t="s">
        <v>4913</v>
      </c>
      <c r="J677" s="294" t="s">
        <v>1624</v>
      </c>
      <c r="K677" s="292" t="s">
        <v>4914</v>
      </c>
      <c r="L677" s="292" t="s">
        <v>58</v>
      </c>
      <c r="M677" s="292" t="s">
        <v>40</v>
      </c>
      <c r="N677" s="292"/>
      <c r="O677" s="296"/>
      <c r="P677" s="403"/>
      <c r="Q677" s="294"/>
      <c r="R677" s="298"/>
      <c r="S677" s="262">
        <v>46107</v>
      </c>
      <c r="T677" s="9"/>
      <c r="U677" s="9"/>
    </row>
    <row r="678" spans="1:21" ht="30" hidden="1">
      <c r="A678" s="299">
        <f t="shared" si="15"/>
        <v>677</v>
      </c>
      <c r="B678" s="323">
        <v>46108</v>
      </c>
      <c r="C678" s="314" t="s">
        <v>4915</v>
      </c>
      <c r="D678" s="303" t="s">
        <v>4916</v>
      </c>
      <c r="E678" s="303" t="s">
        <v>22</v>
      </c>
      <c r="F678" s="303" t="s">
        <v>60</v>
      </c>
      <c r="G678" s="316" t="s">
        <v>4097</v>
      </c>
      <c r="H678" s="305"/>
      <c r="I678" s="428" t="s">
        <v>4917</v>
      </c>
      <c r="J678" s="305" t="s">
        <v>1698</v>
      </c>
      <c r="K678" s="303" t="s">
        <v>4918</v>
      </c>
      <c r="L678" s="303" t="s">
        <v>27</v>
      </c>
      <c r="M678" s="303" t="s">
        <v>28</v>
      </c>
      <c r="N678" s="303" t="s">
        <v>4919</v>
      </c>
      <c r="O678" s="307">
        <v>46108</v>
      </c>
      <c r="P678" s="313">
        <v>2548135</v>
      </c>
      <c r="Q678" s="305" t="s">
        <v>70</v>
      </c>
      <c r="R678" s="309"/>
      <c r="S678" s="262">
        <v>46108</v>
      </c>
      <c r="T678" s="9"/>
      <c r="U678" s="9"/>
    </row>
    <row r="679" spans="1:21" ht="45" hidden="1">
      <c r="A679" s="288">
        <f t="shared" si="15"/>
        <v>678</v>
      </c>
      <c r="B679" s="322">
        <v>46108</v>
      </c>
      <c r="C679" s="322" t="s">
        <v>276</v>
      </c>
      <c r="D679" s="295" t="s">
        <v>276</v>
      </c>
      <c r="E679" s="292" t="s">
        <v>22</v>
      </c>
      <c r="F679" s="292" t="s">
        <v>83</v>
      </c>
      <c r="G679" s="315" t="s">
        <v>4920</v>
      </c>
      <c r="H679" s="318">
        <v>7506419978</v>
      </c>
      <c r="I679" s="436" t="s">
        <v>4921</v>
      </c>
      <c r="J679" s="294" t="s">
        <v>1113</v>
      </c>
      <c r="K679" s="292" t="s">
        <v>295</v>
      </c>
      <c r="L679" s="292" t="s">
        <v>49</v>
      </c>
      <c r="M679" s="292" t="s">
        <v>50</v>
      </c>
      <c r="N679" s="292"/>
      <c r="O679" s="296"/>
      <c r="P679" s="403"/>
      <c r="Q679" s="294"/>
      <c r="R679" s="298"/>
      <c r="S679" s="262">
        <v>46108</v>
      </c>
      <c r="T679" s="9"/>
      <c r="U679" s="9"/>
    </row>
    <row r="680" spans="1:21" hidden="1">
      <c r="A680" s="299">
        <f t="shared" si="15"/>
        <v>679</v>
      </c>
      <c r="B680" s="323">
        <v>46108</v>
      </c>
      <c r="C680" s="303" t="s">
        <v>4922</v>
      </c>
      <c r="D680" s="314"/>
      <c r="E680" s="303" t="s">
        <v>22</v>
      </c>
      <c r="F680" s="303" t="s">
        <v>32</v>
      </c>
      <c r="G680" s="316" t="s">
        <v>4923</v>
      </c>
      <c r="H680" s="346">
        <v>9552571566</v>
      </c>
      <c r="I680" s="391" t="s">
        <v>4924</v>
      </c>
      <c r="J680" s="305" t="s">
        <v>567</v>
      </c>
      <c r="K680" s="303" t="s">
        <v>4925</v>
      </c>
      <c r="L680" s="303" t="s">
        <v>49</v>
      </c>
      <c r="M680" s="303" t="s">
        <v>50</v>
      </c>
      <c r="N680" s="303"/>
      <c r="O680" s="307"/>
      <c r="P680" s="375"/>
      <c r="Q680" s="305"/>
      <c r="R680" s="309"/>
      <c r="S680" s="262">
        <v>46108</v>
      </c>
      <c r="T680" s="9"/>
      <c r="U680" s="9"/>
    </row>
    <row r="681" spans="1:21" hidden="1">
      <c r="A681" s="288">
        <f t="shared" si="15"/>
        <v>680</v>
      </c>
      <c r="B681" s="322">
        <v>46108</v>
      </c>
      <c r="C681" s="292" t="s">
        <v>4926</v>
      </c>
      <c r="D681" s="295" t="s">
        <v>4927</v>
      </c>
      <c r="E681" s="292" t="s">
        <v>193</v>
      </c>
      <c r="F681" s="292" t="s">
        <v>73</v>
      </c>
      <c r="G681" s="315" t="s">
        <v>273</v>
      </c>
      <c r="H681" s="318">
        <v>9408385724</v>
      </c>
      <c r="I681" s="436" t="s">
        <v>4928</v>
      </c>
      <c r="J681" s="294" t="s">
        <v>122</v>
      </c>
      <c r="K681" s="292" t="s">
        <v>4929</v>
      </c>
      <c r="L681" s="292" t="s">
        <v>58</v>
      </c>
      <c r="M681" s="292" t="s">
        <v>50</v>
      </c>
      <c r="N681" s="292"/>
      <c r="O681" s="296"/>
      <c r="P681" s="403"/>
      <c r="Q681" s="294"/>
      <c r="R681" s="298"/>
      <c r="S681" s="262">
        <v>46108</v>
      </c>
      <c r="T681" s="9"/>
      <c r="U681" s="9"/>
    </row>
    <row r="682" spans="1:21" hidden="1">
      <c r="A682" s="299">
        <f t="shared" si="15"/>
        <v>681</v>
      </c>
      <c r="B682" s="323">
        <v>46108</v>
      </c>
      <c r="C682" s="437"/>
      <c r="D682" s="303" t="s">
        <v>4930</v>
      </c>
      <c r="E682" s="303" t="s">
        <v>22</v>
      </c>
      <c r="F682" s="303" t="s">
        <v>60</v>
      </c>
      <c r="G682" s="316" t="s">
        <v>180</v>
      </c>
      <c r="H682" s="305">
        <v>9309885984</v>
      </c>
      <c r="I682" s="428" t="s">
        <v>4931</v>
      </c>
      <c r="J682" s="305" t="s">
        <v>63</v>
      </c>
      <c r="K682" s="437" t="s">
        <v>4932</v>
      </c>
      <c r="L682" s="303" t="s">
        <v>49</v>
      </c>
      <c r="M682" s="303" t="s">
        <v>40</v>
      </c>
      <c r="N682" s="303"/>
      <c r="O682" s="307"/>
      <c r="P682" s="375"/>
      <c r="Q682" s="305"/>
      <c r="R682" s="309"/>
      <c r="S682" s="262">
        <v>46108</v>
      </c>
      <c r="T682" s="9"/>
      <c r="U682" s="9"/>
    </row>
    <row r="683" spans="1:21" ht="120" hidden="1">
      <c r="A683" s="288">
        <f t="shared" si="15"/>
        <v>682</v>
      </c>
      <c r="B683" s="322">
        <v>46108</v>
      </c>
      <c r="C683" s="292" t="s">
        <v>4933</v>
      </c>
      <c r="D683" s="295" t="s">
        <v>4934</v>
      </c>
      <c r="E683" s="292" t="s">
        <v>22</v>
      </c>
      <c r="F683" s="292" t="s">
        <v>1561</v>
      </c>
      <c r="G683" s="315" t="s">
        <v>4935</v>
      </c>
      <c r="H683" s="294">
        <v>9324064055</v>
      </c>
      <c r="I683" s="436" t="s">
        <v>4936</v>
      </c>
      <c r="J683" s="294" t="s">
        <v>567</v>
      </c>
      <c r="K683" s="438" t="s">
        <v>4937</v>
      </c>
      <c r="L683" s="292" t="s">
        <v>49</v>
      </c>
      <c r="M683" s="292" t="s">
        <v>50</v>
      </c>
      <c r="N683" s="292"/>
      <c r="O683" s="296"/>
      <c r="P683" s="403"/>
      <c r="Q683" s="294"/>
      <c r="R683" s="298"/>
      <c r="S683" s="262">
        <v>46108</v>
      </c>
      <c r="T683" s="9"/>
      <c r="U683" s="9"/>
    </row>
    <row r="684" spans="1:21" hidden="1">
      <c r="A684" s="299">
        <f t="shared" si="15"/>
        <v>683</v>
      </c>
      <c r="B684" s="323">
        <v>46109</v>
      </c>
      <c r="C684" s="303" t="s">
        <v>4938</v>
      </c>
      <c r="D684" s="303" t="s">
        <v>4939</v>
      </c>
      <c r="E684" s="303" t="s">
        <v>22</v>
      </c>
      <c r="F684" s="303" t="s">
        <v>73</v>
      </c>
      <c r="G684" s="316" t="s">
        <v>4940</v>
      </c>
      <c r="H684" s="305"/>
      <c r="I684" s="428" t="s">
        <v>4941</v>
      </c>
      <c r="J684" s="305" t="s">
        <v>1698</v>
      </c>
      <c r="K684" s="303" t="s">
        <v>4942</v>
      </c>
      <c r="L684" s="303" t="s">
        <v>27</v>
      </c>
      <c r="M684" s="303" t="s">
        <v>50</v>
      </c>
      <c r="N684" s="303" t="s">
        <v>4943</v>
      </c>
      <c r="O684" s="307">
        <v>46109</v>
      </c>
      <c r="P684" s="313">
        <v>40654000</v>
      </c>
      <c r="Q684" s="305" t="s">
        <v>70</v>
      </c>
      <c r="R684" s="309"/>
      <c r="S684" s="262">
        <v>46109</v>
      </c>
      <c r="T684" s="9"/>
      <c r="U684" s="9"/>
    </row>
    <row r="685" spans="1:21" ht="30" hidden="1">
      <c r="A685" s="288">
        <f t="shared" si="15"/>
        <v>684</v>
      </c>
      <c r="B685" s="322">
        <v>46109</v>
      </c>
      <c r="C685" s="292" t="s">
        <v>4944</v>
      </c>
      <c r="D685" s="295" t="s">
        <v>4569</v>
      </c>
      <c r="E685" s="292" t="s">
        <v>82</v>
      </c>
      <c r="F685" s="292" t="s">
        <v>44</v>
      </c>
      <c r="G685" s="315" t="s">
        <v>45</v>
      </c>
      <c r="H685" s="318">
        <v>9943377899</v>
      </c>
      <c r="I685" s="436"/>
      <c r="J685" s="294" t="s">
        <v>122</v>
      </c>
      <c r="K685" s="292"/>
      <c r="L685" s="292" t="s">
        <v>49</v>
      </c>
      <c r="M685" s="292" t="s">
        <v>50</v>
      </c>
      <c r="N685" s="292"/>
      <c r="O685" s="296"/>
      <c r="P685" s="403"/>
      <c r="Q685" s="294"/>
      <c r="R685" s="298"/>
      <c r="S685" s="262">
        <v>46109</v>
      </c>
      <c r="T685" s="9"/>
      <c r="U685" s="9"/>
    </row>
    <row r="686" spans="1:21" hidden="1">
      <c r="A686" s="299">
        <f t="shared" si="15"/>
        <v>685</v>
      </c>
      <c r="B686" s="323">
        <v>46109</v>
      </c>
      <c r="C686" s="303"/>
      <c r="D686" s="303" t="s">
        <v>2762</v>
      </c>
      <c r="E686" s="303" t="s">
        <v>22</v>
      </c>
      <c r="F686" s="303" t="s">
        <v>23</v>
      </c>
      <c r="G686" s="316" t="s">
        <v>4945</v>
      </c>
      <c r="H686" s="305">
        <v>9850862409</v>
      </c>
      <c r="I686" s="428" t="s">
        <v>4946</v>
      </c>
      <c r="J686" s="305" t="s">
        <v>63</v>
      </c>
      <c r="K686" s="303" t="s">
        <v>4947</v>
      </c>
      <c r="L686" s="303" t="s">
        <v>49</v>
      </c>
      <c r="M686" s="303" t="s">
        <v>50</v>
      </c>
      <c r="N686" s="303"/>
      <c r="O686" s="307"/>
      <c r="P686" s="375"/>
      <c r="Q686" s="305"/>
      <c r="R686" s="309"/>
      <c r="S686" s="262">
        <v>46109</v>
      </c>
      <c r="T686" s="9"/>
      <c r="U686" s="9"/>
    </row>
    <row r="687" spans="1:21" hidden="1">
      <c r="A687" s="288">
        <f t="shared" si="15"/>
        <v>686</v>
      </c>
      <c r="B687" s="322">
        <v>46109</v>
      </c>
      <c r="C687" s="292" t="s">
        <v>4948</v>
      </c>
      <c r="D687" s="292" t="s">
        <v>1226</v>
      </c>
      <c r="E687" s="292" t="s">
        <v>193</v>
      </c>
      <c r="F687" s="292" t="s">
        <v>23</v>
      </c>
      <c r="G687" s="315" t="s">
        <v>4945</v>
      </c>
      <c r="H687" s="294">
        <v>7226917777</v>
      </c>
      <c r="I687" s="436" t="s">
        <v>4949</v>
      </c>
      <c r="J687" s="294" t="s">
        <v>567</v>
      </c>
      <c r="K687" s="292" t="s">
        <v>1086</v>
      </c>
      <c r="L687" s="292" t="s">
        <v>49</v>
      </c>
      <c r="M687" s="292" t="s">
        <v>50</v>
      </c>
      <c r="N687" s="292"/>
      <c r="O687" s="296"/>
      <c r="P687" s="403"/>
      <c r="Q687" s="294"/>
      <c r="R687" s="298"/>
      <c r="S687" s="262">
        <v>46109</v>
      </c>
      <c r="T687" s="9"/>
      <c r="U687" s="9"/>
    </row>
    <row r="688" spans="1:21" hidden="1">
      <c r="A688" s="299">
        <f t="shared" si="15"/>
        <v>687</v>
      </c>
      <c r="B688" s="323">
        <v>46109</v>
      </c>
      <c r="C688" s="303" t="s">
        <v>4950</v>
      </c>
      <c r="D688" s="303" t="s">
        <v>4951</v>
      </c>
      <c r="E688" s="303" t="s">
        <v>22</v>
      </c>
      <c r="F688" s="303" t="s">
        <v>44</v>
      </c>
      <c r="G688" s="316" t="s">
        <v>45</v>
      </c>
      <c r="H688" s="305">
        <v>9960367575</v>
      </c>
      <c r="I688" s="428" t="s">
        <v>4952</v>
      </c>
      <c r="J688" s="305" t="s">
        <v>567</v>
      </c>
      <c r="K688" s="303" t="s">
        <v>4953</v>
      </c>
      <c r="L688" s="303" t="s">
        <v>49</v>
      </c>
      <c r="M688" s="303" t="s">
        <v>50</v>
      </c>
      <c r="N688" s="303"/>
      <c r="O688" s="307"/>
      <c r="P688" s="375"/>
      <c r="Q688" s="305"/>
      <c r="R688" s="309"/>
      <c r="S688" s="262">
        <v>46109</v>
      </c>
      <c r="T688" s="9"/>
      <c r="U688" s="9"/>
    </row>
    <row r="689" spans="1:21" hidden="1">
      <c r="A689" s="288">
        <f t="shared" si="15"/>
        <v>688</v>
      </c>
      <c r="B689" s="322">
        <v>46109</v>
      </c>
      <c r="C689" s="292" t="s">
        <v>4954</v>
      </c>
      <c r="D689" s="292" t="s">
        <v>21</v>
      </c>
      <c r="E689" s="295" t="s">
        <v>22</v>
      </c>
      <c r="F689" s="295" t="s">
        <v>59</v>
      </c>
      <c r="G689" s="315" t="s">
        <v>4955</v>
      </c>
      <c r="H689" s="294"/>
      <c r="I689" s="439" t="s">
        <v>3543</v>
      </c>
      <c r="J689" s="294" t="s">
        <v>1698</v>
      </c>
      <c r="K689" s="292" t="s">
        <v>4956</v>
      </c>
      <c r="L689" s="292" t="s">
        <v>27</v>
      </c>
      <c r="M689" s="292" t="s">
        <v>40</v>
      </c>
      <c r="N689" s="292"/>
      <c r="O689" s="296">
        <v>46110</v>
      </c>
      <c r="P689" s="403">
        <v>29000</v>
      </c>
      <c r="Q689" s="294"/>
      <c r="R689" s="298"/>
      <c r="S689" s="262">
        <v>46109</v>
      </c>
      <c r="T689" s="9"/>
      <c r="U689" s="9"/>
    </row>
    <row r="690" spans="1:21" hidden="1">
      <c r="A690" s="299">
        <f t="shared" si="15"/>
        <v>689</v>
      </c>
      <c r="B690" s="323">
        <v>46109</v>
      </c>
      <c r="C690" s="303" t="s">
        <v>4957</v>
      </c>
      <c r="D690" s="303" t="s">
        <v>4958</v>
      </c>
      <c r="E690" s="303" t="s">
        <v>22</v>
      </c>
      <c r="F690" s="303" t="s">
        <v>73</v>
      </c>
      <c r="G690" s="316" t="s">
        <v>4959</v>
      </c>
      <c r="H690" s="305"/>
      <c r="I690" s="428" t="s">
        <v>4960</v>
      </c>
      <c r="J690" s="305" t="s">
        <v>1698</v>
      </c>
      <c r="K690" s="303"/>
      <c r="L690" s="303" t="s">
        <v>27</v>
      </c>
      <c r="M690" s="303" t="s">
        <v>2623</v>
      </c>
      <c r="N690" s="303" t="s">
        <v>4961</v>
      </c>
      <c r="O690" s="307">
        <v>46109</v>
      </c>
      <c r="P690" s="313">
        <v>3160927.66</v>
      </c>
      <c r="Q690" s="305" t="s">
        <v>70</v>
      </c>
      <c r="R690" s="309"/>
      <c r="S690" s="262">
        <v>46109</v>
      </c>
      <c r="T690" s="9"/>
      <c r="U690" s="9"/>
    </row>
    <row r="691" spans="1:21" hidden="1">
      <c r="A691" s="288">
        <f t="shared" si="15"/>
        <v>690</v>
      </c>
      <c r="B691" s="322">
        <v>46109</v>
      </c>
      <c r="C691" s="292" t="s">
        <v>4360</v>
      </c>
      <c r="D691" s="292" t="s">
        <v>4121</v>
      </c>
      <c r="E691" s="292" t="s">
        <v>22</v>
      </c>
      <c r="F691" s="292" t="s">
        <v>59</v>
      </c>
      <c r="G691" s="315" t="s">
        <v>4962</v>
      </c>
      <c r="H691" s="294"/>
      <c r="I691" s="440" t="s">
        <v>4963</v>
      </c>
      <c r="J691" s="294" t="s">
        <v>1698</v>
      </c>
      <c r="K691" s="292" t="s">
        <v>4125</v>
      </c>
      <c r="L691" s="292" t="s">
        <v>27</v>
      </c>
      <c r="M691" s="292" t="s">
        <v>77</v>
      </c>
      <c r="N691" s="292"/>
      <c r="O691" s="296"/>
      <c r="P691" s="403"/>
      <c r="Q691" s="294" t="s">
        <v>70</v>
      </c>
      <c r="R691" s="298"/>
      <c r="S691" s="262">
        <v>46109</v>
      </c>
      <c r="T691" s="9"/>
      <c r="U691" s="9"/>
    </row>
    <row r="692" spans="1:21" hidden="1">
      <c r="A692" s="299">
        <f t="shared" si="15"/>
        <v>691</v>
      </c>
      <c r="B692" s="323">
        <v>46109</v>
      </c>
      <c r="C692" s="303" t="s">
        <v>4964</v>
      </c>
      <c r="D692" s="314" t="s">
        <v>2292</v>
      </c>
      <c r="E692" s="303" t="s">
        <v>22</v>
      </c>
      <c r="F692" s="303" t="s">
        <v>32</v>
      </c>
      <c r="G692" s="316" t="s">
        <v>4965</v>
      </c>
      <c r="H692" s="305"/>
      <c r="I692" s="356" t="s">
        <v>4966</v>
      </c>
      <c r="J692" s="305" t="s">
        <v>1698</v>
      </c>
      <c r="K692" s="441" t="s">
        <v>68</v>
      </c>
      <c r="L692" s="303" t="s">
        <v>27</v>
      </c>
      <c r="M692" s="303" t="s">
        <v>28</v>
      </c>
      <c r="N692" s="303" t="s">
        <v>4214</v>
      </c>
      <c r="O692" s="307"/>
      <c r="P692" s="313"/>
      <c r="Q692" s="305" t="s">
        <v>70</v>
      </c>
      <c r="R692" s="309"/>
      <c r="S692" s="262">
        <v>46109</v>
      </c>
      <c r="T692" s="9"/>
      <c r="U692" s="9"/>
    </row>
    <row r="693" spans="1:21" hidden="1">
      <c r="A693" s="288">
        <f t="shared" si="15"/>
        <v>692</v>
      </c>
      <c r="B693" s="322">
        <v>46109</v>
      </c>
      <c r="C693" s="292" t="s">
        <v>4967</v>
      </c>
      <c r="D693" s="295" t="s">
        <v>2292</v>
      </c>
      <c r="E693" s="292" t="s">
        <v>22</v>
      </c>
      <c r="F693" s="292" t="s">
        <v>44</v>
      </c>
      <c r="G693" s="315" t="s">
        <v>4968</v>
      </c>
      <c r="H693" s="294">
        <v>7206393228</v>
      </c>
      <c r="I693" s="334"/>
      <c r="J693" s="294" t="s">
        <v>56</v>
      </c>
      <c r="K693" s="440"/>
      <c r="L693" s="295" t="s">
        <v>49</v>
      </c>
      <c r="M693" s="292" t="s">
        <v>77</v>
      </c>
      <c r="N693" s="292"/>
      <c r="O693" s="296"/>
      <c r="P693" s="403"/>
      <c r="Q693" s="294"/>
      <c r="R693" s="298"/>
      <c r="S693" s="262">
        <v>46109</v>
      </c>
      <c r="T693" s="9"/>
      <c r="U693" s="9"/>
    </row>
    <row r="694" spans="1:21" hidden="1">
      <c r="A694" s="299">
        <f t="shared" si="15"/>
        <v>693</v>
      </c>
      <c r="B694" s="323">
        <v>46109</v>
      </c>
      <c r="C694" s="323" t="s">
        <v>4969</v>
      </c>
      <c r="D694" s="303" t="s">
        <v>4969</v>
      </c>
      <c r="E694" s="303" t="s">
        <v>22</v>
      </c>
      <c r="F694" s="303" t="s">
        <v>59</v>
      </c>
      <c r="G694" s="316" t="s">
        <v>4970</v>
      </c>
      <c r="H694" s="305">
        <v>8459586648</v>
      </c>
      <c r="I694" s="428" t="s">
        <v>4971</v>
      </c>
      <c r="J694" s="305" t="s">
        <v>567</v>
      </c>
      <c r="K694" s="441" t="s">
        <v>4972</v>
      </c>
      <c r="L694" s="303" t="s">
        <v>49</v>
      </c>
      <c r="M694" s="303" t="s">
        <v>50</v>
      </c>
      <c r="N694" s="303"/>
      <c r="O694" s="307"/>
      <c r="P694" s="375"/>
      <c r="Q694" s="305" t="s">
        <v>70</v>
      </c>
      <c r="R694" s="309"/>
      <c r="S694" s="262">
        <v>46109</v>
      </c>
      <c r="T694" s="9"/>
      <c r="U694" s="9"/>
    </row>
    <row r="695" spans="1:21" hidden="1">
      <c r="A695" s="288">
        <f t="shared" si="15"/>
        <v>694</v>
      </c>
      <c r="B695" s="322">
        <v>46109</v>
      </c>
      <c r="C695" s="366"/>
      <c r="D695" s="292" t="s">
        <v>2184</v>
      </c>
      <c r="E695" s="292" t="s">
        <v>82</v>
      </c>
      <c r="F695" s="292" t="s">
        <v>23</v>
      </c>
      <c r="G695" s="315" t="s">
        <v>4348</v>
      </c>
      <c r="H695" s="294">
        <v>8139062621</v>
      </c>
      <c r="I695" s="442"/>
      <c r="J695" s="294" t="s">
        <v>1698</v>
      </c>
      <c r="K695" s="440"/>
      <c r="L695" s="292" t="s">
        <v>58</v>
      </c>
      <c r="M695" s="292" t="s">
        <v>50</v>
      </c>
      <c r="N695" s="292"/>
      <c r="O695" s="296"/>
      <c r="P695" s="403"/>
      <c r="Q695" s="294"/>
      <c r="R695" s="298"/>
      <c r="S695" s="262">
        <v>46109</v>
      </c>
      <c r="T695" s="9"/>
      <c r="U695" s="9"/>
    </row>
    <row r="696" spans="1:21" ht="30" hidden="1">
      <c r="A696" s="299">
        <f t="shared" si="15"/>
        <v>695</v>
      </c>
      <c r="B696" s="323">
        <v>46110</v>
      </c>
      <c r="C696" s="303" t="s">
        <v>4973</v>
      </c>
      <c r="D696" s="303" t="s">
        <v>205</v>
      </c>
      <c r="E696" s="303" t="s">
        <v>214</v>
      </c>
      <c r="F696" s="303" t="s">
        <v>32</v>
      </c>
      <c r="G696" s="316" t="s">
        <v>4974</v>
      </c>
      <c r="H696" s="305"/>
      <c r="I696" s="374" t="s">
        <v>4975</v>
      </c>
      <c r="J696" s="305" t="s">
        <v>1698</v>
      </c>
      <c r="K696" s="303"/>
      <c r="L696" s="303" t="s">
        <v>27</v>
      </c>
      <c r="M696" s="303" t="s">
        <v>77</v>
      </c>
      <c r="N696" s="303" t="s">
        <v>4976</v>
      </c>
      <c r="O696" s="307"/>
      <c r="P696" s="443"/>
      <c r="Q696" s="305" t="s">
        <v>70</v>
      </c>
      <c r="R696" s="309"/>
      <c r="S696" s="262">
        <v>46110</v>
      </c>
      <c r="T696" s="9"/>
      <c r="U696" s="9"/>
    </row>
    <row r="697" spans="1:21" hidden="1">
      <c r="A697" s="288">
        <f t="shared" si="15"/>
        <v>696</v>
      </c>
      <c r="B697" s="322">
        <v>46110</v>
      </c>
      <c r="C697" s="292" t="s">
        <v>4977</v>
      </c>
      <c r="D697" s="292" t="s">
        <v>4978</v>
      </c>
      <c r="E697" s="292" t="s">
        <v>143</v>
      </c>
      <c r="F697" s="292" t="s">
        <v>73</v>
      </c>
      <c r="G697" s="315" t="s">
        <v>73</v>
      </c>
      <c r="H697" s="294">
        <v>8057900835</v>
      </c>
      <c r="I697" s="436" t="s">
        <v>4979</v>
      </c>
      <c r="J697" s="294" t="s">
        <v>122</v>
      </c>
      <c r="K697" s="440" t="s">
        <v>4980</v>
      </c>
      <c r="L697" s="292" t="s">
        <v>49</v>
      </c>
      <c r="M697" s="292" t="s">
        <v>50</v>
      </c>
      <c r="N697" s="292"/>
      <c r="O697" s="296"/>
      <c r="P697" s="403"/>
      <c r="Q697" s="294" t="s">
        <v>70</v>
      </c>
      <c r="R697" s="298"/>
      <c r="S697" s="262">
        <v>46110</v>
      </c>
      <c r="T697" s="9"/>
      <c r="U697" s="9"/>
    </row>
    <row r="698" spans="1:21" hidden="1">
      <c r="A698" s="299">
        <f t="shared" si="15"/>
        <v>697</v>
      </c>
      <c r="B698" s="323">
        <v>46110</v>
      </c>
      <c r="C698" s="303" t="s">
        <v>4981</v>
      </c>
      <c r="D698" s="303" t="s">
        <v>4982</v>
      </c>
      <c r="E698" s="303" t="s">
        <v>162</v>
      </c>
      <c r="F698" s="303" t="s">
        <v>32</v>
      </c>
      <c r="G698" s="316" t="s">
        <v>4084</v>
      </c>
      <c r="H698" s="305">
        <v>7665786018</v>
      </c>
      <c r="I698" s="428" t="s">
        <v>4983</v>
      </c>
      <c r="J698" s="305" t="s">
        <v>567</v>
      </c>
      <c r="K698" s="441" t="s">
        <v>4984</v>
      </c>
      <c r="L698" s="303" t="s">
        <v>49</v>
      </c>
      <c r="M698" s="303" t="s">
        <v>2623</v>
      </c>
      <c r="N698" s="303"/>
      <c r="O698" s="307"/>
      <c r="P698" s="375"/>
      <c r="Q698" s="305" t="s">
        <v>70</v>
      </c>
      <c r="R698" s="309"/>
      <c r="S698" s="262">
        <v>46110</v>
      </c>
      <c r="T698" s="9"/>
      <c r="U698" s="9"/>
    </row>
    <row r="699" spans="1:21" hidden="1">
      <c r="A699" s="288">
        <f t="shared" si="15"/>
        <v>698</v>
      </c>
      <c r="B699" s="322">
        <v>46110</v>
      </c>
      <c r="C699" s="292" t="s">
        <v>4985</v>
      </c>
      <c r="D699" s="292" t="s">
        <v>4986</v>
      </c>
      <c r="E699" s="292" t="s">
        <v>193</v>
      </c>
      <c r="F699" s="292" t="s">
        <v>23</v>
      </c>
      <c r="G699" s="292" t="s">
        <v>127</v>
      </c>
      <c r="H699" s="294">
        <v>9913717219</v>
      </c>
      <c r="I699" s="436" t="s">
        <v>4987</v>
      </c>
      <c r="J699" s="294" t="s">
        <v>567</v>
      </c>
      <c r="K699" s="440" t="s">
        <v>4988</v>
      </c>
      <c r="L699" s="292" t="s">
        <v>49</v>
      </c>
      <c r="M699" s="292" t="s">
        <v>50</v>
      </c>
      <c r="N699" s="292"/>
      <c r="O699" s="296"/>
      <c r="P699" s="403"/>
      <c r="Q699" s="294" t="s">
        <v>70</v>
      </c>
      <c r="R699" s="298"/>
      <c r="S699" s="262">
        <v>46110</v>
      </c>
      <c r="T699" s="9"/>
      <c r="U699" s="9"/>
    </row>
    <row r="700" spans="1:21" hidden="1">
      <c r="A700" s="299">
        <f t="shared" si="15"/>
        <v>699</v>
      </c>
      <c r="B700" s="323">
        <v>46110</v>
      </c>
      <c r="C700" s="303"/>
      <c r="D700" s="303" t="s">
        <v>623</v>
      </c>
      <c r="E700" s="303" t="s">
        <v>193</v>
      </c>
      <c r="F700" s="303" t="s">
        <v>73</v>
      </c>
      <c r="G700" s="303" t="s">
        <v>273</v>
      </c>
      <c r="H700" s="305">
        <v>9904699800</v>
      </c>
      <c r="I700" s="444"/>
      <c r="J700" s="305" t="s">
        <v>56</v>
      </c>
      <c r="K700" s="441" t="s">
        <v>4989</v>
      </c>
      <c r="L700" s="303" t="s">
        <v>58</v>
      </c>
      <c r="M700" s="303" t="s">
        <v>50</v>
      </c>
      <c r="N700" s="303"/>
      <c r="O700" s="307"/>
      <c r="P700" s="375"/>
      <c r="Q700" s="305"/>
      <c r="R700" s="309"/>
      <c r="S700" s="262">
        <v>46110</v>
      </c>
      <c r="T700" s="9"/>
      <c r="U700" s="9"/>
    </row>
    <row r="701" spans="1:21" hidden="1">
      <c r="A701" s="288">
        <f t="shared" si="15"/>
        <v>700</v>
      </c>
      <c r="B701" s="322">
        <v>46111</v>
      </c>
      <c r="C701" s="292" t="s">
        <v>4990</v>
      </c>
      <c r="D701" s="292" t="s">
        <v>1951</v>
      </c>
      <c r="E701" s="292" t="s">
        <v>22</v>
      </c>
      <c r="F701" s="292" t="s">
        <v>32</v>
      </c>
      <c r="G701" s="315" t="s">
        <v>4991</v>
      </c>
      <c r="H701" s="294"/>
      <c r="I701" s="436" t="s">
        <v>4992</v>
      </c>
      <c r="J701" s="294" t="s">
        <v>1698</v>
      </c>
      <c r="K701" s="292" t="s">
        <v>4993</v>
      </c>
      <c r="L701" s="292" t="s">
        <v>27</v>
      </c>
      <c r="M701" s="292" t="s">
        <v>28</v>
      </c>
      <c r="N701" s="292" t="s">
        <v>4994</v>
      </c>
      <c r="O701" s="296">
        <v>46111</v>
      </c>
      <c r="P701" s="445"/>
      <c r="Q701" s="294" t="s">
        <v>70</v>
      </c>
      <c r="R701" s="298"/>
      <c r="S701" s="262">
        <v>46111</v>
      </c>
      <c r="T701" s="9"/>
      <c r="U701" s="9"/>
    </row>
    <row r="702" spans="1:21" hidden="1">
      <c r="A702" s="299">
        <f t="shared" si="15"/>
        <v>701</v>
      </c>
      <c r="B702" s="323">
        <v>46111</v>
      </c>
      <c r="C702" s="303" t="s">
        <v>4995</v>
      </c>
      <c r="D702" s="303" t="s">
        <v>1951</v>
      </c>
      <c r="E702" s="303" t="s">
        <v>162</v>
      </c>
      <c r="F702" s="303" t="s">
        <v>73</v>
      </c>
      <c r="G702" s="316" t="s">
        <v>3449</v>
      </c>
      <c r="H702" s="305"/>
      <c r="I702" s="371" t="s">
        <v>4996</v>
      </c>
      <c r="J702" s="305" t="s">
        <v>1698</v>
      </c>
      <c r="K702" s="303" t="s">
        <v>4997</v>
      </c>
      <c r="L702" s="303" t="s">
        <v>49</v>
      </c>
      <c r="M702" s="303" t="s">
        <v>50</v>
      </c>
      <c r="N702" s="303" t="s">
        <v>4998</v>
      </c>
      <c r="O702" s="307">
        <v>46111</v>
      </c>
      <c r="P702" s="443"/>
      <c r="Q702" s="305" t="s">
        <v>70</v>
      </c>
      <c r="R702" s="309"/>
      <c r="S702" s="262">
        <v>46111</v>
      </c>
      <c r="T702" s="9"/>
      <c r="U702" s="9"/>
    </row>
    <row r="703" spans="1:21" ht="45" hidden="1">
      <c r="A703" s="288">
        <f t="shared" si="15"/>
        <v>702</v>
      </c>
      <c r="B703" s="322">
        <v>46111</v>
      </c>
      <c r="C703" s="292" t="s">
        <v>4999</v>
      </c>
      <c r="D703" s="295" t="s">
        <v>5000</v>
      </c>
      <c r="E703" s="292" t="s">
        <v>22</v>
      </c>
      <c r="F703" s="292" t="s">
        <v>32</v>
      </c>
      <c r="G703" s="292" t="s">
        <v>5001</v>
      </c>
      <c r="H703" s="294">
        <v>8956412563</v>
      </c>
      <c r="I703" s="431" t="s">
        <v>5002</v>
      </c>
      <c r="J703" s="294" t="s">
        <v>1698</v>
      </c>
      <c r="K703" s="446" t="s">
        <v>5003</v>
      </c>
      <c r="L703" s="295" t="s">
        <v>27</v>
      </c>
      <c r="M703" s="292" t="s">
        <v>40</v>
      </c>
      <c r="N703" s="292" t="s">
        <v>5004</v>
      </c>
      <c r="O703" s="296">
        <v>46113</v>
      </c>
      <c r="P703" s="445"/>
      <c r="Q703" s="294" t="s">
        <v>70</v>
      </c>
      <c r="R703" s="298"/>
      <c r="S703" s="262">
        <v>46111</v>
      </c>
      <c r="T703" s="9"/>
      <c r="U703" s="9"/>
    </row>
    <row r="704" spans="1:21" hidden="1">
      <c r="A704" s="299">
        <f t="shared" si="15"/>
        <v>703</v>
      </c>
      <c r="B704" s="323">
        <v>46111</v>
      </c>
      <c r="C704" s="303" t="s">
        <v>5005</v>
      </c>
      <c r="D704" s="303"/>
      <c r="E704" s="303" t="s">
        <v>162</v>
      </c>
      <c r="F704" s="303" t="s">
        <v>73</v>
      </c>
      <c r="G704" s="316"/>
      <c r="H704" s="305"/>
      <c r="I704" s="371" t="s">
        <v>5006</v>
      </c>
      <c r="J704" s="305" t="s">
        <v>1698</v>
      </c>
      <c r="K704" s="314" t="s">
        <v>5007</v>
      </c>
      <c r="L704" s="303" t="s">
        <v>74</v>
      </c>
      <c r="M704" s="303" t="s">
        <v>28</v>
      </c>
      <c r="N704" s="303"/>
      <c r="O704" s="307">
        <v>46111</v>
      </c>
      <c r="P704" s="375"/>
      <c r="Q704" s="305" t="s">
        <v>70</v>
      </c>
      <c r="R704" s="309"/>
      <c r="S704" s="262">
        <v>46111</v>
      </c>
      <c r="T704" s="9"/>
      <c r="U704" s="9"/>
    </row>
    <row r="705" spans="1:21" hidden="1">
      <c r="A705" s="288">
        <f t="shared" si="15"/>
        <v>704</v>
      </c>
      <c r="B705" s="322">
        <v>46111</v>
      </c>
      <c r="C705" s="292" t="s">
        <v>5008</v>
      </c>
      <c r="D705" s="292"/>
      <c r="E705" s="292" t="s">
        <v>162</v>
      </c>
      <c r="F705" s="292" t="s">
        <v>73</v>
      </c>
      <c r="G705" s="440" t="s">
        <v>5009</v>
      </c>
      <c r="H705" s="294"/>
      <c r="I705" s="370" t="s">
        <v>5010</v>
      </c>
      <c r="J705" s="294" t="s">
        <v>1698</v>
      </c>
      <c r="K705" s="292"/>
      <c r="L705" s="292" t="s">
        <v>74</v>
      </c>
      <c r="M705" s="292" t="s">
        <v>77</v>
      </c>
      <c r="N705" s="292"/>
      <c r="O705" s="296">
        <v>46111</v>
      </c>
      <c r="P705" s="403"/>
      <c r="Q705" s="294" t="s">
        <v>70</v>
      </c>
      <c r="R705" s="298"/>
      <c r="S705" s="262">
        <v>46111</v>
      </c>
      <c r="T705" s="9"/>
      <c r="U705" s="9"/>
    </row>
    <row r="706" spans="1:21" ht="30" hidden="1">
      <c r="A706" s="299">
        <f t="shared" si="15"/>
        <v>705</v>
      </c>
      <c r="B706" s="323">
        <v>46111</v>
      </c>
      <c r="C706" s="447"/>
      <c r="D706" s="303" t="s">
        <v>5011</v>
      </c>
      <c r="E706" s="303" t="s">
        <v>22</v>
      </c>
      <c r="F706" s="303" t="s">
        <v>44</v>
      </c>
      <c r="G706" s="316" t="s">
        <v>149</v>
      </c>
      <c r="H706" s="305">
        <v>9168262630</v>
      </c>
      <c r="I706" s="374" t="s">
        <v>5012</v>
      </c>
      <c r="J706" s="305" t="s">
        <v>567</v>
      </c>
      <c r="K706" s="303" t="s">
        <v>5013</v>
      </c>
      <c r="L706" s="303" t="s">
        <v>49</v>
      </c>
      <c r="M706" s="303" t="s">
        <v>50</v>
      </c>
      <c r="N706" s="303"/>
      <c r="O706" s="307"/>
      <c r="P706" s="375"/>
      <c r="Q706" s="305"/>
      <c r="R706" s="309"/>
      <c r="S706" s="262">
        <v>46111</v>
      </c>
      <c r="T706" s="9"/>
      <c r="U706" s="9"/>
    </row>
    <row r="707" spans="1:21" hidden="1">
      <c r="A707" s="288">
        <f t="shared" si="15"/>
        <v>706</v>
      </c>
      <c r="B707" s="322">
        <v>46111</v>
      </c>
      <c r="C707" s="292" t="s">
        <v>5014</v>
      </c>
      <c r="D707" s="292" t="s">
        <v>5015</v>
      </c>
      <c r="E707" s="292" t="s">
        <v>22</v>
      </c>
      <c r="F707" s="292" t="s">
        <v>23</v>
      </c>
      <c r="G707" s="315" t="s">
        <v>5016</v>
      </c>
      <c r="H707" s="294">
        <v>8308499133</v>
      </c>
      <c r="I707" s="431"/>
      <c r="J707" s="294" t="s">
        <v>1698</v>
      </c>
      <c r="K707" s="292" t="s">
        <v>5017</v>
      </c>
      <c r="L707" s="292" t="s">
        <v>49</v>
      </c>
      <c r="M707" s="292" t="s">
        <v>50</v>
      </c>
      <c r="N707" s="292"/>
      <c r="O707" s="296"/>
      <c r="P707" s="403"/>
      <c r="Q707" s="294"/>
      <c r="R707" s="298"/>
      <c r="S707" s="262">
        <v>46111</v>
      </c>
      <c r="T707" s="9"/>
      <c r="U707" s="9"/>
    </row>
    <row r="708" spans="1:21" ht="19.5" hidden="1">
      <c r="A708" s="299">
        <f t="shared" si="15"/>
        <v>707</v>
      </c>
      <c r="B708" s="323">
        <v>46111</v>
      </c>
      <c r="C708" s="303" t="s">
        <v>5018</v>
      </c>
      <c r="D708" s="448" t="s">
        <v>5019</v>
      </c>
      <c r="E708" s="303" t="s">
        <v>82</v>
      </c>
      <c r="F708" s="303" t="s">
        <v>60</v>
      </c>
      <c r="G708" s="316" t="s">
        <v>5020</v>
      </c>
      <c r="H708" s="305">
        <v>9095660070</v>
      </c>
      <c r="I708" s="374"/>
      <c r="J708" s="305" t="s">
        <v>567</v>
      </c>
      <c r="K708" s="303" t="s">
        <v>4347</v>
      </c>
      <c r="L708" s="303" t="s">
        <v>58</v>
      </c>
      <c r="M708" s="303" t="s">
        <v>40</v>
      </c>
      <c r="N708" s="303"/>
      <c r="O708" s="307"/>
      <c r="P708" s="375"/>
      <c r="Q708" s="305"/>
      <c r="R708" s="309"/>
      <c r="S708" s="262">
        <v>46111</v>
      </c>
      <c r="T708" s="9"/>
      <c r="U708" s="9"/>
    </row>
    <row r="709" spans="1:21" hidden="1">
      <c r="A709" s="288">
        <f t="shared" si="15"/>
        <v>708</v>
      </c>
      <c r="B709" s="322">
        <v>46111</v>
      </c>
      <c r="C709" s="292" t="s">
        <v>4347</v>
      </c>
      <c r="D709" s="292" t="s">
        <v>183</v>
      </c>
      <c r="E709" s="292" t="s">
        <v>22</v>
      </c>
      <c r="F709" s="292" t="s">
        <v>60</v>
      </c>
      <c r="G709" s="315" t="s">
        <v>5020</v>
      </c>
      <c r="H709" s="294">
        <v>9076254725</v>
      </c>
      <c r="I709" s="436" t="s">
        <v>5021</v>
      </c>
      <c r="J709" s="294" t="s">
        <v>1113</v>
      </c>
      <c r="K709" s="292" t="s">
        <v>4347</v>
      </c>
      <c r="L709" s="292" t="s">
        <v>58</v>
      </c>
      <c r="M709" s="292" t="s">
        <v>40</v>
      </c>
      <c r="N709" s="292"/>
      <c r="O709" s="296"/>
      <c r="P709" s="403"/>
      <c r="Q709" s="294"/>
      <c r="R709" s="298"/>
      <c r="S709" s="262">
        <v>46111</v>
      </c>
      <c r="T709" s="9"/>
      <c r="U709" s="9"/>
    </row>
    <row r="710" spans="1:21" ht="45" hidden="1">
      <c r="A710" s="299">
        <f t="shared" si="15"/>
        <v>709</v>
      </c>
      <c r="B710" s="323">
        <v>46112</v>
      </c>
      <c r="C710" s="303" t="s">
        <v>5022</v>
      </c>
      <c r="D710" s="303" t="s">
        <v>5023</v>
      </c>
      <c r="E710" s="303" t="s">
        <v>22</v>
      </c>
      <c r="F710" s="303" t="s">
        <v>60</v>
      </c>
      <c r="G710" s="316" t="s">
        <v>180</v>
      </c>
      <c r="H710" s="305">
        <v>9145963923</v>
      </c>
      <c r="I710" s="374" t="s">
        <v>5024</v>
      </c>
      <c r="J710" s="305" t="s">
        <v>63</v>
      </c>
      <c r="K710" s="303" t="s">
        <v>5025</v>
      </c>
      <c r="L710" s="303" t="s">
        <v>49</v>
      </c>
      <c r="M710" s="303" t="s">
        <v>40</v>
      </c>
      <c r="N710" s="303"/>
      <c r="O710" s="307"/>
      <c r="P710" s="375"/>
      <c r="Q710" s="305"/>
      <c r="R710" s="309"/>
      <c r="S710" s="262">
        <v>46112</v>
      </c>
      <c r="T710" s="9"/>
      <c r="U710" s="9"/>
    </row>
    <row r="711" spans="1:21" hidden="1">
      <c r="A711" s="288">
        <f t="shared" si="15"/>
        <v>710</v>
      </c>
      <c r="B711" s="322">
        <v>46112</v>
      </c>
      <c r="C711" s="292"/>
      <c r="D711" s="292" t="s">
        <v>1042</v>
      </c>
      <c r="E711" s="292" t="s">
        <v>22</v>
      </c>
      <c r="F711" s="292" t="s">
        <v>1561</v>
      </c>
      <c r="G711" s="315" t="s">
        <v>5026</v>
      </c>
      <c r="H711" s="294">
        <v>8097298427</v>
      </c>
      <c r="I711" s="431"/>
      <c r="J711" s="294" t="s">
        <v>63</v>
      </c>
      <c r="K711" s="292" t="s">
        <v>5027</v>
      </c>
      <c r="L711" s="292" t="s">
        <v>49</v>
      </c>
      <c r="M711" s="292" t="s">
        <v>50</v>
      </c>
      <c r="N711" s="292"/>
      <c r="O711" s="296"/>
      <c r="P711" s="403"/>
      <c r="Q711" s="294"/>
      <c r="R711" s="298"/>
      <c r="S711" s="262">
        <v>46112</v>
      </c>
      <c r="T711" s="9"/>
      <c r="U711" s="9"/>
    </row>
    <row r="712" spans="1:21" ht="19.5" hidden="1">
      <c r="A712" s="299">
        <f t="shared" si="15"/>
        <v>711</v>
      </c>
      <c r="B712" s="323">
        <v>46112</v>
      </c>
      <c r="C712" s="448"/>
      <c r="D712" s="448" t="s">
        <v>833</v>
      </c>
      <c r="E712" s="303"/>
      <c r="F712" s="303" t="s">
        <v>73</v>
      </c>
      <c r="G712" s="316" t="s">
        <v>5028</v>
      </c>
      <c r="H712" s="305">
        <v>9380005085</v>
      </c>
      <c r="I712" s="305" t="s">
        <v>835</v>
      </c>
      <c r="J712" s="305" t="s">
        <v>122</v>
      </c>
      <c r="K712" s="303" t="s">
        <v>5029</v>
      </c>
      <c r="L712" s="303" t="s">
        <v>58</v>
      </c>
      <c r="M712" s="303" t="s">
        <v>50</v>
      </c>
      <c r="N712" s="303"/>
      <c r="O712" s="307"/>
      <c r="P712" s="375"/>
      <c r="Q712" s="305"/>
      <c r="R712" s="309"/>
      <c r="S712" s="262">
        <v>46112</v>
      </c>
      <c r="T712" s="9"/>
      <c r="U712" s="9"/>
    </row>
    <row r="713" spans="1:21" hidden="1">
      <c r="A713" s="288">
        <f t="shared" si="15"/>
        <v>712</v>
      </c>
      <c r="B713" s="322"/>
      <c r="C713" s="292"/>
      <c r="D713" s="292"/>
      <c r="E713" s="292"/>
      <c r="F713" s="292"/>
      <c r="G713" s="315"/>
      <c r="H713" s="294"/>
      <c r="I713" s="431"/>
      <c r="J713" s="294"/>
      <c r="K713" s="292"/>
      <c r="L713" s="292"/>
      <c r="M713" s="292"/>
      <c r="N713" s="292"/>
      <c r="O713" s="296"/>
      <c r="P713" s="403"/>
      <c r="Q713" s="294"/>
      <c r="R713" s="298"/>
      <c r="S713" s="262">
        <v>46112</v>
      </c>
      <c r="T713" s="9"/>
      <c r="U713" s="9"/>
    </row>
    <row r="714" spans="1:21" hidden="1">
      <c r="A714" s="299">
        <f t="shared" si="15"/>
        <v>713</v>
      </c>
      <c r="B714" s="323">
        <v>46112</v>
      </c>
      <c r="C714" s="323" t="s">
        <v>5030</v>
      </c>
      <c r="D714" s="303" t="s">
        <v>2762</v>
      </c>
      <c r="E714" s="303" t="s">
        <v>22</v>
      </c>
      <c r="F714" s="303" t="s">
        <v>83</v>
      </c>
      <c r="G714" s="316" t="s">
        <v>5031</v>
      </c>
      <c r="H714" s="305">
        <v>7069990970</v>
      </c>
      <c r="I714" s="374"/>
      <c r="J714" s="305" t="s">
        <v>1113</v>
      </c>
      <c r="K714" s="303" t="s">
        <v>5032</v>
      </c>
      <c r="L714" s="303" t="s">
        <v>49</v>
      </c>
      <c r="M714" s="303" t="s">
        <v>50</v>
      </c>
      <c r="N714" s="303"/>
      <c r="O714" s="307"/>
      <c r="P714" s="375"/>
      <c r="Q714" s="305"/>
      <c r="R714" s="309"/>
      <c r="S714" s="262">
        <v>46112</v>
      </c>
      <c r="T714" s="9"/>
      <c r="U714" s="9"/>
    </row>
    <row r="715" spans="1:21" hidden="1">
      <c r="A715" s="288">
        <f t="shared" si="15"/>
        <v>714</v>
      </c>
      <c r="B715" s="322">
        <v>46112</v>
      </c>
      <c r="C715" s="292" t="s">
        <v>5033</v>
      </c>
      <c r="D715" s="292" t="s">
        <v>5034</v>
      </c>
      <c r="E715" s="292" t="s">
        <v>22</v>
      </c>
      <c r="F715" s="292" t="s">
        <v>60</v>
      </c>
      <c r="G715" s="315" t="s">
        <v>3180</v>
      </c>
      <c r="H715" s="294">
        <v>8275098783</v>
      </c>
      <c r="I715" s="431"/>
      <c r="J715" s="294" t="s">
        <v>63</v>
      </c>
      <c r="K715" s="292" t="s">
        <v>5035</v>
      </c>
      <c r="L715" s="292" t="s">
        <v>49</v>
      </c>
      <c r="M715" s="292" t="s">
        <v>40</v>
      </c>
      <c r="N715" s="292"/>
      <c r="O715" s="296"/>
      <c r="P715" s="403"/>
      <c r="Q715" s="294"/>
      <c r="R715" s="298"/>
      <c r="S715" s="262">
        <v>46112</v>
      </c>
      <c r="T715" s="9"/>
      <c r="U715" s="9"/>
    </row>
    <row r="716" spans="1:21" ht="45" hidden="1">
      <c r="A716" s="299">
        <f t="shared" si="15"/>
        <v>715</v>
      </c>
      <c r="B716" s="323">
        <v>46112</v>
      </c>
      <c r="C716" s="303"/>
      <c r="D716" s="303" t="s">
        <v>2762</v>
      </c>
      <c r="E716" s="303" t="s">
        <v>22</v>
      </c>
      <c r="F716" s="303" t="s">
        <v>73</v>
      </c>
      <c r="G716" s="303" t="s">
        <v>90</v>
      </c>
      <c r="H716" s="305">
        <v>9049627272</v>
      </c>
      <c r="I716" s="374" t="s">
        <v>5036</v>
      </c>
      <c r="J716" s="305" t="s">
        <v>63</v>
      </c>
      <c r="K716" s="303" t="s">
        <v>5037</v>
      </c>
      <c r="L716" s="303" t="s">
        <v>49</v>
      </c>
      <c r="M716" s="303" t="s">
        <v>50</v>
      </c>
      <c r="N716" s="303"/>
      <c r="O716" s="307"/>
      <c r="P716" s="375"/>
      <c r="Q716" s="305"/>
      <c r="R716" s="309"/>
      <c r="S716" s="262">
        <v>46112</v>
      </c>
      <c r="T716" s="9"/>
      <c r="U716" s="9"/>
    </row>
    <row r="717" spans="1:21" ht="30" hidden="1">
      <c r="A717" s="288">
        <f t="shared" si="15"/>
        <v>716</v>
      </c>
      <c r="B717" s="322">
        <v>46112</v>
      </c>
      <c r="C717" s="292" t="s">
        <v>5038</v>
      </c>
      <c r="D717" s="292" t="s">
        <v>5039</v>
      </c>
      <c r="E717" s="292" t="s">
        <v>3130</v>
      </c>
      <c r="F717" s="292" t="s">
        <v>60</v>
      </c>
      <c r="G717" s="315" t="s">
        <v>180</v>
      </c>
      <c r="H717" s="294">
        <v>9008633391</v>
      </c>
      <c r="I717" s="431" t="s">
        <v>5040</v>
      </c>
      <c r="J717" s="294" t="s">
        <v>567</v>
      </c>
      <c r="K717" s="292" t="s">
        <v>5041</v>
      </c>
      <c r="L717" s="292" t="s">
        <v>49</v>
      </c>
      <c r="M717" s="292" t="s">
        <v>40</v>
      </c>
      <c r="N717" s="292"/>
      <c r="O717" s="296"/>
      <c r="P717" s="403"/>
      <c r="Q717" s="294"/>
      <c r="R717" s="298"/>
      <c r="S717" s="8"/>
      <c r="T717" s="9"/>
      <c r="U717" s="9"/>
    </row>
    <row r="718" spans="1:21" ht="30" hidden="1">
      <c r="A718" s="299">
        <f t="shared" si="15"/>
        <v>717</v>
      </c>
      <c r="B718" s="323">
        <v>46112</v>
      </c>
      <c r="C718" s="303" t="s">
        <v>5042</v>
      </c>
      <c r="D718" s="303" t="s">
        <v>5043</v>
      </c>
      <c r="E718" s="303" t="s">
        <v>595</v>
      </c>
      <c r="F718" s="303" t="s">
        <v>83</v>
      </c>
      <c r="G718" s="316" t="s">
        <v>5044</v>
      </c>
      <c r="H718" s="305">
        <v>9830874680</v>
      </c>
      <c r="I718" s="374" t="s">
        <v>3735</v>
      </c>
      <c r="J718" s="305" t="s">
        <v>1624</v>
      </c>
      <c r="K718" s="303" t="s">
        <v>3736</v>
      </c>
      <c r="L718" s="303" t="s">
        <v>49</v>
      </c>
      <c r="M718" s="303" t="s">
        <v>28</v>
      </c>
      <c r="N718" s="303"/>
      <c r="O718" s="307"/>
      <c r="P718" s="375"/>
      <c r="Q718" s="305"/>
      <c r="R718" s="309"/>
      <c r="S718" s="8"/>
      <c r="T718" s="9"/>
      <c r="U718" s="9"/>
    </row>
    <row r="719" spans="1:21" ht="60" hidden="1">
      <c r="A719" s="288">
        <f t="shared" si="15"/>
        <v>718</v>
      </c>
      <c r="B719" s="322">
        <v>46113</v>
      </c>
      <c r="C719" s="292" t="s">
        <v>112</v>
      </c>
      <c r="D719" s="292" t="s">
        <v>113</v>
      </c>
      <c r="E719" s="292" t="s">
        <v>22</v>
      </c>
      <c r="F719" s="292" t="s">
        <v>59</v>
      </c>
      <c r="G719" s="315" t="s">
        <v>114</v>
      </c>
      <c r="H719" s="449">
        <v>9767350574</v>
      </c>
      <c r="I719" s="431" t="s">
        <v>115</v>
      </c>
      <c r="J719" s="294" t="s">
        <v>1698</v>
      </c>
      <c r="K719" s="292" t="s">
        <v>116</v>
      </c>
      <c r="L719" s="292" t="s">
        <v>117</v>
      </c>
      <c r="M719" s="292" t="s">
        <v>77</v>
      </c>
      <c r="N719" s="292"/>
      <c r="O719" s="296"/>
      <c r="P719" s="403"/>
      <c r="Q719" s="294"/>
      <c r="R719" s="298"/>
      <c r="S719" s="8"/>
      <c r="T719" s="9"/>
      <c r="U719" s="9"/>
    </row>
    <row r="720" spans="1:21" hidden="1">
      <c r="A720" s="299">
        <f t="shared" si="15"/>
        <v>719</v>
      </c>
      <c r="B720" s="323">
        <v>46113</v>
      </c>
      <c r="C720" s="303" t="s">
        <v>104</v>
      </c>
      <c r="D720" s="303" t="s">
        <v>5045</v>
      </c>
      <c r="E720" s="303" t="s">
        <v>22</v>
      </c>
      <c r="F720" s="303" t="s">
        <v>23</v>
      </c>
      <c r="G720" s="316" t="s">
        <v>105</v>
      </c>
      <c r="H720" s="450">
        <v>9970951430</v>
      </c>
      <c r="I720" s="371" t="s">
        <v>5046</v>
      </c>
      <c r="J720" s="305" t="s">
        <v>1698</v>
      </c>
      <c r="K720" s="395" t="s">
        <v>5047</v>
      </c>
      <c r="L720" s="303" t="s">
        <v>74</v>
      </c>
      <c r="M720" s="303" t="s">
        <v>28</v>
      </c>
      <c r="N720" s="303"/>
      <c r="O720" s="307"/>
      <c r="P720" s="375"/>
      <c r="Q720" s="305"/>
      <c r="R720" s="309"/>
      <c r="S720" s="8"/>
      <c r="T720" s="9"/>
      <c r="U720" s="9"/>
    </row>
    <row r="721" spans="1:21" ht="30" hidden="1">
      <c r="A721" s="288">
        <f t="shared" si="15"/>
        <v>720</v>
      </c>
      <c r="B721" s="322">
        <v>46113</v>
      </c>
      <c r="C721" s="295"/>
      <c r="D721" s="292"/>
      <c r="E721" s="292"/>
      <c r="F721" s="292" t="s">
        <v>60</v>
      </c>
      <c r="G721" s="315" t="s">
        <v>61</v>
      </c>
      <c r="H721" s="451">
        <v>9146215901</v>
      </c>
      <c r="I721" s="431" t="s">
        <v>5048</v>
      </c>
      <c r="J721" s="294" t="s">
        <v>63</v>
      </c>
      <c r="K721" s="398" t="s">
        <v>64</v>
      </c>
      <c r="L721" s="292" t="s">
        <v>49</v>
      </c>
      <c r="M721" s="292" t="s">
        <v>40</v>
      </c>
      <c r="N721" s="292"/>
      <c r="O721" s="296"/>
      <c r="P721" s="403"/>
      <c r="Q721" s="294"/>
      <c r="R721" s="298"/>
      <c r="S721" s="8"/>
      <c r="T721" s="9"/>
      <c r="U721" s="9"/>
    </row>
    <row r="722" spans="1:21" ht="45" hidden="1">
      <c r="A722" s="299">
        <f t="shared" si="15"/>
        <v>721</v>
      </c>
      <c r="B722" s="323">
        <v>46113</v>
      </c>
      <c r="C722" s="303" t="s">
        <v>88</v>
      </c>
      <c r="D722" s="303" t="s">
        <v>5049</v>
      </c>
      <c r="E722" s="303" t="s">
        <v>22</v>
      </c>
      <c r="F722" s="303" t="s">
        <v>73</v>
      </c>
      <c r="G722" s="303" t="s">
        <v>90</v>
      </c>
      <c r="H722" s="452">
        <v>7249020866</v>
      </c>
      <c r="I722" s="374" t="s">
        <v>5050</v>
      </c>
      <c r="J722" s="305" t="s">
        <v>63</v>
      </c>
      <c r="K722" s="395" t="s">
        <v>92</v>
      </c>
      <c r="L722" s="303" t="s">
        <v>49</v>
      </c>
      <c r="M722" s="303" t="s">
        <v>50</v>
      </c>
      <c r="N722" s="303"/>
      <c r="O722" s="307"/>
      <c r="P722" s="375"/>
      <c r="Q722" s="305"/>
      <c r="R722" s="309"/>
      <c r="S722" s="8"/>
      <c r="T722" s="9"/>
      <c r="U722" s="9"/>
    </row>
    <row r="723" spans="1:21" ht="45" hidden="1">
      <c r="A723" s="288">
        <f t="shared" si="15"/>
        <v>722</v>
      </c>
      <c r="B723" s="322">
        <v>46113</v>
      </c>
      <c r="C723" s="292"/>
      <c r="D723" s="292" t="s">
        <v>46</v>
      </c>
      <c r="E723" s="292"/>
      <c r="F723" s="292"/>
      <c r="G723" s="292" t="s">
        <v>45</v>
      </c>
      <c r="H723" s="451">
        <v>8080534980</v>
      </c>
      <c r="I723" s="431" t="s">
        <v>46</v>
      </c>
      <c r="J723" s="294" t="s">
        <v>1113</v>
      </c>
      <c r="K723" s="398" t="s">
        <v>48</v>
      </c>
      <c r="L723" s="292" t="s">
        <v>49</v>
      </c>
      <c r="M723" s="292" t="s">
        <v>50</v>
      </c>
      <c r="N723" s="292"/>
      <c r="O723" s="296"/>
      <c r="P723" s="403"/>
      <c r="Q723" s="294"/>
      <c r="R723" s="298"/>
      <c r="S723" s="8"/>
      <c r="T723" s="9"/>
      <c r="U723" s="9"/>
    </row>
    <row r="724" spans="1:21" hidden="1">
      <c r="A724" s="299">
        <f t="shared" si="15"/>
        <v>723</v>
      </c>
      <c r="B724" s="323">
        <v>46113</v>
      </c>
      <c r="C724" s="303" t="s">
        <v>5051</v>
      </c>
      <c r="D724" s="303" t="s">
        <v>31</v>
      </c>
      <c r="E724" s="303" t="s">
        <v>22</v>
      </c>
      <c r="F724" s="303" t="s">
        <v>59</v>
      </c>
      <c r="G724" s="316"/>
      <c r="H724" s="305"/>
      <c r="I724" s="314"/>
      <c r="J724" s="305" t="s">
        <v>1698</v>
      </c>
      <c r="K724" s="303" t="s">
        <v>990</v>
      </c>
      <c r="L724" s="303" t="s">
        <v>74</v>
      </c>
      <c r="M724" s="303" t="s">
        <v>28</v>
      </c>
      <c r="N724" s="303"/>
      <c r="O724" s="307"/>
      <c r="P724" s="375"/>
      <c r="Q724" s="305"/>
      <c r="R724" s="309"/>
      <c r="S724" s="8"/>
      <c r="T724" s="9"/>
      <c r="U724" s="9"/>
    </row>
    <row r="725" spans="1:21" hidden="1">
      <c r="A725" s="288">
        <f t="shared" si="15"/>
        <v>724</v>
      </c>
      <c r="B725" s="322">
        <v>46113</v>
      </c>
      <c r="C725" s="292" t="s">
        <v>5052</v>
      </c>
      <c r="D725" s="292" t="s">
        <v>31</v>
      </c>
      <c r="E725" s="292" t="s">
        <v>22</v>
      </c>
      <c r="F725" s="292" t="s">
        <v>60</v>
      </c>
      <c r="G725" s="315" t="s">
        <v>5053</v>
      </c>
      <c r="H725" s="294"/>
      <c r="I725" s="295"/>
      <c r="J725" s="294" t="s">
        <v>1698</v>
      </c>
      <c r="K725" s="292"/>
      <c r="L725" s="292" t="s">
        <v>74</v>
      </c>
      <c r="M725" s="292" t="s">
        <v>28</v>
      </c>
      <c r="N725" s="292"/>
      <c r="O725" s="296"/>
      <c r="P725" s="403"/>
      <c r="Q725" s="294"/>
      <c r="R725" s="298"/>
      <c r="S725" s="8"/>
      <c r="T725" s="9"/>
      <c r="U725" s="9"/>
    </row>
    <row r="726" spans="1:21" ht="45" hidden="1">
      <c r="A726" s="299">
        <f t="shared" si="15"/>
        <v>725</v>
      </c>
      <c r="B726" s="323">
        <v>46113</v>
      </c>
      <c r="C726" s="303" t="s">
        <v>71</v>
      </c>
      <c r="D726" s="303" t="s">
        <v>2146</v>
      </c>
      <c r="E726" s="303" t="s">
        <v>22</v>
      </c>
      <c r="F726" s="303" t="s">
        <v>73</v>
      </c>
      <c r="G726" s="316" t="s">
        <v>5054</v>
      </c>
      <c r="H726" s="453">
        <v>9146185214</v>
      </c>
      <c r="I726" s="374" t="s">
        <v>75</v>
      </c>
      <c r="J726" s="305" t="s">
        <v>1698</v>
      </c>
      <c r="K726" s="395" t="s">
        <v>76</v>
      </c>
      <c r="L726" s="303" t="s">
        <v>74</v>
      </c>
      <c r="M726" s="303" t="s">
        <v>77</v>
      </c>
      <c r="N726" s="303"/>
      <c r="O726" s="307"/>
      <c r="P726" s="375"/>
      <c r="Q726" s="305"/>
      <c r="R726" s="309"/>
      <c r="S726" s="8"/>
      <c r="T726" s="9"/>
      <c r="U726" s="9"/>
    </row>
    <row r="727" spans="1:21" ht="45" hidden="1">
      <c r="A727" s="288">
        <f t="shared" si="15"/>
        <v>726</v>
      </c>
      <c r="B727" s="322">
        <v>46113</v>
      </c>
      <c r="C727" s="292" t="s">
        <v>93</v>
      </c>
      <c r="D727" s="292" t="s">
        <v>31</v>
      </c>
      <c r="E727" s="292" t="s">
        <v>22</v>
      </c>
      <c r="F727" s="292" t="s">
        <v>73</v>
      </c>
      <c r="G727" s="315" t="s">
        <v>5055</v>
      </c>
      <c r="H727" s="294">
        <v>9765559037</v>
      </c>
      <c r="I727" s="431" t="s">
        <v>5056</v>
      </c>
      <c r="J727" s="294" t="s">
        <v>1698</v>
      </c>
      <c r="K727" s="398" t="s">
        <v>5057</v>
      </c>
      <c r="L727" s="292" t="s">
        <v>74</v>
      </c>
      <c r="M727" s="292" t="s">
        <v>28</v>
      </c>
      <c r="N727" s="292"/>
      <c r="O727" s="296"/>
      <c r="P727" s="403"/>
      <c r="Q727" s="294"/>
      <c r="R727" s="298"/>
      <c r="S727" s="8"/>
      <c r="T727" s="9"/>
      <c r="U727" s="9"/>
    </row>
    <row r="728" spans="1:21" ht="49.5" hidden="1">
      <c r="A728" s="299">
        <f t="shared" si="15"/>
        <v>727</v>
      </c>
      <c r="B728" s="323">
        <v>46113</v>
      </c>
      <c r="C728" s="303"/>
      <c r="D728" s="303" t="s">
        <v>52</v>
      </c>
      <c r="E728" s="303" t="s">
        <v>22</v>
      </c>
      <c r="F728" s="303" t="s">
        <v>53</v>
      </c>
      <c r="G728" s="448" t="s">
        <v>54</v>
      </c>
      <c r="H728" s="448">
        <v>9324210241</v>
      </c>
      <c r="I728" s="374" t="s">
        <v>55</v>
      </c>
      <c r="J728" s="305" t="s">
        <v>56</v>
      </c>
      <c r="K728" s="454" t="s">
        <v>57</v>
      </c>
      <c r="L728" s="303" t="s">
        <v>58</v>
      </c>
      <c r="M728" s="303" t="s">
        <v>50</v>
      </c>
      <c r="N728" s="303"/>
      <c r="O728" s="307"/>
      <c r="P728" s="375"/>
      <c r="Q728" s="305"/>
      <c r="R728" s="309"/>
      <c r="S728" s="8"/>
      <c r="T728" s="9"/>
      <c r="U728" s="9"/>
    </row>
    <row r="729" spans="1:21" ht="19.5" hidden="1">
      <c r="A729" s="288">
        <f t="shared" si="15"/>
        <v>728</v>
      </c>
      <c r="B729" s="322">
        <v>46113</v>
      </c>
      <c r="C729" s="292" t="s">
        <v>107</v>
      </c>
      <c r="D729" s="455" t="s">
        <v>108</v>
      </c>
      <c r="E729" s="292"/>
      <c r="F729" s="292" t="s">
        <v>73</v>
      </c>
      <c r="G729" s="455" t="s">
        <v>109</v>
      </c>
      <c r="H729" s="294">
        <v>9007847150</v>
      </c>
      <c r="I729" s="455" t="s">
        <v>110</v>
      </c>
      <c r="J729" s="294" t="s">
        <v>567</v>
      </c>
      <c r="K729" s="398" t="s">
        <v>111</v>
      </c>
      <c r="L729" s="292" t="s">
        <v>58</v>
      </c>
      <c r="M729" s="292" t="s">
        <v>50</v>
      </c>
      <c r="N729" s="292"/>
      <c r="O729" s="296"/>
      <c r="P729" s="403"/>
      <c r="Q729" s="294"/>
      <c r="R729" s="298"/>
      <c r="S729" s="8"/>
      <c r="T729" s="9"/>
      <c r="U729" s="9"/>
    </row>
    <row r="730" spans="1:21" hidden="1">
      <c r="A730" s="299">
        <f t="shared" si="15"/>
        <v>729</v>
      </c>
      <c r="B730" s="323">
        <v>46113</v>
      </c>
      <c r="C730" s="303" t="s">
        <v>99</v>
      </c>
      <c r="D730" s="303" t="s">
        <v>100</v>
      </c>
      <c r="E730" s="303" t="s">
        <v>22</v>
      </c>
      <c r="F730" s="303" t="s">
        <v>73</v>
      </c>
      <c r="G730" s="316" t="s">
        <v>5055</v>
      </c>
      <c r="H730" s="450">
        <v>9970951430</v>
      </c>
      <c r="I730" s="371" t="s">
        <v>5046</v>
      </c>
      <c r="J730" s="305" t="s">
        <v>1698</v>
      </c>
      <c r="K730" s="395" t="s">
        <v>5047</v>
      </c>
      <c r="L730" s="303" t="s">
        <v>74</v>
      </c>
      <c r="M730" s="303" t="s">
        <v>28</v>
      </c>
      <c r="N730" s="303"/>
      <c r="O730" s="307"/>
      <c r="P730" s="375"/>
      <c r="Q730" s="305"/>
      <c r="R730" s="309"/>
      <c r="S730" s="8"/>
      <c r="T730" s="9"/>
      <c r="U730" s="9"/>
    </row>
    <row r="731" spans="1:21" ht="45" hidden="1">
      <c r="A731" s="288">
        <f t="shared" si="15"/>
        <v>730</v>
      </c>
      <c r="B731" s="322">
        <v>46114</v>
      </c>
      <c r="C731" s="292" t="s">
        <v>134</v>
      </c>
      <c r="D731" s="292" t="s">
        <v>2762</v>
      </c>
      <c r="E731" s="292" t="s">
        <v>22</v>
      </c>
      <c r="F731" s="292" t="s">
        <v>60</v>
      </c>
      <c r="G731" s="315" t="s">
        <v>135</v>
      </c>
      <c r="H731" s="451">
        <v>8766460470</v>
      </c>
      <c r="I731" s="431" t="s">
        <v>4565</v>
      </c>
      <c r="J731" s="294" t="s">
        <v>1113</v>
      </c>
      <c r="K731" s="292" t="s">
        <v>137</v>
      </c>
      <c r="L731" s="292" t="s">
        <v>49</v>
      </c>
      <c r="M731" s="292" t="s">
        <v>40</v>
      </c>
      <c r="N731" s="292"/>
      <c r="O731" s="296"/>
      <c r="P731" s="403"/>
      <c r="Q731" s="294"/>
      <c r="R731" s="298"/>
      <c r="S731" s="8"/>
      <c r="T731" s="9"/>
      <c r="U731" s="9"/>
    </row>
    <row r="732" spans="1:21" hidden="1">
      <c r="A732" s="299">
        <f t="shared" si="15"/>
        <v>731</v>
      </c>
      <c r="B732" s="323">
        <v>46114</v>
      </c>
      <c r="C732" s="305"/>
      <c r="D732" s="303" t="s">
        <v>2762</v>
      </c>
      <c r="E732" s="303" t="s">
        <v>22</v>
      </c>
      <c r="F732" s="303" t="s">
        <v>73</v>
      </c>
      <c r="G732" s="316" t="s">
        <v>132</v>
      </c>
      <c r="H732" s="456">
        <v>7385604099</v>
      </c>
      <c r="I732" s="374"/>
      <c r="J732" s="305" t="s">
        <v>122</v>
      </c>
      <c r="K732" s="303" t="s">
        <v>133</v>
      </c>
      <c r="L732" s="303" t="s">
        <v>58</v>
      </c>
      <c r="M732" s="303" t="s">
        <v>50</v>
      </c>
      <c r="N732" s="303"/>
      <c r="O732" s="307"/>
      <c r="P732" s="375"/>
      <c r="Q732" s="305"/>
      <c r="R732" s="309"/>
      <c r="S732" s="8"/>
      <c r="T732" s="9"/>
      <c r="U732" s="9"/>
    </row>
    <row r="733" spans="1:21" hidden="1">
      <c r="A733" s="288">
        <f t="shared" ref="A733:A778" si="16">ROW()-1</f>
        <v>732</v>
      </c>
      <c r="B733" s="322">
        <v>46114</v>
      </c>
      <c r="C733" s="292"/>
      <c r="D733" s="292" t="s">
        <v>120</v>
      </c>
      <c r="E733" s="292"/>
      <c r="F733" s="292" t="s">
        <v>73</v>
      </c>
      <c r="G733" s="315" t="s">
        <v>121</v>
      </c>
      <c r="H733" s="457">
        <v>9883612877</v>
      </c>
      <c r="I733" s="431"/>
      <c r="J733" s="294" t="s">
        <v>122</v>
      </c>
      <c r="K733" s="292" t="s">
        <v>123</v>
      </c>
      <c r="L733" s="292" t="s">
        <v>58</v>
      </c>
      <c r="M733" s="292" t="s">
        <v>50</v>
      </c>
      <c r="N733" s="292"/>
      <c r="O733" s="296"/>
      <c r="P733" s="403"/>
      <c r="Q733" s="294"/>
      <c r="R733" s="298"/>
      <c r="S733" s="8"/>
      <c r="T733" s="9"/>
      <c r="U733" s="9"/>
    </row>
    <row r="734" spans="1:21" hidden="1">
      <c r="A734" s="299">
        <f t="shared" si="16"/>
        <v>733</v>
      </c>
      <c r="B734" s="323">
        <v>46114</v>
      </c>
      <c r="C734" s="303" t="s">
        <v>124</v>
      </c>
      <c r="D734" s="303" t="s">
        <v>125</v>
      </c>
      <c r="E734" s="303" t="s">
        <v>126</v>
      </c>
      <c r="F734" s="303" t="s">
        <v>23</v>
      </c>
      <c r="G734" s="316" t="s">
        <v>127</v>
      </c>
      <c r="H734" s="456" t="s">
        <v>5058</v>
      </c>
      <c r="I734" s="374"/>
      <c r="J734" s="305" t="s">
        <v>1698</v>
      </c>
      <c r="K734" s="303" t="s">
        <v>128</v>
      </c>
      <c r="L734" s="303" t="s">
        <v>58</v>
      </c>
      <c r="M734" s="303" t="s">
        <v>50</v>
      </c>
      <c r="N734" s="430"/>
      <c r="O734" s="307"/>
      <c r="P734" s="375"/>
      <c r="Q734" s="305"/>
      <c r="R734" s="309"/>
      <c r="S734" s="8"/>
      <c r="T734" s="9"/>
      <c r="U734" s="9"/>
    </row>
    <row r="735" spans="1:21" ht="30" hidden="1">
      <c r="A735" s="288">
        <f t="shared" si="16"/>
        <v>734</v>
      </c>
      <c r="B735" s="322">
        <v>46115</v>
      </c>
      <c r="C735" s="292" t="s">
        <v>153</v>
      </c>
      <c r="D735" s="292" t="s">
        <v>5059</v>
      </c>
      <c r="E735" s="292" t="s">
        <v>22</v>
      </c>
      <c r="F735" s="292" t="s">
        <v>44</v>
      </c>
      <c r="G735" s="292" t="s">
        <v>149</v>
      </c>
      <c r="H735" s="294">
        <v>9960238973</v>
      </c>
      <c r="I735" s="334" t="s">
        <v>5060</v>
      </c>
      <c r="J735" s="294" t="s">
        <v>1698</v>
      </c>
      <c r="K735" s="398" t="s">
        <v>156</v>
      </c>
      <c r="L735" s="292" t="s">
        <v>49</v>
      </c>
      <c r="M735" s="292" t="s">
        <v>50</v>
      </c>
      <c r="N735" s="292"/>
      <c r="O735" s="296"/>
      <c r="P735" s="403"/>
      <c r="Q735" s="294"/>
      <c r="R735" s="298"/>
      <c r="S735" s="8"/>
      <c r="T735" s="9"/>
      <c r="U735" s="9"/>
    </row>
    <row r="736" spans="1:21" ht="45" hidden="1">
      <c r="A736" s="299">
        <f t="shared" si="16"/>
        <v>735</v>
      </c>
      <c r="B736" s="323">
        <v>46115</v>
      </c>
      <c r="C736" s="303" t="s">
        <v>168</v>
      </c>
      <c r="D736" s="303" t="s">
        <v>5061</v>
      </c>
      <c r="E736" s="303" t="s">
        <v>22</v>
      </c>
      <c r="F736" s="303" t="s">
        <v>60</v>
      </c>
      <c r="G736" s="303" t="s">
        <v>170</v>
      </c>
      <c r="H736" s="305">
        <v>9923625798</v>
      </c>
      <c r="I736" s="337" t="s">
        <v>5062</v>
      </c>
      <c r="J736" s="305" t="s">
        <v>1698</v>
      </c>
      <c r="K736" s="395" t="s">
        <v>172</v>
      </c>
      <c r="L736" s="303" t="s">
        <v>49</v>
      </c>
      <c r="M736" s="303" t="s">
        <v>40</v>
      </c>
      <c r="N736" s="303"/>
      <c r="O736" s="307"/>
      <c r="P736" s="375"/>
      <c r="Q736" s="305"/>
      <c r="R736" s="309"/>
      <c r="S736" s="8"/>
      <c r="T736" s="9"/>
      <c r="U736" s="9"/>
    </row>
    <row r="737" spans="1:21" hidden="1">
      <c r="A737" s="288">
        <f t="shared" si="16"/>
        <v>736</v>
      </c>
      <c r="B737" s="322">
        <v>46115</v>
      </c>
      <c r="C737" s="292"/>
      <c r="D737" s="292" t="s">
        <v>5063</v>
      </c>
      <c r="E737" s="292" t="s">
        <v>22</v>
      </c>
      <c r="F737" s="292" t="s">
        <v>60</v>
      </c>
      <c r="G737" s="292" t="s">
        <v>138</v>
      </c>
      <c r="H737" s="294">
        <v>8591226468</v>
      </c>
      <c r="I737" s="295"/>
      <c r="J737" s="294" t="s">
        <v>56</v>
      </c>
      <c r="K737" s="398" t="s">
        <v>140</v>
      </c>
      <c r="L737" s="292" t="s">
        <v>49</v>
      </c>
      <c r="M737" s="292" t="s">
        <v>40</v>
      </c>
      <c r="N737" s="292"/>
      <c r="O737" s="296"/>
      <c r="P737" s="403"/>
      <c r="Q737" s="294"/>
      <c r="R737" s="298"/>
      <c r="S737" s="8"/>
      <c r="T737" s="9"/>
      <c r="U737" s="9"/>
    </row>
    <row r="738" spans="1:21" ht="30" hidden="1">
      <c r="A738" s="299">
        <f t="shared" si="16"/>
        <v>737</v>
      </c>
      <c r="B738" s="323">
        <v>46115</v>
      </c>
      <c r="C738" s="303" t="s">
        <v>166</v>
      </c>
      <c r="D738" s="303" t="s">
        <v>5064</v>
      </c>
      <c r="E738" s="303" t="s">
        <v>143</v>
      </c>
      <c r="F738" s="303" t="s">
        <v>83</v>
      </c>
      <c r="G738" s="303" t="s">
        <v>174</v>
      </c>
      <c r="H738" s="305">
        <v>9370556327</v>
      </c>
      <c r="I738" s="337" t="s">
        <v>5065</v>
      </c>
      <c r="J738" s="305" t="s">
        <v>1624</v>
      </c>
      <c r="K738" s="395" t="s">
        <v>176</v>
      </c>
      <c r="L738" s="303" t="s">
        <v>49</v>
      </c>
      <c r="M738" s="303" t="s">
        <v>28</v>
      </c>
      <c r="N738" s="303"/>
      <c r="O738" s="307"/>
      <c r="P738" s="375"/>
      <c r="Q738" s="305"/>
      <c r="R738" s="309"/>
      <c r="S738" s="8"/>
      <c r="T738" s="9"/>
      <c r="U738" s="9"/>
    </row>
    <row r="739" spans="1:21" ht="30" hidden="1">
      <c r="A739" s="288">
        <f t="shared" si="16"/>
        <v>738</v>
      </c>
      <c r="B739" s="322">
        <v>46115</v>
      </c>
      <c r="C739" s="292"/>
      <c r="D739" s="292" t="s">
        <v>3072</v>
      </c>
      <c r="E739" s="292" t="s">
        <v>82</v>
      </c>
      <c r="F739" s="292" t="s">
        <v>60</v>
      </c>
      <c r="G739" s="292" t="s">
        <v>61</v>
      </c>
      <c r="H739" s="294">
        <v>7708636022</v>
      </c>
      <c r="I739" s="334" t="s">
        <v>5066</v>
      </c>
      <c r="J739" s="294" t="s">
        <v>63</v>
      </c>
      <c r="K739" s="292" t="s">
        <v>179</v>
      </c>
      <c r="L739" s="292" t="s">
        <v>49</v>
      </c>
      <c r="M739" s="292" t="s">
        <v>40</v>
      </c>
      <c r="N739" s="292"/>
      <c r="O739" s="296"/>
      <c r="P739" s="403"/>
      <c r="Q739" s="294"/>
      <c r="R739" s="298"/>
      <c r="S739" s="8"/>
      <c r="T739" s="9"/>
      <c r="U739" s="9"/>
    </row>
    <row r="740" spans="1:21" ht="45" hidden="1">
      <c r="A740" s="299">
        <f t="shared" si="16"/>
        <v>739</v>
      </c>
      <c r="B740" s="323">
        <v>46115</v>
      </c>
      <c r="C740" s="303" t="s">
        <v>141</v>
      </c>
      <c r="D740" s="303" t="s">
        <v>5067</v>
      </c>
      <c r="E740" s="303" t="s">
        <v>143</v>
      </c>
      <c r="F740" s="303" t="s">
        <v>73</v>
      </c>
      <c r="G740" s="303" t="s">
        <v>144</v>
      </c>
      <c r="H740" s="305">
        <v>9997306071</v>
      </c>
      <c r="I740" s="337" t="s">
        <v>5068</v>
      </c>
      <c r="J740" s="305" t="s">
        <v>1113</v>
      </c>
      <c r="K740" s="303" t="s">
        <v>146</v>
      </c>
      <c r="L740" s="303" t="s">
        <v>49</v>
      </c>
      <c r="M740" s="303" t="s">
        <v>50</v>
      </c>
      <c r="N740" s="303"/>
      <c r="O740" s="307"/>
      <c r="P740" s="375"/>
      <c r="Q740" s="305"/>
      <c r="R740" s="309"/>
      <c r="S740" s="8"/>
      <c r="T740" s="9"/>
      <c r="U740" s="9"/>
    </row>
    <row r="741" spans="1:21" ht="45" hidden="1">
      <c r="A741" s="288">
        <f t="shared" si="16"/>
        <v>740</v>
      </c>
      <c r="B741" s="322">
        <v>46116</v>
      </c>
      <c r="C741" s="292" t="s">
        <v>197</v>
      </c>
      <c r="D741" s="292" t="s">
        <v>5069</v>
      </c>
      <c r="E741" s="292" t="s">
        <v>199</v>
      </c>
      <c r="F741" s="292" t="s">
        <v>83</v>
      </c>
      <c r="G741" s="292" t="s">
        <v>200</v>
      </c>
      <c r="H741" s="294">
        <v>9694664945</v>
      </c>
      <c r="I741" s="295" t="s">
        <v>5070</v>
      </c>
      <c r="J741" s="294" t="s">
        <v>122</v>
      </c>
      <c r="K741" s="292" t="s">
        <v>202</v>
      </c>
      <c r="L741" s="292" t="s">
        <v>49</v>
      </c>
      <c r="M741" s="292" t="s">
        <v>50</v>
      </c>
      <c r="N741" s="292"/>
      <c r="O741" s="296"/>
      <c r="P741" s="403"/>
      <c r="Q741" s="294"/>
      <c r="R741" s="298"/>
      <c r="S741" s="8"/>
      <c r="T741" s="9"/>
      <c r="U741" s="9"/>
    </row>
    <row r="742" spans="1:21" hidden="1">
      <c r="A742" s="299">
        <f t="shared" si="16"/>
        <v>741</v>
      </c>
      <c r="B742" s="323">
        <v>46116</v>
      </c>
      <c r="C742" s="303" t="s">
        <v>191</v>
      </c>
      <c r="D742" s="303" t="s">
        <v>2948</v>
      </c>
      <c r="E742" s="303" t="s">
        <v>193</v>
      </c>
      <c r="F742" s="303" t="s">
        <v>73</v>
      </c>
      <c r="G742" s="303" t="s">
        <v>194</v>
      </c>
      <c r="H742" s="305">
        <v>6351590630</v>
      </c>
      <c r="I742" s="303" t="s">
        <v>5071</v>
      </c>
      <c r="J742" s="305" t="s">
        <v>63</v>
      </c>
      <c r="K742" s="303" t="s">
        <v>196</v>
      </c>
      <c r="L742" s="303" t="s">
        <v>49</v>
      </c>
      <c r="M742" s="303" t="s">
        <v>50</v>
      </c>
      <c r="N742" s="303"/>
      <c r="O742" s="307"/>
      <c r="P742" s="375"/>
      <c r="Q742" s="305"/>
      <c r="R742" s="309"/>
      <c r="S742" s="8"/>
      <c r="T742" s="9"/>
      <c r="U742" s="9"/>
    </row>
    <row r="743" spans="1:21" hidden="1">
      <c r="A743" s="288">
        <f t="shared" si="16"/>
        <v>742</v>
      </c>
      <c r="B743" s="322">
        <v>46116</v>
      </c>
      <c r="C743" s="292" t="s">
        <v>212</v>
      </c>
      <c r="D743" s="292" t="s">
        <v>5072</v>
      </c>
      <c r="E743" s="292" t="s">
        <v>214</v>
      </c>
      <c r="F743" s="292" t="s">
        <v>60</v>
      </c>
      <c r="G743" s="292" t="s">
        <v>215</v>
      </c>
      <c r="H743" s="294">
        <v>9440860225</v>
      </c>
      <c r="I743" s="292" t="s">
        <v>5073</v>
      </c>
      <c r="J743" s="294" t="s">
        <v>567</v>
      </c>
      <c r="K743" s="292" t="s">
        <v>217</v>
      </c>
      <c r="L743" s="292" t="s">
        <v>49</v>
      </c>
      <c r="M743" s="292" t="s">
        <v>40</v>
      </c>
      <c r="N743" s="292"/>
      <c r="O743" s="296"/>
      <c r="P743" s="403"/>
      <c r="Q743" s="294"/>
      <c r="R743" s="298"/>
      <c r="S743" s="8"/>
      <c r="T743" s="9"/>
      <c r="U743" s="9"/>
    </row>
    <row r="744" spans="1:21" hidden="1">
      <c r="A744" s="299">
        <f t="shared" si="16"/>
        <v>743</v>
      </c>
      <c r="B744" s="323">
        <v>46116</v>
      </c>
      <c r="C744" s="303" t="s">
        <v>186</v>
      </c>
      <c r="D744" s="303" t="s">
        <v>3176</v>
      </c>
      <c r="E744" s="303" t="s">
        <v>82</v>
      </c>
      <c r="F744" s="303" t="s">
        <v>23</v>
      </c>
      <c r="G744" s="303" t="s">
        <v>188</v>
      </c>
      <c r="H744" s="305">
        <v>7397256036</v>
      </c>
      <c r="I744" s="303" t="s">
        <v>5074</v>
      </c>
      <c r="J744" s="305" t="s">
        <v>122</v>
      </c>
      <c r="K744" s="303" t="s">
        <v>190</v>
      </c>
      <c r="L744" s="303" t="s">
        <v>49</v>
      </c>
      <c r="M744" s="303" t="s">
        <v>50</v>
      </c>
      <c r="N744" s="303"/>
      <c r="O744" s="307"/>
      <c r="P744" s="375"/>
      <c r="Q744" s="305"/>
      <c r="R744" s="309"/>
      <c r="S744" s="8"/>
      <c r="T744" s="9"/>
      <c r="U744" s="9"/>
    </row>
    <row r="745" spans="1:21" hidden="1">
      <c r="A745" s="288">
        <f t="shared" si="16"/>
        <v>744</v>
      </c>
      <c r="B745" s="322">
        <v>46116</v>
      </c>
      <c r="C745" s="292" t="s">
        <v>219</v>
      </c>
      <c r="D745" s="292"/>
      <c r="E745" s="292" t="s">
        <v>143</v>
      </c>
      <c r="F745" s="292" t="s">
        <v>60</v>
      </c>
      <c r="G745" s="292" t="s">
        <v>220</v>
      </c>
      <c r="H745" s="294">
        <v>9443114544</v>
      </c>
      <c r="I745" s="292" t="s">
        <v>5075</v>
      </c>
      <c r="J745" s="294" t="s">
        <v>63</v>
      </c>
      <c r="K745" s="292" t="s">
        <v>222</v>
      </c>
      <c r="L745" s="292" t="s">
        <v>49</v>
      </c>
      <c r="M745" s="292" t="s">
        <v>40</v>
      </c>
      <c r="N745" s="292"/>
      <c r="O745" s="296"/>
      <c r="P745" s="403"/>
      <c r="Q745" s="294"/>
      <c r="R745" s="298"/>
      <c r="S745" s="8"/>
      <c r="T745" s="9"/>
      <c r="U745" s="9"/>
    </row>
    <row r="746" spans="1:21" hidden="1">
      <c r="A746" s="299">
        <f t="shared" si="16"/>
        <v>745</v>
      </c>
      <c r="B746" s="323">
        <v>46116</v>
      </c>
      <c r="C746" s="303"/>
      <c r="D746" s="303"/>
      <c r="E746" s="303" t="s">
        <v>143</v>
      </c>
      <c r="F746" s="303" t="s">
        <v>60</v>
      </c>
      <c r="G746" s="303" t="s">
        <v>180</v>
      </c>
      <c r="H746" s="305">
        <v>9850103500</v>
      </c>
      <c r="I746" s="303" t="s">
        <v>4541</v>
      </c>
      <c r="J746" s="305" t="s">
        <v>567</v>
      </c>
      <c r="K746" s="303" t="s">
        <v>182</v>
      </c>
      <c r="L746" s="303" t="s">
        <v>49</v>
      </c>
      <c r="M746" s="303" t="s">
        <v>40</v>
      </c>
      <c r="N746" s="303"/>
      <c r="O746" s="307"/>
      <c r="P746" s="375"/>
      <c r="Q746" s="305"/>
      <c r="R746" s="309"/>
      <c r="S746" s="8"/>
      <c r="T746" s="9"/>
      <c r="U746" s="9"/>
    </row>
    <row r="747" spans="1:21" hidden="1">
      <c r="A747" s="288">
        <f t="shared" si="16"/>
        <v>746</v>
      </c>
      <c r="B747" s="322">
        <v>46116</v>
      </c>
      <c r="C747" s="292"/>
      <c r="D747" s="292" t="s">
        <v>183</v>
      </c>
      <c r="E747" s="292" t="s">
        <v>143</v>
      </c>
      <c r="F747" s="292" t="s">
        <v>60</v>
      </c>
      <c r="G747" s="292" t="s">
        <v>135</v>
      </c>
      <c r="H747" s="294">
        <v>9561900219</v>
      </c>
      <c r="I747" s="292" t="s">
        <v>5076</v>
      </c>
      <c r="J747" s="294" t="s">
        <v>56</v>
      </c>
      <c r="K747" s="292" t="s">
        <v>185</v>
      </c>
      <c r="L747" s="292" t="s">
        <v>49</v>
      </c>
      <c r="M747" s="292" t="s">
        <v>40</v>
      </c>
      <c r="N747" s="292"/>
      <c r="O747" s="296"/>
      <c r="P747" s="403"/>
      <c r="Q747" s="294"/>
      <c r="R747" s="298"/>
      <c r="S747" s="8"/>
      <c r="T747" s="9"/>
      <c r="U747" s="9"/>
    </row>
    <row r="748" spans="1:21" hidden="1">
      <c r="A748" s="299">
        <f t="shared" si="16"/>
        <v>747</v>
      </c>
      <c r="B748" s="323">
        <v>46116</v>
      </c>
      <c r="C748" s="323" t="s">
        <v>208</v>
      </c>
      <c r="D748" s="303" t="s">
        <v>5077</v>
      </c>
      <c r="E748" s="303" t="s">
        <v>22</v>
      </c>
      <c r="F748" s="303" t="s">
        <v>60</v>
      </c>
      <c r="G748" s="303" t="s">
        <v>209</v>
      </c>
      <c r="H748" s="305">
        <v>9158772627</v>
      </c>
      <c r="I748" s="303" t="s">
        <v>5078</v>
      </c>
      <c r="J748" s="305" t="s">
        <v>1698</v>
      </c>
      <c r="K748" s="303" t="s">
        <v>211</v>
      </c>
      <c r="L748" s="314" t="s">
        <v>49</v>
      </c>
      <c r="M748" s="303" t="s">
        <v>40</v>
      </c>
      <c r="N748" s="303"/>
      <c r="O748" s="307"/>
      <c r="P748" s="375"/>
      <c r="Q748" s="305"/>
      <c r="R748" s="309"/>
      <c r="S748" s="8"/>
      <c r="T748" s="9"/>
      <c r="U748" s="9"/>
    </row>
    <row r="749" spans="1:21" hidden="1">
      <c r="A749" s="288">
        <f t="shared" si="16"/>
        <v>748</v>
      </c>
      <c r="B749" s="322">
        <v>46116</v>
      </c>
      <c r="C749" s="292" t="s">
        <v>203</v>
      </c>
      <c r="D749" s="292" t="s">
        <v>5079</v>
      </c>
      <c r="E749" s="292" t="s">
        <v>3130</v>
      </c>
      <c r="F749" s="292" t="s">
        <v>60</v>
      </c>
      <c r="G749" s="292" t="s">
        <v>170</v>
      </c>
      <c r="H749" s="294">
        <v>9606739416</v>
      </c>
      <c r="I749" s="292" t="s">
        <v>5080</v>
      </c>
      <c r="J749" s="294" t="s">
        <v>63</v>
      </c>
      <c r="K749" s="292" t="s">
        <v>207</v>
      </c>
      <c r="L749" s="295" t="s">
        <v>49</v>
      </c>
      <c r="M749" s="292" t="s">
        <v>40</v>
      </c>
      <c r="N749" s="292"/>
      <c r="O749" s="296"/>
      <c r="P749" s="403"/>
      <c r="Q749" s="294"/>
      <c r="R749" s="298"/>
      <c r="S749" s="8"/>
      <c r="T749" s="9"/>
      <c r="U749" s="9"/>
    </row>
    <row r="750" spans="1:21" hidden="1">
      <c r="A750" s="299">
        <f t="shared" si="16"/>
        <v>749</v>
      </c>
      <c r="B750" s="323">
        <v>46118</v>
      </c>
      <c r="C750" s="303" t="s">
        <v>240</v>
      </c>
      <c r="D750" s="303" t="s">
        <v>2762</v>
      </c>
      <c r="E750" s="303" t="s">
        <v>22</v>
      </c>
      <c r="F750" s="303" t="s">
        <v>23</v>
      </c>
      <c r="G750" s="303" t="s">
        <v>188</v>
      </c>
      <c r="H750" s="305">
        <v>9158899611</v>
      </c>
      <c r="I750" s="303" t="s">
        <v>5081</v>
      </c>
      <c r="J750" s="305" t="s">
        <v>1113</v>
      </c>
      <c r="K750" s="303" t="s">
        <v>242</v>
      </c>
      <c r="L750" s="314" t="s">
        <v>49</v>
      </c>
      <c r="M750" s="303" t="s">
        <v>50</v>
      </c>
      <c r="N750" s="303"/>
      <c r="O750" s="307"/>
      <c r="P750" s="375"/>
      <c r="Q750" s="305"/>
      <c r="R750" s="309"/>
      <c r="S750" s="8"/>
      <c r="T750" s="9"/>
      <c r="U750" s="9"/>
    </row>
    <row r="751" spans="1:21" hidden="1">
      <c r="A751" s="288">
        <f t="shared" si="16"/>
        <v>750</v>
      </c>
      <c r="B751" s="322">
        <v>46118</v>
      </c>
      <c r="C751" s="292" t="s">
        <v>233</v>
      </c>
      <c r="D751" s="292" t="s">
        <v>5082</v>
      </c>
      <c r="E751" s="292" t="s">
        <v>22</v>
      </c>
      <c r="F751" s="292" t="s">
        <v>60</v>
      </c>
      <c r="G751" s="292" t="s">
        <v>244</v>
      </c>
      <c r="H751" s="294">
        <v>9765356786</v>
      </c>
      <c r="I751" s="292" t="s">
        <v>5083</v>
      </c>
      <c r="J751" s="294" t="s">
        <v>567</v>
      </c>
      <c r="K751" s="292" t="s">
        <v>246</v>
      </c>
      <c r="L751" s="295" t="s">
        <v>49</v>
      </c>
      <c r="M751" s="292" t="s">
        <v>40</v>
      </c>
      <c r="N751" s="292"/>
      <c r="O751" s="296"/>
      <c r="P751" s="403"/>
      <c r="Q751" s="294"/>
      <c r="R751" s="298"/>
      <c r="S751" s="8"/>
      <c r="T751" s="9"/>
      <c r="U751" s="9"/>
    </row>
    <row r="752" spans="1:21" hidden="1">
      <c r="A752" s="299">
        <f t="shared" si="16"/>
        <v>751</v>
      </c>
      <c r="B752" s="323">
        <v>46118</v>
      </c>
      <c r="C752" s="303" t="s">
        <v>247</v>
      </c>
      <c r="D752" s="303" t="s">
        <v>5084</v>
      </c>
      <c r="E752" s="303" t="s">
        <v>22</v>
      </c>
      <c r="F752" s="303" t="s">
        <v>60</v>
      </c>
      <c r="G752" s="303" t="s">
        <v>180</v>
      </c>
      <c r="H752" s="305">
        <v>7776076665</v>
      </c>
      <c r="I752" s="374"/>
      <c r="J752" s="305" t="s">
        <v>1438</v>
      </c>
      <c r="K752" s="303" t="s">
        <v>248</v>
      </c>
      <c r="L752" s="314" t="s">
        <v>49</v>
      </c>
      <c r="M752" s="303" t="s">
        <v>40</v>
      </c>
      <c r="N752" s="303"/>
      <c r="O752" s="307"/>
      <c r="P752" s="375"/>
      <c r="Q752" s="305"/>
      <c r="R752" s="309"/>
      <c r="S752" s="8"/>
      <c r="T752" s="9"/>
      <c r="U752" s="9"/>
    </row>
    <row r="753" spans="1:21" hidden="1">
      <c r="A753" s="288">
        <f t="shared" si="16"/>
        <v>752</v>
      </c>
      <c r="B753" s="322">
        <v>46118</v>
      </c>
      <c r="C753" s="292" t="s">
        <v>227</v>
      </c>
      <c r="D753" s="292" t="s">
        <v>5085</v>
      </c>
      <c r="E753" s="292" t="s">
        <v>22</v>
      </c>
      <c r="F753" s="292" t="s">
        <v>44</v>
      </c>
      <c r="G753" s="292" t="s">
        <v>45</v>
      </c>
      <c r="H753" s="294">
        <v>9324811919</v>
      </c>
      <c r="I753" s="292" t="s">
        <v>5086</v>
      </c>
      <c r="J753" s="294" t="s">
        <v>122</v>
      </c>
      <c r="K753" s="292" t="s">
        <v>230</v>
      </c>
      <c r="L753" s="295" t="s">
        <v>49</v>
      </c>
      <c r="M753" s="292" t="s">
        <v>50</v>
      </c>
      <c r="N753" s="292"/>
      <c r="O753" s="296"/>
      <c r="P753" s="403"/>
      <c r="Q753" s="294"/>
      <c r="R753" s="298"/>
      <c r="S753" s="8"/>
      <c r="T753" s="9"/>
      <c r="U753" s="9"/>
    </row>
    <row r="754" spans="1:21" hidden="1">
      <c r="A754" s="299">
        <f t="shared" si="16"/>
        <v>753</v>
      </c>
      <c r="B754" s="323">
        <v>46118</v>
      </c>
      <c r="C754" s="303" t="s">
        <v>236</v>
      </c>
      <c r="D754" s="303" t="s">
        <v>5087</v>
      </c>
      <c r="E754" s="303" t="s">
        <v>143</v>
      </c>
      <c r="F754" s="303" t="s">
        <v>23</v>
      </c>
      <c r="G754" s="303" t="s">
        <v>188</v>
      </c>
      <c r="H754" s="305">
        <v>8130300040</v>
      </c>
      <c r="I754" s="303" t="s">
        <v>5088</v>
      </c>
      <c r="J754" s="305" t="s">
        <v>122</v>
      </c>
      <c r="K754" s="303" t="s">
        <v>239</v>
      </c>
      <c r="L754" s="314" t="s">
        <v>49</v>
      </c>
      <c r="M754" s="303" t="s">
        <v>50</v>
      </c>
      <c r="N754" s="303"/>
      <c r="O754" s="307"/>
      <c r="P754" s="375"/>
      <c r="Q754" s="305"/>
      <c r="R754" s="309"/>
      <c r="S754" s="8"/>
      <c r="T754" s="9"/>
      <c r="U754" s="9"/>
    </row>
    <row r="755" spans="1:21" hidden="1">
      <c r="A755" s="288">
        <f t="shared" si="16"/>
        <v>754</v>
      </c>
      <c r="B755" s="322"/>
      <c r="C755" s="292"/>
      <c r="D755" s="292"/>
      <c r="E755" s="292"/>
      <c r="F755" s="292"/>
      <c r="G755" s="315"/>
      <c r="H755" s="294"/>
      <c r="I755" s="431"/>
      <c r="J755" s="294"/>
      <c r="K755" s="379"/>
      <c r="L755" s="292"/>
      <c r="M755" s="292"/>
      <c r="N755" s="292"/>
      <c r="O755" s="296"/>
      <c r="P755" s="403"/>
      <c r="Q755" s="294"/>
      <c r="R755" s="298"/>
      <c r="S755" s="8"/>
      <c r="T755" s="9"/>
      <c r="U755" s="9"/>
    </row>
    <row r="756" spans="1:21" hidden="1">
      <c r="A756" s="299">
        <f t="shared" si="16"/>
        <v>755</v>
      </c>
      <c r="B756" s="323">
        <v>46119</v>
      </c>
      <c r="C756" s="303" t="s">
        <v>254</v>
      </c>
      <c r="D756" s="303" t="s">
        <v>131</v>
      </c>
      <c r="E756" s="303" t="s">
        <v>22</v>
      </c>
      <c r="F756" s="303" t="s">
        <v>60</v>
      </c>
      <c r="G756" s="316" t="s">
        <v>5089</v>
      </c>
      <c r="H756" s="305">
        <v>7758036720</v>
      </c>
      <c r="I756" s="378" t="s">
        <v>260</v>
      </c>
      <c r="J756" s="305" t="s">
        <v>25</v>
      </c>
      <c r="K756" s="419" t="s">
        <v>261</v>
      </c>
      <c r="L756" s="303" t="s">
        <v>74</v>
      </c>
      <c r="M756" s="303" t="s">
        <v>40</v>
      </c>
      <c r="N756" s="303" t="s">
        <v>250</v>
      </c>
      <c r="O756" s="307">
        <v>46119</v>
      </c>
      <c r="P756" s="375"/>
      <c r="Q756" s="305" t="s">
        <v>30</v>
      </c>
      <c r="R756" s="309"/>
      <c r="S756" s="8"/>
      <c r="T756" s="9"/>
      <c r="U756" s="9"/>
    </row>
    <row r="757" spans="1:21" hidden="1">
      <c r="A757" s="288">
        <f t="shared" si="16"/>
        <v>756</v>
      </c>
      <c r="B757" s="322">
        <v>46119</v>
      </c>
      <c r="C757" s="292" t="s">
        <v>275</v>
      </c>
      <c r="D757" s="292" t="s">
        <v>131</v>
      </c>
      <c r="E757" s="292" t="s">
        <v>22</v>
      </c>
      <c r="F757" s="292" t="s">
        <v>23</v>
      </c>
      <c r="G757" s="315" t="s">
        <v>5090</v>
      </c>
      <c r="H757" s="294"/>
      <c r="I757" s="370" t="s">
        <v>5091</v>
      </c>
      <c r="J757" s="294" t="s">
        <v>25</v>
      </c>
      <c r="K757" s="420" t="s">
        <v>5092</v>
      </c>
      <c r="L757" s="292" t="s">
        <v>27</v>
      </c>
      <c r="M757" s="292" t="s">
        <v>50</v>
      </c>
      <c r="N757" s="292" t="s">
        <v>279</v>
      </c>
      <c r="O757" s="296">
        <v>46119</v>
      </c>
      <c r="P757" s="325"/>
      <c r="Q757" s="294" t="s">
        <v>30</v>
      </c>
      <c r="R757" s="298"/>
      <c r="S757" s="8"/>
      <c r="T757" s="9"/>
      <c r="U757" s="9"/>
    </row>
    <row r="758" spans="1:21" hidden="1">
      <c r="A758" s="299">
        <f t="shared" si="16"/>
        <v>757</v>
      </c>
      <c r="B758" s="323">
        <v>46119</v>
      </c>
      <c r="C758" s="303" t="s">
        <v>5093</v>
      </c>
      <c r="D758" s="303" t="s">
        <v>131</v>
      </c>
      <c r="E758" s="303" t="s">
        <v>22</v>
      </c>
      <c r="F758" s="303" t="s">
        <v>23</v>
      </c>
      <c r="G758" s="316" t="s">
        <v>263</v>
      </c>
      <c r="H758" s="458">
        <v>8600120115</v>
      </c>
      <c r="I758" s="303" t="s">
        <v>3963</v>
      </c>
      <c r="J758" s="305" t="s">
        <v>1698</v>
      </c>
      <c r="K758" s="419" t="s">
        <v>265</v>
      </c>
      <c r="L758" s="303" t="s">
        <v>27</v>
      </c>
      <c r="M758" s="303" t="s">
        <v>28</v>
      </c>
      <c r="N758" s="303"/>
      <c r="O758" s="307"/>
      <c r="P758" s="375"/>
      <c r="Q758" s="305"/>
      <c r="R758" s="309"/>
      <c r="S758" s="8"/>
      <c r="T758" s="9"/>
      <c r="U758" s="9"/>
    </row>
    <row r="759" spans="1:21" hidden="1">
      <c r="A759" s="288">
        <f t="shared" si="16"/>
        <v>758</v>
      </c>
      <c r="B759" s="322">
        <v>46119</v>
      </c>
      <c r="C759" s="292"/>
      <c r="D759" s="292" t="s">
        <v>5094</v>
      </c>
      <c r="E759" s="292" t="s">
        <v>272</v>
      </c>
      <c r="F759" s="292" t="s">
        <v>60</v>
      </c>
      <c r="G759" s="292" t="s">
        <v>180</v>
      </c>
      <c r="H759" s="459"/>
      <c r="I759" s="292" t="s">
        <v>5095</v>
      </c>
      <c r="J759" s="294" t="s">
        <v>1624</v>
      </c>
      <c r="K759" s="420"/>
      <c r="L759" s="295" t="s">
        <v>49</v>
      </c>
      <c r="M759" s="292" t="s">
        <v>40</v>
      </c>
      <c r="N759" s="292"/>
      <c r="O759" s="296"/>
      <c r="P759" s="403"/>
      <c r="Q759" s="294"/>
      <c r="R759" s="298"/>
      <c r="S759" s="8"/>
      <c r="T759" s="9"/>
      <c r="U759" s="9"/>
    </row>
    <row r="760" spans="1:21" hidden="1">
      <c r="A760" s="299">
        <f t="shared" si="16"/>
        <v>759</v>
      </c>
      <c r="B760" s="323">
        <v>46119</v>
      </c>
      <c r="C760" s="303"/>
      <c r="D760" s="303" t="s">
        <v>4821</v>
      </c>
      <c r="E760" s="303" t="s">
        <v>82</v>
      </c>
      <c r="F760" s="303" t="s">
        <v>60</v>
      </c>
      <c r="G760" s="316" t="s">
        <v>305</v>
      </c>
      <c r="H760" s="460">
        <v>9842020245</v>
      </c>
      <c r="I760" s="314"/>
      <c r="J760" s="305" t="s">
        <v>1113</v>
      </c>
      <c r="K760" s="419"/>
      <c r="L760" s="314" t="s">
        <v>49</v>
      </c>
      <c r="M760" s="303" t="s">
        <v>40</v>
      </c>
      <c r="N760" s="303"/>
      <c r="O760" s="307"/>
      <c r="P760" s="375"/>
      <c r="Q760" s="305"/>
      <c r="R760" s="309"/>
      <c r="S760" s="8"/>
      <c r="T760" s="9"/>
      <c r="U760" s="9"/>
    </row>
    <row r="761" spans="1:21" hidden="1">
      <c r="A761" s="288">
        <f t="shared" si="16"/>
        <v>760</v>
      </c>
      <c r="B761" s="322">
        <v>46119</v>
      </c>
      <c r="C761" s="292" t="s">
        <v>298</v>
      </c>
      <c r="D761" s="292" t="s">
        <v>5096</v>
      </c>
      <c r="E761" s="292" t="s">
        <v>22</v>
      </c>
      <c r="F761" s="292" t="s">
        <v>60</v>
      </c>
      <c r="G761" s="292" t="s">
        <v>299</v>
      </c>
      <c r="H761" s="459">
        <v>7769969765</v>
      </c>
      <c r="I761" s="292" t="s">
        <v>5097</v>
      </c>
      <c r="J761" s="294" t="s">
        <v>1698</v>
      </c>
      <c r="K761" s="420" t="s">
        <v>300</v>
      </c>
      <c r="L761" s="295" t="s">
        <v>49</v>
      </c>
      <c r="M761" s="292" t="s">
        <v>40</v>
      </c>
      <c r="N761" s="292"/>
      <c r="O761" s="296"/>
      <c r="P761" s="403"/>
      <c r="Q761" s="294"/>
      <c r="R761" s="298"/>
      <c r="S761" s="8"/>
      <c r="T761" s="9"/>
      <c r="U761" s="9"/>
    </row>
    <row r="762" spans="1:21" hidden="1">
      <c r="A762" s="299">
        <f t="shared" si="16"/>
        <v>761</v>
      </c>
      <c r="B762" s="323">
        <v>46119</v>
      </c>
      <c r="C762" s="303" t="s">
        <v>5098</v>
      </c>
      <c r="D762" s="303" t="s">
        <v>5098</v>
      </c>
      <c r="E762" s="303" t="s">
        <v>22</v>
      </c>
      <c r="F762" s="303" t="s">
        <v>23</v>
      </c>
      <c r="G762" s="316" t="s">
        <v>267</v>
      </c>
      <c r="H762" s="460">
        <v>8857033592</v>
      </c>
      <c r="I762" s="303" t="s">
        <v>5099</v>
      </c>
      <c r="J762" s="305" t="s">
        <v>63</v>
      </c>
      <c r="K762" s="303" t="s">
        <v>269</v>
      </c>
      <c r="L762" s="314" t="s">
        <v>49</v>
      </c>
      <c r="M762" s="303" t="s">
        <v>50</v>
      </c>
      <c r="N762" s="303"/>
      <c r="O762" s="307"/>
      <c r="P762" s="375"/>
      <c r="Q762" s="305"/>
      <c r="R762" s="309"/>
      <c r="S762" s="8"/>
      <c r="T762" s="9"/>
      <c r="U762" s="9"/>
    </row>
    <row r="763" spans="1:21" hidden="1">
      <c r="A763" s="288">
        <f t="shared" si="16"/>
        <v>762</v>
      </c>
      <c r="B763" s="322">
        <v>46119</v>
      </c>
      <c r="C763" s="292" t="s">
        <v>276</v>
      </c>
      <c r="D763" s="292" t="s">
        <v>1042</v>
      </c>
      <c r="E763" s="292" t="s">
        <v>22</v>
      </c>
      <c r="F763" s="292" t="s">
        <v>83</v>
      </c>
      <c r="G763" s="315" t="s">
        <v>294</v>
      </c>
      <c r="H763" s="459"/>
      <c r="I763" s="295"/>
      <c r="J763" s="294" t="s">
        <v>1624</v>
      </c>
      <c r="K763" s="292" t="s">
        <v>295</v>
      </c>
      <c r="L763" s="295" t="s">
        <v>49</v>
      </c>
      <c r="M763" s="292" t="s">
        <v>28</v>
      </c>
      <c r="N763" s="292"/>
      <c r="O763" s="296"/>
      <c r="P763" s="403"/>
      <c r="Q763" s="294"/>
      <c r="R763" s="298"/>
      <c r="S763" s="8"/>
      <c r="T763" s="9"/>
      <c r="U763" s="9"/>
    </row>
    <row r="764" spans="1:21" hidden="1">
      <c r="A764" s="299">
        <f t="shared" si="16"/>
        <v>763</v>
      </c>
      <c r="B764" s="323">
        <v>46119</v>
      </c>
      <c r="C764" s="303" t="s">
        <v>270</v>
      </c>
      <c r="D764" s="303" t="s">
        <v>271</v>
      </c>
      <c r="E764" s="303" t="s">
        <v>272</v>
      </c>
      <c r="F764" s="303" t="s">
        <v>73</v>
      </c>
      <c r="G764" s="316" t="s">
        <v>273</v>
      </c>
      <c r="H764" s="460">
        <v>9780400793</v>
      </c>
      <c r="I764" s="314"/>
      <c r="J764" s="303" t="s">
        <v>63</v>
      </c>
      <c r="K764" s="303" t="s">
        <v>274</v>
      </c>
      <c r="L764" s="303" t="s">
        <v>58</v>
      </c>
      <c r="M764" s="303" t="s">
        <v>50</v>
      </c>
      <c r="N764" s="303"/>
      <c r="O764" s="307"/>
      <c r="P764" s="375"/>
      <c r="Q764" s="305"/>
      <c r="R764" s="309"/>
      <c r="S764" s="8"/>
      <c r="T764" s="9"/>
      <c r="U764" s="9"/>
    </row>
    <row r="765" spans="1:21" hidden="1">
      <c r="A765" s="288">
        <f t="shared" si="16"/>
        <v>764</v>
      </c>
      <c r="B765" s="322">
        <v>46119</v>
      </c>
      <c r="C765" s="292" t="s">
        <v>296</v>
      </c>
      <c r="D765" s="292" t="s">
        <v>2762</v>
      </c>
      <c r="E765" s="292" t="s">
        <v>22</v>
      </c>
      <c r="F765" s="292" t="s">
        <v>73</v>
      </c>
      <c r="G765" s="292" t="s">
        <v>90</v>
      </c>
      <c r="H765" s="459"/>
      <c r="I765" s="295"/>
      <c r="J765" s="294" t="s">
        <v>122</v>
      </c>
      <c r="K765" s="292" t="s">
        <v>297</v>
      </c>
      <c r="L765" s="295" t="s">
        <v>49</v>
      </c>
      <c r="M765" s="292" t="s">
        <v>50</v>
      </c>
      <c r="N765" s="292"/>
      <c r="O765" s="296"/>
      <c r="P765" s="403"/>
      <c r="Q765" s="294"/>
      <c r="R765" s="298"/>
      <c r="S765" s="8"/>
      <c r="T765" s="9"/>
      <c r="U765" s="9"/>
    </row>
    <row r="766" spans="1:21" hidden="1">
      <c r="A766" s="299">
        <f t="shared" si="16"/>
        <v>765</v>
      </c>
      <c r="B766" s="323">
        <v>46119</v>
      </c>
      <c r="C766" s="303" t="s">
        <v>254</v>
      </c>
      <c r="D766" s="303" t="s">
        <v>131</v>
      </c>
      <c r="E766" s="303" t="s">
        <v>22</v>
      </c>
      <c r="F766" s="303" t="s">
        <v>60</v>
      </c>
      <c r="G766" s="316" t="s">
        <v>5100</v>
      </c>
      <c r="H766" s="460">
        <v>7722050915</v>
      </c>
      <c r="I766" s="303" t="s">
        <v>4212</v>
      </c>
      <c r="J766" s="305" t="s">
        <v>1698</v>
      </c>
      <c r="K766" s="419" t="s">
        <v>257</v>
      </c>
      <c r="L766" s="303" t="s">
        <v>27</v>
      </c>
      <c r="M766" s="303" t="s">
        <v>40</v>
      </c>
      <c r="N766" s="303"/>
      <c r="O766" s="307"/>
      <c r="P766" s="375"/>
      <c r="Q766" s="305"/>
      <c r="R766" s="309"/>
      <c r="S766" s="8"/>
      <c r="T766" s="9"/>
      <c r="U766" s="9"/>
    </row>
    <row r="767" spans="1:21" hidden="1">
      <c r="A767" s="288">
        <f t="shared" si="16"/>
        <v>766</v>
      </c>
      <c r="B767" s="322">
        <v>46120</v>
      </c>
      <c r="C767" s="292" t="s">
        <v>5101</v>
      </c>
      <c r="D767" s="292" t="s">
        <v>317</v>
      </c>
      <c r="E767" s="292" t="s">
        <v>22</v>
      </c>
      <c r="F767" s="292" t="s">
        <v>60</v>
      </c>
      <c r="G767" s="315" t="s">
        <v>5100</v>
      </c>
      <c r="H767" s="294"/>
      <c r="I767" s="295"/>
      <c r="J767" s="294" t="s">
        <v>1698</v>
      </c>
      <c r="K767" s="292"/>
      <c r="L767" s="292" t="s">
        <v>117</v>
      </c>
      <c r="M767" s="292" t="s">
        <v>50</v>
      </c>
      <c r="N767" s="292"/>
      <c r="O767" s="296"/>
      <c r="P767" s="403"/>
      <c r="Q767" s="294"/>
      <c r="R767" s="298"/>
      <c r="S767" s="8"/>
      <c r="T767" s="9"/>
      <c r="U767" s="9"/>
    </row>
    <row r="768" spans="1:21" hidden="1">
      <c r="A768" s="299">
        <f t="shared" si="16"/>
        <v>767</v>
      </c>
      <c r="B768" s="323">
        <v>46120</v>
      </c>
      <c r="C768" s="303" t="s">
        <v>323</v>
      </c>
      <c r="D768" s="314" t="s">
        <v>324</v>
      </c>
      <c r="E768" s="303" t="s">
        <v>214</v>
      </c>
      <c r="F768" s="303" t="s">
        <v>60</v>
      </c>
      <c r="G768" s="441" t="s">
        <v>308</v>
      </c>
      <c r="H768" s="305">
        <v>9567698052</v>
      </c>
      <c r="I768" s="303" t="s">
        <v>325</v>
      </c>
      <c r="J768" s="305" t="s">
        <v>1698</v>
      </c>
      <c r="K768" s="303" t="s">
        <v>326</v>
      </c>
      <c r="L768" s="303" t="s">
        <v>27</v>
      </c>
      <c r="M768" s="303" t="s">
        <v>40</v>
      </c>
      <c r="N768" s="303"/>
      <c r="O768" s="307"/>
      <c r="P768" s="375"/>
      <c r="Q768" s="305"/>
      <c r="R768" s="309"/>
      <c r="S768" s="8"/>
      <c r="T768" s="9"/>
      <c r="U768" s="9"/>
    </row>
    <row r="769" spans="1:21" hidden="1">
      <c r="A769" s="288">
        <f t="shared" si="16"/>
        <v>768</v>
      </c>
      <c r="B769" s="322">
        <v>46120</v>
      </c>
      <c r="C769" s="292" t="s">
        <v>312</v>
      </c>
      <c r="D769" s="292" t="s">
        <v>313</v>
      </c>
      <c r="E769" s="292" t="s">
        <v>22</v>
      </c>
      <c r="F769" s="292" t="s">
        <v>23</v>
      </c>
      <c r="G769" s="315" t="s">
        <v>127</v>
      </c>
      <c r="H769" s="294">
        <v>9370694025</v>
      </c>
      <c r="I769" s="292" t="s">
        <v>314</v>
      </c>
      <c r="J769" s="294" t="s">
        <v>56</v>
      </c>
      <c r="K769" s="292" t="s">
        <v>315</v>
      </c>
      <c r="L769" s="295" t="s">
        <v>58</v>
      </c>
      <c r="M769" s="292" t="s">
        <v>50</v>
      </c>
      <c r="N769" s="292"/>
      <c r="O769" s="296"/>
      <c r="P769" s="403"/>
      <c r="Q769" s="294"/>
      <c r="R769" s="298"/>
      <c r="S769" s="8"/>
      <c r="T769" s="9"/>
      <c r="U769" s="9"/>
    </row>
    <row r="770" spans="1:21" hidden="1">
      <c r="A770" s="299">
        <f t="shared" si="16"/>
        <v>769</v>
      </c>
      <c r="B770" s="323">
        <v>46120</v>
      </c>
      <c r="C770" s="303"/>
      <c r="D770" s="303"/>
      <c r="E770" s="303"/>
      <c r="F770" s="303" t="s">
        <v>73</v>
      </c>
      <c r="G770" s="461" t="s">
        <v>342</v>
      </c>
      <c r="H770" s="305">
        <v>7373390090</v>
      </c>
      <c r="I770" s="314"/>
      <c r="J770" s="305" t="s">
        <v>122</v>
      </c>
      <c r="K770" s="303" t="s">
        <v>343</v>
      </c>
      <c r="L770" s="314" t="s">
        <v>58</v>
      </c>
      <c r="M770" s="303" t="s">
        <v>50</v>
      </c>
      <c r="N770" s="303"/>
      <c r="O770" s="307"/>
      <c r="P770" s="375"/>
      <c r="Q770" s="305"/>
      <c r="R770" s="309"/>
      <c r="S770" s="8"/>
      <c r="T770" s="9"/>
      <c r="U770" s="9"/>
    </row>
    <row r="771" spans="1:21" hidden="1">
      <c r="A771" s="288">
        <f t="shared" si="16"/>
        <v>770</v>
      </c>
      <c r="B771" s="322">
        <v>46120</v>
      </c>
      <c r="C771" s="292" t="s">
        <v>320</v>
      </c>
      <c r="D771" s="292" t="s">
        <v>5102</v>
      </c>
      <c r="E771" s="292" t="s">
        <v>22</v>
      </c>
      <c r="F771" s="292" t="s">
        <v>73</v>
      </c>
      <c r="G771" s="462" t="s">
        <v>321</v>
      </c>
      <c r="H771" s="294">
        <v>9764000241</v>
      </c>
      <c r="I771" s="295"/>
      <c r="J771" s="294" t="s">
        <v>63</v>
      </c>
      <c r="K771" s="292" t="s">
        <v>322</v>
      </c>
      <c r="L771" s="292" t="s">
        <v>49</v>
      </c>
      <c r="M771" s="292" t="s">
        <v>50</v>
      </c>
      <c r="N771" s="292"/>
      <c r="O771" s="296"/>
      <c r="P771" s="403"/>
      <c r="Q771" s="294"/>
      <c r="R771" s="298"/>
      <c r="S771" s="8"/>
      <c r="T771" s="9"/>
      <c r="U771" s="9"/>
    </row>
    <row r="772" spans="1:21" hidden="1">
      <c r="A772" s="299">
        <f t="shared" si="16"/>
        <v>771</v>
      </c>
      <c r="B772" s="323">
        <v>46120</v>
      </c>
      <c r="C772" s="303" t="s">
        <v>328</v>
      </c>
      <c r="D772" s="303" t="s">
        <v>328</v>
      </c>
      <c r="E772" s="303" t="s">
        <v>22</v>
      </c>
      <c r="F772" s="303" t="s">
        <v>73</v>
      </c>
      <c r="G772" s="461" t="s">
        <v>329</v>
      </c>
      <c r="H772" s="305">
        <v>9730558867</v>
      </c>
      <c r="I772" s="303" t="s">
        <v>5103</v>
      </c>
      <c r="J772" s="305" t="s">
        <v>56</v>
      </c>
      <c r="K772" s="303" t="s">
        <v>331</v>
      </c>
      <c r="L772" s="303" t="s">
        <v>49</v>
      </c>
      <c r="M772" s="303" t="s">
        <v>50</v>
      </c>
      <c r="N772" s="303"/>
      <c r="O772" s="307"/>
      <c r="P772" s="375"/>
      <c r="Q772" s="305"/>
      <c r="R772" s="309"/>
      <c r="S772" s="8"/>
      <c r="T772" s="9"/>
      <c r="U772" s="9"/>
    </row>
    <row r="773" spans="1:21" hidden="1">
      <c r="A773" s="288">
        <f t="shared" si="16"/>
        <v>772</v>
      </c>
      <c r="B773" s="322">
        <v>46121</v>
      </c>
      <c r="C773" s="292" t="s">
        <v>346</v>
      </c>
      <c r="D773" s="292" t="s">
        <v>5104</v>
      </c>
      <c r="E773" s="292" t="s">
        <v>22</v>
      </c>
      <c r="F773" s="292" t="s">
        <v>60</v>
      </c>
      <c r="G773" s="463" t="s">
        <v>135</v>
      </c>
      <c r="H773" s="294">
        <v>9403565656</v>
      </c>
      <c r="I773" s="292" t="s">
        <v>5105</v>
      </c>
      <c r="J773" s="294" t="s">
        <v>1113</v>
      </c>
      <c r="K773" s="292" t="s">
        <v>349</v>
      </c>
      <c r="L773" s="292" t="s">
        <v>49</v>
      </c>
      <c r="M773" s="292" t="s">
        <v>40</v>
      </c>
      <c r="N773" s="292"/>
      <c r="O773" s="296"/>
      <c r="P773" s="403"/>
      <c r="Q773" s="294"/>
      <c r="R773" s="298"/>
      <c r="S773" s="8"/>
      <c r="T773" s="9"/>
      <c r="U773" s="9"/>
    </row>
    <row r="774" spans="1:21" hidden="1">
      <c r="A774" s="299">
        <f t="shared" si="16"/>
        <v>773</v>
      </c>
      <c r="B774" s="323">
        <v>46121</v>
      </c>
      <c r="C774" s="303"/>
      <c r="D774" s="303" t="s">
        <v>5106</v>
      </c>
      <c r="E774" s="303" t="s">
        <v>143</v>
      </c>
      <c r="F774" s="303" t="s">
        <v>83</v>
      </c>
      <c r="G774" s="461" t="s">
        <v>363</v>
      </c>
      <c r="H774" s="305">
        <v>7835907263</v>
      </c>
      <c r="I774" s="314"/>
      <c r="J774" s="305" t="s">
        <v>1624</v>
      </c>
      <c r="K774" s="303"/>
      <c r="L774" s="303" t="s">
        <v>49</v>
      </c>
      <c r="M774" s="303" t="s">
        <v>28</v>
      </c>
      <c r="N774" s="303"/>
      <c r="O774" s="307"/>
      <c r="P774" s="375"/>
      <c r="Q774" s="305"/>
      <c r="R774" s="309"/>
      <c r="S774" s="8"/>
      <c r="T774" s="9"/>
      <c r="U774" s="9"/>
    </row>
    <row r="775" spans="1:21" hidden="1">
      <c r="A775" s="288">
        <f t="shared" si="16"/>
        <v>774</v>
      </c>
      <c r="B775" s="322">
        <v>46121</v>
      </c>
      <c r="C775" s="292" t="s">
        <v>350</v>
      </c>
      <c r="D775" s="292" t="s">
        <v>131</v>
      </c>
      <c r="E775" s="292" t="s">
        <v>22</v>
      </c>
      <c r="F775" s="292" t="s">
        <v>32</v>
      </c>
      <c r="G775" s="440" t="s">
        <v>5107</v>
      </c>
      <c r="H775" s="294"/>
      <c r="I775" s="292" t="s">
        <v>351</v>
      </c>
      <c r="J775" s="294" t="s">
        <v>1698</v>
      </c>
      <c r="K775" s="292"/>
      <c r="L775" s="292" t="s">
        <v>27</v>
      </c>
      <c r="M775" s="292" t="s">
        <v>28</v>
      </c>
      <c r="N775" s="292"/>
      <c r="O775" s="296"/>
      <c r="P775" s="403"/>
      <c r="Q775" s="294"/>
      <c r="R775" s="298"/>
      <c r="S775" s="8"/>
      <c r="T775" s="9"/>
      <c r="U775" s="9"/>
    </row>
    <row r="776" spans="1:21" hidden="1">
      <c r="A776" s="299">
        <f t="shared" si="16"/>
        <v>775</v>
      </c>
      <c r="B776" s="323">
        <v>46121</v>
      </c>
      <c r="C776" s="303"/>
      <c r="D776" s="303" t="s">
        <v>359</v>
      </c>
      <c r="E776" s="303" t="s">
        <v>193</v>
      </c>
      <c r="F776" s="303" t="s">
        <v>73</v>
      </c>
      <c r="G776" s="316" t="s">
        <v>360</v>
      </c>
      <c r="H776" s="303">
        <v>9924546462</v>
      </c>
      <c r="I776" s="303" t="s">
        <v>361</v>
      </c>
      <c r="J776" s="305" t="s">
        <v>567</v>
      </c>
      <c r="K776" s="303"/>
      <c r="L776" s="314" t="s">
        <v>58</v>
      </c>
      <c r="M776" s="303" t="s">
        <v>50</v>
      </c>
      <c r="N776" s="303"/>
      <c r="O776" s="307"/>
      <c r="P776" s="375"/>
      <c r="Q776" s="305"/>
      <c r="R776" s="309"/>
      <c r="S776" s="8"/>
      <c r="T776" s="9"/>
      <c r="U776" s="9"/>
    </row>
    <row r="777" spans="1:21" hidden="1">
      <c r="A777" s="288">
        <f t="shared" si="16"/>
        <v>776</v>
      </c>
      <c r="B777" s="322">
        <v>46122</v>
      </c>
      <c r="C777" s="292" t="s">
        <v>382</v>
      </c>
      <c r="D777" s="292" t="s">
        <v>5108</v>
      </c>
      <c r="E777" s="292" t="s">
        <v>22</v>
      </c>
      <c r="F777" s="292" t="s">
        <v>44</v>
      </c>
      <c r="G777" s="315" t="s">
        <v>45</v>
      </c>
      <c r="H777" s="294">
        <v>9921993346</v>
      </c>
      <c r="I777" s="295"/>
      <c r="J777" s="294" t="s">
        <v>122</v>
      </c>
      <c r="K777" s="292"/>
      <c r="L777" s="292" t="s">
        <v>49</v>
      </c>
      <c r="M777" s="292" t="s">
        <v>50</v>
      </c>
      <c r="N777" s="292"/>
      <c r="O777" s="296"/>
      <c r="P777" s="403"/>
      <c r="Q777" s="294"/>
      <c r="R777" s="298"/>
      <c r="S777" s="8"/>
      <c r="T777" s="9"/>
      <c r="U777" s="9"/>
    </row>
    <row r="778" spans="1:21" hidden="1">
      <c r="A778" s="299">
        <f t="shared" si="16"/>
        <v>777</v>
      </c>
      <c r="B778" s="323">
        <v>46122</v>
      </c>
      <c r="C778" s="303" t="s">
        <v>5109</v>
      </c>
      <c r="D778" s="303" t="s">
        <v>5110</v>
      </c>
      <c r="E778" s="303" t="s">
        <v>3130</v>
      </c>
      <c r="F778" s="303" t="s">
        <v>60</v>
      </c>
      <c r="G778" s="316" t="s">
        <v>371</v>
      </c>
      <c r="H778" s="305"/>
      <c r="I778" s="303" t="s">
        <v>5111</v>
      </c>
      <c r="J778" s="305" t="s">
        <v>1624</v>
      </c>
      <c r="K778" s="303"/>
      <c r="L778" s="303" t="s">
        <v>49</v>
      </c>
      <c r="M778" s="303" t="s">
        <v>40</v>
      </c>
      <c r="N778" s="303"/>
      <c r="O778" s="307"/>
      <c r="P778" s="375"/>
      <c r="Q778" s="305"/>
      <c r="R778" s="309"/>
      <c r="S778" s="8"/>
      <c r="T778" s="9"/>
      <c r="U778" s="9"/>
    </row>
    <row r="779" spans="1:21" hidden="1">
      <c r="A779" s="32"/>
      <c r="B779" s="33"/>
      <c r="C779" s="34"/>
      <c r="D779" s="34"/>
      <c r="E779" s="34"/>
      <c r="F779" s="34"/>
      <c r="G779" s="33"/>
      <c r="H779" s="35"/>
      <c r="I779" s="34"/>
      <c r="J779" s="35"/>
      <c r="K779" s="34"/>
      <c r="L779" s="34"/>
      <c r="M779" s="34"/>
      <c r="N779" s="34"/>
      <c r="O779" s="33"/>
      <c r="P779" s="260">
        <v>510032270.69999999</v>
      </c>
      <c r="Q779" s="35"/>
      <c r="R779" s="36"/>
      <c r="S779" s="8"/>
      <c r="T779" s="9"/>
      <c r="U779" s="9"/>
    </row>
  </sheetData>
  <autoFilter ref="A1:S779" xr:uid="{00000000-0009-0000-0000-000001000000}">
    <filterColumn colId="2">
      <filters>
        <filter val="Eka Mobility Solutions"/>
        <filter val="Eka mobility Soulutions"/>
      </filters>
    </filterColumn>
  </autoFilter>
  <conditionalFormatting sqref="J2">
    <cfRule type="expression" dxfId="8" priority="1">
      <formula>ISNUMBER(SEARCH("WIN",$J1))</formula>
    </cfRule>
  </conditionalFormatting>
  <dataValidations count="7">
    <dataValidation type="list" allowBlank="1" showInputMessage="1" showErrorMessage="1" sqref="J2:J778" xr:uid="{9EFF2A54-5D75-4EEA-91B7-7FBD72168D3E}">
      <formula1>INDIRECT("INQ[INQUIRY]")</formula1>
    </dataValidation>
    <dataValidation type="list" allowBlank="1" showInputMessage="1" showErrorMessage="1" sqref="M2:M778" xr:uid="{7B3DBC18-34D3-4570-9DB0-BBFD3479726F}">
      <formula1>INDIRECT("LO[LEAD OWNER]")</formula1>
    </dataValidation>
    <dataValidation type="list" allowBlank="1" showInputMessage="1" showErrorMessage="1" sqref="P435 L2:L778" xr:uid="{ED884645-38C2-4208-B1F6-52A1DCE4AAC0}">
      <formula1>INDIRECT("Table9[SALES OVERVIEW]")</formula1>
    </dataValidation>
    <dataValidation type="list" allowBlank="1" showInputMessage="1" showErrorMessage="1" sqref="Q383:Q387 Q390 Q2:Q379 Q411:Q661 Q672:Q757" xr:uid="{2BA359FA-D358-47A8-83AF-74D6743BF9D6}">
      <formula1>INDIRECT("QUOT[Quotation Status]")</formula1>
    </dataValidation>
    <dataValidation type="list" allowBlank="1" showInputMessage="1" showErrorMessage="1" sqref="R66" xr:uid="{24152F34-6B4E-4B56-9C32-02520761A5E2}">
      <formula1>"Highcost, brand prefrence, d"</formula1>
    </dataValidation>
    <dataValidation type="list" allowBlank="1" sqref="G96 G158 G428:G430 G439 C479 G454 D463 C477 C483 G571 F703:G703 F2:F702 C771 C778 F755:F778 F704:F753" xr:uid="{BF873006-3321-47E2-A865-019ED4CE705B}">
      <formula1>"Modification,LCS,Monorail,EOT Crane,Jib Crane,Hoist,Gantry Crane,Manipulator,Scissor lifter,Manipulator, Others,Underslung, Goliath"</formula1>
    </dataValidation>
    <dataValidation allowBlank="1" sqref="H88:H94 H99:H120 H377 H384:H389 H391:H424 H433:H435 H4 H440 H426:H427 H442 H458 H460:H461 P2:P91 H463:H474 H476:H489 H493:H497 H502:H513 H515:H527 H534:H538 H540:H543 H557:H569 H581:H590 H599:H611 H713:H718 H724:H725 H727 H635:H637 H639:H643 H645:H652 H655:H659 H662:H671 H673:H674 H678:H680 H682:H694 H696:H699 H701:H707 H710:H711 H767:H768 H777:H778 H773:H775 H735:H757" xr:uid="{12F49371-1646-415E-B38D-9DCE110D850A}"/>
  </dataValidations>
  <hyperlinks>
    <hyperlink ref="I6" r:id="rId1" xr:uid="{903F4F87-0065-4FE4-8F6A-1737DB372008}"/>
    <hyperlink ref="I7" r:id="rId2" xr:uid="{AA1E3EF1-072D-4C8D-8333-37CA19570954}"/>
    <hyperlink ref="I17" r:id="rId3" xr:uid="{268B8BB5-DA69-4074-B348-F2932F9EDD3C}"/>
    <hyperlink ref="I21" r:id="rId4" xr:uid="{50C025CD-FC0D-4578-9855-D7781EFF3F1F}"/>
    <hyperlink ref="I59" r:id="rId5" xr:uid="{B4028868-9139-4142-9380-0BC844F375C5}"/>
    <hyperlink ref="I48" r:id="rId6" xr:uid="{5BA7AC48-CE14-4D05-9C8C-1F747E0ACA4D}"/>
    <hyperlink ref="I50" r:id="rId7" xr:uid="{F8B1B39B-0B70-457D-A46B-9DFD8DED281C}"/>
    <hyperlink ref="I49" r:id="rId8" xr:uid="{B5A4D67F-2E9C-4165-B9D1-ED97BA23B6B4}"/>
    <hyperlink ref="I51" r:id="rId9" xr:uid="{6740A82B-DD86-486B-BA53-FDA6B7E2EAA8}"/>
    <hyperlink ref="I54" r:id="rId10" xr:uid="{5AA9CA23-6BA2-444C-B727-4B18FB008E5C}"/>
    <hyperlink ref="I57" r:id="rId11" xr:uid="{AD45432B-A1F2-4C70-9D05-0A7155B3F7F4}"/>
    <hyperlink ref="I52" r:id="rId12" xr:uid="{E612A152-5B94-4FD4-88E9-C76D8FD5E6EB}"/>
    <hyperlink ref="I58" r:id="rId13" xr:uid="{3692AC99-A267-47E9-8592-9BB82F177AC5}"/>
    <hyperlink ref="I56" r:id="rId14" xr:uid="{B95BA33B-9244-41D7-8C13-B9B65079B505}"/>
    <hyperlink ref="I71" r:id="rId15" xr:uid="{380AE83C-7E8A-4201-9BEE-D412FA24D7F5}"/>
    <hyperlink ref="I72" r:id="rId16" xr:uid="{103D316F-B186-4B0D-98EA-F31CAA36AF8E}"/>
    <hyperlink ref="I73" r:id="rId17" xr:uid="{FD4F08BE-3C2F-4B5B-833B-C6CB459248D7}"/>
    <hyperlink ref="I76" r:id="rId18" xr:uid="{F37C45AB-1A4F-40DA-BFF6-776E5CDBE118}"/>
    <hyperlink ref="I79" r:id="rId19" xr:uid="{4777E329-FA0D-4234-9B0B-963E008CBFB9}"/>
    <hyperlink ref="I77" r:id="rId20" xr:uid="{CDCA1C36-E766-4A38-A422-15E9B958E904}"/>
    <hyperlink ref="I78" r:id="rId21" xr:uid="{83C5D482-2E0C-4D94-895B-38F98120BBAA}"/>
    <hyperlink ref="I83" r:id="rId22" xr:uid="{A2763462-C338-4857-95D1-42B373F0A889}"/>
    <hyperlink ref="I89" r:id="rId23" xr:uid="{CF4C3DC7-4AE1-408E-88D6-599BF0A5A09D}"/>
    <hyperlink ref="I99" r:id="rId24" xr:uid="{939BE912-CFB4-4266-905D-3EDBF74348DE}"/>
    <hyperlink ref="I100" r:id="rId25" xr:uid="{73F38013-45B4-4054-A940-85CAAEDBF67C}"/>
    <hyperlink ref="I101" r:id="rId26" xr:uid="{A81503E3-2758-4194-A4CF-14DF03DD0D1B}"/>
    <hyperlink ref="I103" r:id="rId27" xr:uid="{EDE6A103-3AE8-4ACD-9F26-992C7960DF09}"/>
    <hyperlink ref="I102" r:id="rId28" xr:uid="{275EA149-6558-4E20-A1A9-99F299B6CF8C}"/>
    <hyperlink ref="I53" r:id="rId29" xr:uid="{246717FD-5D06-40A1-9E3D-869B2AE78EFC}"/>
    <hyperlink ref="I68" r:id="rId30" xr:uid="{1B360EB6-4BAD-4155-86D2-9B2F9DCB80BB}"/>
    <hyperlink ref="I112" r:id="rId31" xr:uid="{7B60A2FC-EB37-416D-98D4-19DCE273402E}"/>
    <hyperlink ref="I113" r:id="rId32" xr:uid="{F4E979C9-420D-45E6-9FA0-CFA3883C8D48}"/>
    <hyperlink ref="I114" r:id="rId33" xr:uid="{CB2436C3-D361-4911-9865-5C5193F425DB}"/>
    <hyperlink ref="I115" r:id="rId34" xr:uid="{51CF0D76-B589-40E1-8E97-CBBEDB803EC1}"/>
    <hyperlink ref="I117" r:id="rId35" xr:uid="{9EA8C546-677A-4200-A9F5-FBA4671825EB}"/>
    <hyperlink ref="I116" r:id="rId36" xr:uid="{B0ACACFA-5631-4278-92F0-2AFABB87C81E}"/>
    <hyperlink ref="I118" r:id="rId37" xr:uid="{624C47CF-D0DE-482C-BE0B-0A40ADF5B818}"/>
    <hyperlink ref="I119" r:id="rId38" xr:uid="{F4AEBEE4-4B64-411A-831A-F8A727B3076B}"/>
    <hyperlink ref="I120" r:id="rId39" xr:uid="{5F0DF429-AC4F-4164-8B34-471C173C7C96}"/>
    <hyperlink ref="I121" r:id="rId40" display="'santoshkumardas@merinoindia.com'" xr:uid="{AFACB0CA-135B-4D08-ACBE-8C79881F7AE7}"/>
    <hyperlink ref="I122" r:id="rId41" display="'yogesh.patil@kirloskar.com'" xr:uid="{A0EE25E2-B436-43BA-A4D5-12B8A05C9BBB}"/>
    <hyperlink ref="I123" r:id="rId42" display="'ojyadav@paranjapeautocast.com'" xr:uid="{35EE73C8-7794-491D-B62E-942C611273B5}"/>
    <hyperlink ref="I124" r:id="rId43" display="'nwarang@ultracorpotech.com'" xr:uid="{C6DB24BE-635D-469A-95DC-216C2299A1C2}"/>
    <hyperlink ref="I126" r:id="rId44" xr:uid="{4693FEB1-DAAB-4EB6-96F4-1964DF2770FD}"/>
    <hyperlink ref="I128" r:id="rId45" xr:uid="{7C021955-8C75-4C53-947C-61590A7280B7}"/>
    <hyperlink ref="I129" r:id="rId46" xr:uid="{ADB6A57C-B504-414A-9240-E1C3C6FBBA91}"/>
    <hyperlink ref="I130" r:id="rId47" xr:uid="{06448413-43AF-4347-99C5-911B03CCFC00}"/>
    <hyperlink ref="I131" r:id="rId48" xr:uid="{280A5FCA-E1B7-439C-8566-9CDEF8D70A70}"/>
    <hyperlink ref="I132" r:id="rId49" xr:uid="{F1034AE7-162F-44A8-9691-57050177A98B}"/>
    <hyperlink ref="I133" r:id="rId50" xr:uid="{672DE490-9755-44C9-8728-DAAC8CC15621}"/>
    <hyperlink ref="I134" r:id="rId51" xr:uid="{9947289F-D24D-4EC6-99A9-2A6BA6D39261}"/>
    <hyperlink ref="I135" r:id="rId52" xr:uid="{4C859250-8775-461D-A307-21CBDC60CEDE}"/>
    <hyperlink ref="I136" r:id="rId53" xr:uid="{93DF11B8-697E-41D8-8EF2-3BC2B859B771}"/>
    <hyperlink ref="I125" r:id="rId54" display="'eki1@endo-india.co.in" xr:uid="{2C8AD513-F93C-42D5-91E2-44D2F3014570}"/>
    <hyperlink ref="I138" r:id="rId55" display="'paragempire@gmail.com'" xr:uid="{A074774A-CEFE-43DE-8D70-C89BF9643F0A}"/>
    <hyperlink ref="I139" r:id="rId56" xr:uid="{A7258E77-A04C-46A9-B9A3-05629DFBD878}"/>
    <hyperlink ref="I140" r:id="rId57" display="'kishor.agale@kirloskar.com'" xr:uid="{BAB0244E-1232-4B0B-A589-FCA9C0D4F666}"/>
    <hyperlink ref="I143" r:id="rId58" display="'levin.c.v.5346@gmail.com'" xr:uid="{5067B2A1-A4F5-4900-BE45-94E3201E11FB}"/>
    <hyperlink ref="I142" r:id="rId59" xr:uid="{6F041BD3-C1B4-452D-B02B-8CABD0681364}"/>
    <hyperlink ref="I144" r:id="rId60" xr:uid="{6D1BC37B-0D47-4CD4-9063-F35F83DEB813}"/>
    <hyperlink ref="I150" r:id="rId61" xr:uid="{7A2904BF-1B94-4DD4-AEAC-E3472F5D3939}"/>
    <hyperlink ref="I152" r:id="rId62" xr:uid="{9377E674-4CCA-4C2B-97C1-4F5E4117A242}"/>
    <hyperlink ref="I153" r:id="rId63" xr:uid="{33ED1D5B-53B4-404D-8065-2D3A96EE6197}"/>
    <hyperlink ref="I157" r:id="rId64" xr:uid="{E680B1F2-9235-490A-AD97-2E97F6E799FE}"/>
    <hyperlink ref="I159" r:id="rId65" xr:uid="{C6C307B9-A027-4FA9-B94F-2FEA632DBC8B}"/>
    <hyperlink ref="I161" r:id="rId66" xr:uid="{F99C5721-70F8-4AF4-BF62-AD8559447F35}"/>
    <hyperlink ref="I166" r:id="rId67" xr:uid="{698F68BA-C6A2-474C-80E6-24457FF47A72}"/>
    <hyperlink ref="I167" r:id="rId68" xr:uid="{C9421B78-E929-432A-8FFC-5D9448A980C2}"/>
    <hyperlink ref="I168" r:id="rId69" xr:uid="{1AF11824-67FA-41CF-A5B3-D54C0340041B}"/>
    <hyperlink ref="I172" r:id="rId70" xr:uid="{70DADD15-6D87-4CBD-A79A-0ADE58519ED5}"/>
    <hyperlink ref="I181" r:id="rId71" xr:uid="{A6CA4433-A36E-4A25-BBA2-4B5CAB76C5F9}"/>
    <hyperlink ref="I182" r:id="rId72" xr:uid="{651A1887-2BAE-4FE2-A4D3-8430E22CC4A4}"/>
    <hyperlink ref="I183" r:id="rId73" xr:uid="{D3CA7D36-069E-4042-B723-C23A486795EA}"/>
    <hyperlink ref="I174" r:id="rId74" display="'kiran.nikam@kirloskar.com'" xr:uid="{C7FDAF88-ABDF-469C-9B7B-CFB3437C13D2}"/>
    <hyperlink ref="I175" r:id="rId75" xr:uid="{C9A883B6-BD4A-4CE8-80F7-13A45FF8655E}"/>
    <hyperlink ref="I178" r:id="rId76" display="'alok.deshmukh@atlascopco.com'" xr:uid="{CDEBBF30-6A0F-46CB-BD91-A702FC2C5E70}"/>
    <hyperlink ref="I184" r:id="rId77" xr:uid="{1D65C3FB-5F27-4DE6-8DD8-68255E7825ED}"/>
    <hyperlink ref="I186" r:id="rId78" xr:uid="{08662B5E-8D49-4E0F-AB95-66EF0CFB8939}"/>
    <hyperlink ref="I188" r:id="rId79" xr:uid="{BBF017FD-D985-4009-B0DE-72D83B8C7F9A}"/>
    <hyperlink ref="I189" r:id="rId80" xr:uid="{D0340069-553B-49C3-82D4-89BEFEF5C1D4}"/>
    <hyperlink ref="I190" r:id="rId81" xr:uid="{544101A1-677F-4FD9-811B-BB78DA9E28CF}"/>
    <hyperlink ref="I191" r:id="rId82" xr:uid="{5DBEA18F-5863-4256-A94C-8482BE67A2AE}"/>
    <hyperlink ref="I196" r:id="rId83" xr:uid="{ED7D8A1F-E083-498E-91B9-F14D9DA11911}"/>
    <hyperlink ref="I198" r:id="rId84" xr:uid="{19458694-DE53-498C-B57A-99307D957FA2}"/>
    <hyperlink ref="I199" r:id="rId85" display="'MallikarjunBillur@bharatforge.com'" xr:uid="{55A1D1CF-321E-4FDA-957B-95348D238F60}"/>
    <hyperlink ref="I200" r:id="rId86" xr:uid="{DEDE5A45-E43D-4CB3-9C3F-A45C548664C2}"/>
    <hyperlink ref="I201" r:id="rId87" xr:uid="{4E8FFCFF-40F3-4BB9-BE89-454BF5C47B7A}"/>
    <hyperlink ref="I203" r:id="rId88" xr:uid="{D875F78A-DAD8-4B66-80F0-4196772EB718}"/>
    <hyperlink ref="I204" r:id="rId89" xr:uid="{25E83B72-5E27-40AA-9266-D95BCC420914}"/>
    <hyperlink ref="I209" r:id="rId90" xr:uid="{C0E6D46C-C154-436C-8388-5ED4C6A8DF02}"/>
    <hyperlink ref="I210" r:id="rId91" xr:uid="{A90F4351-F188-4DD0-9FE8-763FED39D72B}"/>
    <hyperlink ref="I212" r:id="rId92" xr:uid="{2D80305D-1B8B-437C-876C-FA6B11F47B40}"/>
    <hyperlink ref="I215" r:id="rId93" display="'ganesh.godambe@jcb.com'" xr:uid="{41B7E561-4C4A-4D49-AA2B-181412170E5D}"/>
    <hyperlink ref="I217" r:id="rId94" display="'assembly@arhan.co.in'" xr:uid="{4F8EF8DC-BD69-4C12-9418-C52EEB24524C}"/>
    <hyperlink ref="I218" r:id="rId95" xr:uid="{87ADAC7A-578B-4B3A-A206-E8B3527EAEC7}"/>
    <hyperlink ref="I219" r:id="rId96" xr:uid="{49A8672E-9CCF-40B5-99A2-780D1CCF40E4}"/>
    <hyperlink ref="I220" r:id="rId97" xr:uid="{16603EAB-E654-47EF-A69B-FD8A3118DD1C}"/>
    <hyperlink ref="I221" r:id="rId98" xr:uid="{AE6FA3A5-5210-4F7A-9069-9C767E16C82C}"/>
    <hyperlink ref="I222" r:id="rId99" xr:uid="{41029BFD-395B-4FCB-B97C-2B41699DACC6}"/>
    <hyperlink ref="I226" r:id="rId100" xr:uid="{E7D9DF59-28F1-4DD5-961B-78E00F932231}"/>
    <hyperlink ref="I227" r:id="rId101" xr:uid="{737AF02F-0E46-4ECA-B410-D2B9BA16DD56}"/>
    <hyperlink ref="I229" r:id="rId102" xr:uid="{369436FD-F471-4FAA-BC38-E6062DBF9EE5}"/>
    <hyperlink ref="I228" r:id="rId103" xr:uid="{4DB2E6F0-9946-406D-8FAD-134CA3DCFB57}"/>
    <hyperlink ref="I230" r:id="rId104" xr:uid="{F43C0BF3-2FE4-4920-AE31-7E5D9B4624E1}"/>
    <hyperlink ref="I231" r:id="rId105" xr:uid="{FDCAAD6E-11DB-416D-B502-DD35A7100FD4}"/>
    <hyperlink ref="I232" r:id="rId106" xr:uid="{03E8F33C-F19D-4C2B-911B-B7292A10717E}"/>
    <hyperlink ref="I236" r:id="rId107" xr:uid="{3B190C3D-1F10-4D00-A1E9-F9B2E39C239C}"/>
    <hyperlink ref="I238" r:id="rId108" display="'Devendra.Kapade@ksb.com'" xr:uid="{546609D8-0946-446C-9752-915633C4986F}"/>
    <hyperlink ref="I239" r:id="rId109" display="'pur2@masterhandlers.com'" xr:uid="{5C548A50-7EFE-4643-A5AC-1A6EE299CABA}"/>
    <hyperlink ref="I240" r:id="rId110" xr:uid="{01AC50CA-0515-4F68-BF89-249C34A0DFE7}"/>
    <hyperlink ref="I242" r:id="rId111" display="'skshirsagar@ultracorpotech.com'" xr:uid="{77D7AF0A-8BFC-468F-AA65-ED10880467B6}"/>
    <hyperlink ref="I246" r:id="rId112" xr:uid="{1A7A9D6E-0511-4999-9643-EEB1916C0137}"/>
    <hyperlink ref="I247" r:id="rId113" xr:uid="{628BA980-0011-42D8-9046-7B64F0465DAC}"/>
    <hyperlink ref="I244" r:id="rId114" display="'dhiraj.shetkar@mrfmail.com'" xr:uid="{99C60131-03F9-43CE-ADB3-68E84B269C47}"/>
    <hyperlink ref="I245" r:id="rId115" display="'shailesh.paithankar@duncanengg.com'" xr:uid="{21B27AF0-DE05-473C-B97F-5ED8971F58DE}"/>
    <hyperlink ref="I250" r:id="rId116" xr:uid="{E2A1F3A6-89D1-495B-B4C7-081EF240243B}"/>
    <hyperlink ref="I251" r:id="rId117" xr:uid="{63259FBB-ED8C-47FB-B4DC-7B790E9933B5}"/>
    <hyperlink ref="I252" r:id="rId118" xr:uid="{F116ACFA-32B9-44B2-B41F-771B65D36539}"/>
    <hyperlink ref="I253" r:id="rId119" xr:uid="{0E5937C1-7C68-4709-830C-F33A422BCE1A}"/>
    <hyperlink ref="I259" r:id="rId120" display="'srindustries77@gmail.com'" xr:uid="{EF09D376-B858-4FDA-8841-48F656C34E77}"/>
    <hyperlink ref="I260" r:id="rId121" xr:uid="{952EFD88-2A00-4FBF-AFE1-A0A17BEEB164}"/>
    <hyperlink ref="I264" r:id="rId122" display="'vikaspadalkar@bharatforge.com'" xr:uid="{99CEBB88-13CD-47C8-8A6D-1B368C975786}"/>
    <hyperlink ref="I266" r:id="rId123" display="'sandipan@jendamark.in'" xr:uid="{6DA06A07-D162-4C69-A282-F0DB2DBDF15E}"/>
    <hyperlink ref="I268" r:id="rId124" display="'brijesh.patel@jsw.in'" xr:uid="{7EC93180-E180-4AAB-88AE-6A3706928A95}"/>
    <hyperlink ref="I254" r:id="rId125" xr:uid="{417055D1-7574-43AE-9141-E45A733B988D}"/>
    <hyperlink ref="I255" r:id="rId126" xr:uid="{619F9001-D139-48C0-9D83-5F820CDA54D5}"/>
    <hyperlink ref="I256" r:id="rId127" xr:uid="{3128A0A8-0892-4B27-9D41-F4B483237626}"/>
    <hyperlink ref="I257" r:id="rId128" xr:uid="{BF65F7EE-ECE4-4DB9-A515-E28A2E535F98}"/>
    <hyperlink ref="I270" r:id="rId129" xr:uid="{02571B2E-47D8-4D84-A807-24C3AEA1F484}"/>
    <hyperlink ref="I271" r:id="rId130" xr:uid="{CF120193-1B29-4204-807F-51477580F659}"/>
    <hyperlink ref="I273" r:id="rId131" xr:uid="{654CC9AF-9172-4455-9157-D86BB2F18B52}"/>
    <hyperlink ref="I274" r:id="rId132" xr:uid="{B375C5B3-4DDB-4C41-82EB-45244042C970}"/>
    <hyperlink ref="I276" r:id="rId133" xr:uid="{EF780927-56FA-4AD4-9D0C-04B0A39073AB}"/>
    <hyperlink ref="I277" r:id="rId134" xr:uid="{D909DC53-CCA7-4DD1-B9CE-79B16D25B967}"/>
    <hyperlink ref="I278" r:id="rId135" xr:uid="{3EECBE66-EC9A-4BB2-8339-3C2A41C9A5C9}"/>
    <hyperlink ref="I279" r:id="rId136" xr:uid="{9C9DFE8A-0BC5-4D06-B62A-7A6E6C8C6F32}"/>
    <hyperlink ref="I284" r:id="rId137" display="'Ayush.Kumar6@vedanta.co.in'" xr:uid="{46814440-BDC3-45B2-B8B1-AAAFF1A9B962}"/>
    <hyperlink ref="I285" r:id="rId138" display="'engineering@alexgrinders.com'" xr:uid="{5E0F0DCC-FA76-48DE-85E1-9B91899BFA5E}"/>
    <hyperlink ref="I281" r:id="rId139" xr:uid="{CD7B60AF-9712-4C22-ACCE-8347E3166523}"/>
    <hyperlink ref="I283" r:id="rId140" xr:uid="{4E77562B-A08F-49FA-AC15-186AC948A4CB}"/>
    <hyperlink ref="I286" r:id="rId141" xr:uid="{1A2224FD-0117-4BE0-8965-E090AD354206}"/>
    <hyperlink ref="I287" r:id="rId142" xr:uid="{CDE18441-942F-4F8C-B51F-5E207C19D1F7}"/>
    <hyperlink ref="I288" r:id="rId143" xr:uid="{A1738E5D-45D5-4DF7-99F1-634E82EC8C14}"/>
    <hyperlink ref="I289" r:id="rId144" xr:uid="{A0A1D18C-53B7-4872-844F-D904F7038F31}"/>
    <hyperlink ref="I290" r:id="rId145" xr:uid="{F49220E7-7F31-47B5-AB42-D881B12FB216}"/>
    <hyperlink ref="I291" r:id="rId146" xr:uid="{FD306D7A-F32B-4BAF-A4FB-39588E06971A}"/>
    <hyperlink ref="I292" r:id="rId147" xr:uid="{9D1BEB87-22A0-4072-93DD-3BCDABF57E44}"/>
    <hyperlink ref="I293" r:id="rId148" xr:uid="{E9DD30DE-65B8-48CD-990A-3D6DB6B2625C}"/>
    <hyperlink ref="I299" r:id="rId149" xr:uid="{6845046D-64C4-46A3-9CDD-7DFC4C872DCC}"/>
    <hyperlink ref="I306" r:id="rId150" xr:uid="{AE8CDFBF-2841-409E-B413-9C5609B97CBE}"/>
    <hyperlink ref="I307" r:id="rId151" xr:uid="{CF830273-0128-46DA-BDC9-528ADD30E388}"/>
    <hyperlink ref="I311" r:id="rId152" display="'Jiddewar.shashank@mahindra.com'" xr:uid="{5B66F4E5-57CF-426E-AAA1-2BAB29B5C437}"/>
    <hyperlink ref="I312" r:id="rId153" xr:uid="{A9AE4AA7-5916-4A53-897B-5643FF467811}"/>
    <hyperlink ref="I314" r:id="rId154" xr:uid="{80B172E2-88BC-47E4-A91B-BE5106B94ACC}"/>
    <hyperlink ref="I315" r:id="rId155" xr:uid="{D65DEBF4-BBA2-451D-8FDB-1999248F6E6B}"/>
    <hyperlink ref="I300" r:id="rId156" xr:uid="{95D82518-54A4-414D-A166-7F18D3484477}"/>
    <hyperlink ref="I301" r:id="rId157" xr:uid="{858FBCFA-A818-49C2-9EAA-877E48FFDF22}"/>
    <hyperlink ref="I302" r:id="rId158" xr:uid="{EA720D46-AD3C-45FA-A47A-95E081AC9BA7}"/>
    <hyperlink ref="I303" r:id="rId159" xr:uid="{FB87FA71-5486-47AD-8296-B78D9D86A909}"/>
    <hyperlink ref="I304" r:id="rId160" xr:uid="{10202D8D-C414-45D9-9273-8D3C8FB5FA7E}"/>
    <hyperlink ref="I318" r:id="rId161" display="'hoffenplastics@gmail.com'" xr:uid="{EA068C03-0F0A-4F02-B752-411A1B9787B0}"/>
    <hyperlink ref="I308" r:id="rId162" xr:uid="{B37807DF-885D-4701-94AD-CFC67F1084F2}"/>
    <hyperlink ref="I309" r:id="rId163" xr:uid="{9B048578-1B8D-4162-A3A5-E1B08060EAEE}"/>
    <hyperlink ref="I317" r:id="rId164" xr:uid="{FDF0E2F8-6943-49A6-9BE5-5C8AA2735139}"/>
    <hyperlink ref="I319" r:id="rId165" xr:uid="{1ECA2D2D-E677-4C35-920C-EB2CD01F4CA6}"/>
    <hyperlink ref="I321" r:id="rId166" xr:uid="{D4FBDFF8-4EEB-41A3-9D4E-02172E526308}"/>
    <hyperlink ref="I323" r:id="rId167" xr:uid="{9607C33A-10E4-45A1-84FD-EB6C232883D3}"/>
    <hyperlink ref="I322" r:id="rId168" xr:uid="{9B32611A-035A-40A8-8ED9-BA792BDB24A8}"/>
    <hyperlink ref="I324" r:id="rId169" xr:uid="{8124BA15-0495-4DAC-A2E8-68A1452F79EF}"/>
    <hyperlink ref="I333" r:id="rId170" xr:uid="{0CA40073-5A32-4390-A42B-0B7AA8AF4DCC}"/>
    <hyperlink ref="I339" r:id="rId171" xr:uid="{DAC316C0-7AD2-4A92-B45A-CF416F17732E}"/>
    <hyperlink ref="I341" r:id="rId172" xr:uid="{9C9C33A0-7208-49B8-A726-D1C749C7E632}"/>
    <hyperlink ref="I298" r:id="rId173" display="'mustafa@qpointsolutions.com'" xr:uid="{E7EC9798-4A74-4FCD-B759-05951386041C}"/>
    <hyperlink ref="I349" r:id="rId174" display="'sales@carelifting.com'" xr:uid="{E5F1497E-7977-46CA-9325-D2702E09DA9D}"/>
    <hyperlink ref="I350" r:id="rId175" display="'Shreeniwasbbh@gmail.com'" xr:uid="{5E71F069-8885-44E9-8128-E73FDE13D328}"/>
    <hyperlink ref="I351" r:id="rId176" display="'salespune@pacetools.in'" xr:uid="{37D0190D-5B8A-4600-835C-019D6D0E5E32}"/>
    <hyperlink ref="I360" r:id="rId177" display="'mayur.jagtap@winfastsolution.in'" xr:uid="{10B16786-01AF-4F22-BCA2-2C10424D73AA}"/>
    <hyperlink ref="I361" r:id="rId178" display="'sscranesindia@gmail.com'" xr:uid="{E6057A13-199A-4FAB-AAD5-82D0FDD2AC28}"/>
    <hyperlink ref="I363" r:id="rId179" display="'anil.m@ekamobility.com'" xr:uid="{960107B2-2715-4133-B5D0-E03891FCD47C}"/>
    <hyperlink ref="I368" r:id="rId180" display="'Devendra.Kapade@ksb.com'" xr:uid="{32093E83-DBDA-4888-B75E-806E83B64AA5}"/>
    <hyperlink ref="I376" r:id="rId181" display="'mrajput@delvalflow.com'" xr:uid="{25E2CE19-B9CF-49A5-9511-DA7B3900CDEB}"/>
    <hyperlink ref="I352" r:id="rId182" xr:uid="{F6E438C2-3724-411F-A69C-7EC4825ED0F6}"/>
    <hyperlink ref="I354" r:id="rId183" xr:uid="{EAA9ECA8-60FE-4623-9B0B-FA96B14BF5B7}"/>
    <hyperlink ref="I356" r:id="rId184" xr:uid="{973EC3FF-E977-4D83-8975-68C421F904B2}"/>
    <hyperlink ref="I365" r:id="rId185" xr:uid="{D6536EDB-9335-479E-9C35-2A4296D4C2C4}"/>
    <hyperlink ref="I366" r:id="rId186" xr:uid="{49545E58-6004-41AA-AEE5-87BE536B9979}"/>
    <hyperlink ref="I367" r:id="rId187" xr:uid="{7F165201-6297-44DD-8A21-B11CD6C5A5A4}"/>
    <hyperlink ref="I378" r:id="rId188" display="'sbelambe@forbesmarshall.com'" xr:uid="{593D9504-5E0A-44BB-B749-380075F89EFC}"/>
    <hyperlink ref="I369" r:id="rId189" display="'sales@rimcoindia.com'" xr:uid="{42255EEE-A0CD-4A4C-9A58-E34358709E24}"/>
    <hyperlink ref="I379" r:id="rId190" display="'gk@bwcbah.com'" xr:uid="{DDB7CCD2-D5D1-4E95-96C2-6F825DD1A35D}"/>
    <hyperlink ref="I370" r:id="rId191" xr:uid="{1B9F5A32-1183-4202-AD7B-A0C514A7DEEA}"/>
    <hyperlink ref="I371" r:id="rId192" xr:uid="{FDCAA15F-A423-41A9-A72A-045BA44EF7FC}"/>
    <hyperlink ref="I383" r:id="rId193" display="'gk@bwcbah.com'" xr:uid="{90B3CABE-B9DF-49E6-BA7D-AC988B35E0A9}"/>
    <hyperlink ref="I372" r:id="rId194" xr:uid="{C6CFF76B-520E-4898-B2EF-F9827DE8ECFE}"/>
    <hyperlink ref="I373" r:id="rId195" xr:uid="{FF0B0108-2A7E-4B35-A8E2-77CB01A3987B}"/>
    <hyperlink ref="I374" r:id="rId196" xr:uid="{CE878D93-1182-40A0-B0B0-A8B74EF7D10C}"/>
    <hyperlink ref="I375" r:id="rId197" xr:uid="{32D378A5-D3EC-4387-9FBB-287B544A1E25}"/>
    <hyperlink ref="I385" r:id="rId198" xr:uid="{A2AF7265-718F-4555-B892-77C24E794CA5}"/>
    <hyperlink ref="I386" r:id="rId199" display="'pankaj.damare@ekamobility.com'" xr:uid="{900AAD90-87EB-49DA-A574-40F7259F82B4}"/>
    <hyperlink ref="I380" r:id="rId200" xr:uid="{BB41FCA5-B057-4A3D-B8AD-978750C9739E}"/>
    <hyperlink ref="I381" r:id="rId201" xr:uid="{3BA5E15D-EBA3-4B33-A8BE-B5FB8DE4F639}"/>
    <hyperlink ref="I388" r:id="rId202" xr:uid="{E5B39FC2-3A70-498A-A32E-8A8345514D68}"/>
    <hyperlink ref="I389" r:id="rId203" xr:uid="{C1155C59-C743-4C89-9CE5-45C5F9CFE6B3}"/>
    <hyperlink ref="I392" r:id="rId204" xr:uid="{1DD52195-F25F-4FBB-BD32-3DF45D9E67FB}"/>
    <hyperlink ref="I393" r:id="rId205" xr:uid="{F3D4B19F-9D7F-4707-AD53-89648BFC473C}"/>
    <hyperlink ref="I394" r:id="rId206" xr:uid="{0A343DB0-B01D-46F0-932A-565414D16AC7}"/>
    <hyperlink ref="I395" r:id="rId207" xr:uid="{D44E9FC2-0458-4EBE-BE07-DEFA3D762D54}"/>
    <hyperlink ref="I396" r:id="rId208" xr:uid="{819C8F86-EF39-40AB-B806-8838CE348226}"/>
    <hyperlink ref="I397" r:id="rId209" xr:uid="{B0E3AD63-58B0-4B65-9DDE-4C8EBBFCE2AD}"/>
    <hyperlink ref="I398" r:id="rId210" xr:uid="{7B74E22E-4D9B-411F-A0FF-F34B18ECD8F5}"/>
    <hyperlink ref="I399" r:id="rId211" xr:uid="{FD0661B0-FD1F-4BDC-A01B-7C4004D52BC2}"/>
    <hyperlink ref="I401" r:id="rId212" xr:uid="{977168FA-A9F3-40E4-B2F4-F11A59EC5BC6}"/>
    <hyperlink ref="I402" r:id="rId213" xr:uid="{104384F9-9F9B-4B21-B8BE-CB954E8EF1B3}"/>
    <hyperlink ref="I403" r:id="rId214" xr:uid="{1D6910CB-0854-445A-BACF-EFBD1331D13C}"/>
    <hyperlink ref="I405" r:id="rId215" xr:uid="{01A4DDAD-BFED-42DD-BCCD-224AF309BBBA}"/>
    <hyperlink ref="I406" r:id="rId216" xr:uid="{E795EC5D-EACB-4B77-946A-A440185D817D}"/>
    <hyperlink ref="I411" r:id="rId217" display="'pranav.bafna@piller.de'" xr:uid="{3E946FEE-2335-4DE1-83B9-256151BE1CA2}"/>
    <hyperlink ref="I404" r:id="rId218" xr:uid="{A2239FA2-DC92-4DA9-9CD0-ED7C5B80612E}"/>
    <hyperlink ref="I425" r:id="rId219" display="'projects@leoengineer.com'" xr:uid="{AEE5BB1B-F84E-4617-A2EA-BC40D7DD1522}"/>
    <hyperlink ref="I426" r:id="rId220" display="'application@accurate.co.in'" xr:uid="{EEB6F43C-0591-42C9-A1A3-10038D27CD39}"/>
    <hyperlink ref="I407" r:id="rId221" xr:uid="{9EFC20C5-557D-4EE6-A714-F2335D4F6AC2}"/>
    <hyperlink ref="I410" r:id="rId222" xr:uid="{0350BF79-12AD-45FF-A405-9A2A03162111}"/>
    <hyperlink ref="I408" r:id="rId223" xr:uid="{6C6DBF67-10A4-4513-91E0-76613D54CB77}"/>
    <hyperlink ref="I432" r:id="rId224" xr:uid="{9689842A-7448-4927-B3E4-7D7B39E8C803}"/>
    <hyperlink ref="I435" r:id="rId225" display="'chetan.chavan@modulex.in'" xr:uid="{EE0D64C7-F7F9-48BC-95B5-068D23378C2B}"/>
    <hyperlink ref="I436" r:id="rId226" xr:uid="{0FD228F7-7871-4C07-9C7F-474E20F5BBE7}"/>
    <hyperlink ref="I414" r:id="rId227" xr:uid="{41FD7CC6-31CE-4844-9576-67654A259C6D}"/>
    <hyperlink ref="I415" r:id="rId228" xr:uid="{1F2E94EF-14F6-4FE2-934B-948CF1447C3A}"/>
    <hyperlink ref="I416" r:id="rId229" xr:uid="{C759B8F6-3A63-444E-95FA-B4A6ED3BF985}"/>
    <hyperlink ref="I417" r:id="rId230" xr:uid="{1642CD30-5911-4A1B-BEDC-845E1F9B12A3}"/>
    <hyperlink ref="I418" r:id="rId231" xr:uid="{DFFC5967-50ED-47B7-8677-9F0BCDD3F929}"/>
    <hyperlink ref="I440" r:id="rId232" display="'pratik.patil@jcb.com'" xr:uid="{EA12A6E6-0D8F-42C2-92B7-583EA46E9A74}"/>
    <hyperlink ref="I442" r:id="rId233" display="'amol.pawar@topse.in'" xr:uid="{27605587-237E-4458-BF7E-239B76509D58}"/>
    <hyperlink ref="I420" r:id="rId234" xr:uid="{D6F349D8-509B-44E3-A9F2-6EC054DE8A87}"/>
    <hyperlink ref="I422" r:id="rId235" xr:uid="{2705BA5C-32E9-44CA-B333-48AA953F13B1}"/>
    <hyperlink ref="I423" r:id="rId236" xr:uid="{8DCDD6EF-E741-4C8D-A93B-1728EC8CE750}"/>
    <hyperlink ref="I438" r:id="rId237" xr:uid="{CC4D07CE-FD02-4ACC-9C4E-92866ADCC330}"/>
    <hyperlink ref="I443" r:id="rId238" xr:uid="{134B294F-FA42-4074-976D-0341C0C0449E}"/>
    <hyperlink ref="I444" r:id="rId239" xr:uid="{6403410D-D667-44C5-B61B-C0412C9B34D4}"/>
    <hyperlink ref="I446" r:id="rId240" xr:uid="{C5E550C3-D6CD-41FD-9DBC-A003B373BEDA}"/>
    <hyperlink ref="I449" r:id="rId241" xr:uid="{75957D73-D20C-4923-8C39-AB5A71A8806B}"/>
    <hyperlink ref="I450" r:id="rId242" xr:uid="{0C933E4A-36DC-4BDE-97C8-44D122DFE7E4}"/>
    <hyperlink ref="I451" r:id="rId243" xr:uid="{C9DA6A42-851D-49A3-A1E0-731754EA6528}"/>
    <hyperlink ref="I454" r:id="rId244" xr:uid="{651FE349-E184-448A-9CCC-F82F9F2C0BBB}"/>
    <hyperlink ref="I456" r:id="rId245" xr:uid="{870543C6-6C5C-418B-BB45-6487A047248A}"/>
    <hyperlink ref="I458" r:id="rId246" xr:uid="{34E2C1C2-B04A-47F3-91C1-36DE29BC1E18}"/>
    <hyperlink ref="I459" r:id="rId247" xr:uid="{2FD8D6B3-6810-4423-ACD4-F7865F032C98}"/>
    <hyperlink ref="I460" r:id="rId248" xr:uid="{E857407E-7835-4F73-A447-5E97EE4A1E6C}"/>
    <hyperlink ref="I462" r:id="rId249" display="'eki1@endo-india.co.in'" xr:uid="{180AA6D1-F935-4EA5-9AEA-5EAEC718C9E6}"/>
    <hyperlink ref="I463" r:id="rId250" xr:uid="{4855D83E-E11F-431E-A312-FF7E02339986}"/>
    <hyperlink ref="I464" r:id="rId251" xr:uid="{BC2595C7-FD05-4E56-8AAA-EC72FF9CE7F4}"/>
    <hyperlink ref="I465" r:id="rId252" xr:uid="{E367FAAD-2E02-481F-9EA6-4BA2B79F9967}"/>
    <hyperlink ref="I467" r:id="rId253" display="'aryan.engineering2712@gmail.com'" xr:uid="{044A2CF0-F9F1-4597-AEB9-00824752FBDB}"/>
    <hyperlink ref="I468" r:id="rId254" display="'agumaste@ultracorpotech.com'" xr:uid="{B3D106D0-6339-4804-AEE6-20A819D642D4}"/>
    <hyperlink ref="I469" r:id="rId255" display="'srikanth@smhrail.com.my'" xr:uid="{BE52CFAF-2DAF-4EFC-A916-A14DE4320F55}"/>
    <hyperlink ref="I471" r:id="rId256" display="'&lt;shravan@dattaenterprises.com&gt;" xr:uid="{2435022C-3A5A-4A86-9ABD-9CB0C22287A3}"/>
    <hyperlink ref="I472" r:id="rId257" xr:uid="{D77D7141-AD9B-4C84-87BB-329C581B8FB5}"/>
    <hyperlink ref="I473" r:id="rId258" xr:uid="{70950E4A-4B31-496D-9470-368DCB04CF21}"/>
    <hyperlink ref="I474" r:id="rId259" xr:uid="{0F4EC9EA-4A9B-4073-9333-BE920BB1FAD7}"/>
    <hyperlink ref="I478" r:id="rId260" xr:uid="{5F5AB441-E586-4143-8533-B9D2FE4BA929}"/>
    <hyperlink ref="I479" r:id="rId261" xr:uid="{F38890FD-8D06-45C7-8D5D-869830E3E42C}"/>
    <hyperlink ref="I483" r:id="rId262" xr:uid="{8D21E598-ECF2-4A4D-8B54-9BCD967723D5}"/>
    <hyperlink ref="I481" r:id="rId263" display="'anil.m@ekamobility.com'" xr:uid="{72E982B4-7078-41BB-A4B0-ED65FC4CEB11}"/>
    <hyperlink ref="I484" r:id="rId264" xr:uid="{FF07113E-F41B-4837-9F44-7EB2E254510A}"/>
    <hyperlink ref="I486" r:id="rId265" xr:uid="{5DF7D726-76E7-46E3-BAF2-C11A09BF1668}"/>
    <hyperlink ref="I485" r:id="rId266" xr:uid="{19EBEDBF-EA2F-49DB-9AB8-C2E405C3DD84}"/>
    <hyperlink ref="I491" r:id="rId267" xr:uid="{DFDFFC76-FD97-4E5A-9CF8-C00A5235BEDF}"/>
    <hyperlink ref="I492" r:id="rId268" xr:uid="{9A9E0E20-5B55-498C-BD6D-5359F2B49CFC}"/>
    <hyperlink ref="I494" r:id="rId269" xr:uid="{CAF38763-3573-4851-AFEB-F70F498A85AD}"/>
    <hyperlink ref="I487" r:id="rId270" display="'pankaj.giri@concentricab.com'" xr:uid="{DC771595-1ECC-4DA2-904E-04A142AB60F7}"/>
    <hyperlink ref="I489" r:id="rId271" xr:uid="{0830D6AE-068B-4330-9768-F3C1BB968760}"/>
    <hyperlink ref="I503" r:id="rId272" display="'sandip@sigmapacks.com'" xr:uid="{9CB09C75-0A00-45AF-9F6B-3AA284C98F2A}"/>
    <hyperlink ref="I504" r:id="rId273" display="'hoffenplastics@gmail.com'" xr:uid="{B0210523-95D4-41DA-98C9-B3C11F8B04BD}"/>
    <hyperlink ref="I506" r:id="rId274" display="'saranggade@bharatforge.com'" xr:uid="{37C06A4D-DEE3-4800-AC9E-3694D83EDB4B}"/>
    <hyperlink ref="I507" r:id="rId275" display="'pankaj.joshi@kirloskar.com'" xr:uid="{BEBE7C56-D37D-41A6-AC6B-F5673AEB4496}"/>
    <hyperlink ref="I514" r:id="rId276" display="'farhan.khan@cleantechsystems.in'" xr:uid="{60EFCFD7-AFBB-4E8E-8A89-0A3B9ABE0995}"/>
    <hyperlink ref="I496" r:id="rId277" xr:uid="{D8F4A7C9-653B-4C12-A3D8-B86C3EBF4DC6}"/>
    <hyperlink ref="I497" r:id="rId278" xr:uid="{9C2E3A3B-61B9-40F8-9252-44AD6F00BEF0}"/>
    <hyperlink ref="I509" r:id="rId279" xr:uid="{AED83866-69E1-4C82-BAD8-36F9DD8E1416}"/>
    <hyperlink ref="I510" r:id="rId280" xr:uid="{C8BDB883-464D-40C1-A129-02CA44B99927}"/>
    <hyperlink ref="I511" r:id="rId281" xr:uid="{18D12AAA-7E1B-40DD-BBAB-205390249AD2}"/>
    <hyperlink ref="I512" r:id="rId282" xr:uid="{C2C3E810-F482-4770-A218-60E91D45515C}"/>
    <hyperlink ref="I513" r:id="rId283" xr:uid="{85F7A54A-643B-4A0E-93C9-72E0E3E33CAA}"/>
    <hyperlink ref="I515" r:id="rId284" xr:uid="{743572E5-4605-4493-8089-5645D33D43C8}"/>
    <hyperlink ref="I516" r:id="rId285" xr:uid="{F09F3BE0-B0EB-4F4C-A842-98F936E3D5B1}"/>
    <hyperlink ref="I519" r:id="rId286" xr:uid="{B32F3EFB-7082-4B77-9CBB-649CFD5777F9}"/>
    <hyperlink ref="I520" r:id="rId287" xr:uid="{C57D11D8-D4B3-40C0-8E7A-D8C5EFA62F99}"/>
    <hyperlink ref="I521" r:id="rId288" xr:uid="{3A6B9869-F465-4C6A-9D82-73ADC41D1AB1}"/>
    <hyperlink ref="I522" r:id="rId289" xr:uid="{A1CE9FE7-B233-4FE7-8F73-4D04DE6412FE}"/>
    <hyperlink ref="I523" r:id="rId290" xr:uid="{E693FECE-4937-4421-812A-C30DD31FA2E9}"/>
    <hyperlink ref="I524" r:id="rId291" xr:uid="{B6254EC1-4252-43D9-B6CD-54ECD95C8702}"/>
    <hyperlink ref="I526" r:id="rId292" xr:uid="{6FE5ADCA-C93A-4127-844E-931EEFE68975}"/>
    <hyperlink ref="I527" r:id="rId293" xr:uid="{AD6A12C4-E0DE-454B-A7B4-FE6E00A7A4F8}"/>
    <hyperlink ref="I534" r:id="rId294" xr:uid="{6238F796-CEDF-4B2D-9B9F-A81B01B703C9}"/>
    <hyperlink ref="I535" r:id="rId295" xr:uid="{06CD2792-9CAA-4242-BC79-4103D2146E75}"/>
    <hyperlink ref="I536" r:id="rId296" xr:uid="{F7025137-1B03-4F50-941A-AC8C724AC93D}"/>
    <hyperlink ref="I537" r:id="rId297" xr:uid="{E81AC35F-9ACB-4FCA-97D2-FCD57EBA5653}"/>
    <hyperlink ref="I538" r:id="rId298" xr:uid="{A5F88ADB-C6E0-4181-B174-452A775A2D2B}"/>
    <hyperlink ref="I540" r:id="rId299" xr:uid="{0EEE607E-4C85-4032-A055-18B6C1FFD175}"/>
    <hyperlink ref="I541" r:id="rId300" xr:uid="{CDBDD5DD-BD30-4C5F-AD40-088BBB0FC4A3}"/>
    <hyperlink ref="I542" r:id="rId301" xr:uid="{F2A81CCB-978B-46CD-AA89-D449B1675747}"/>
    <hyperlink ref="I543" r:id="rId302" xr:uid="{4D4ED797-7F30-4D1B-84AA-90DFFFE321CC}"/>
    <hyperlink ref="I555" r:id="rId303" xr:uid="{E592DA29-C1DC-4A97-8910-A06E737BF23E}"/>
    <hyperlink ref="I556" r:id="rId304" xr:uid="{EE365D57-150F-488A-89A6-19BB1AF34167}"/>
    <hyperlink ref="I558" r:id="rId305" xr:uid="{EFCD54FD-3A10-4A8D-892C-C54243DD0C43}"/>
    <hyperlink ref="I560" r:id="rId306" xr:uid="{C5C2B907-6F8D-4D4E-B8B2-AF38FDB6F141}"/>
    <hyperlink ref="I563" r:id="rId307" xr:uid="{D482B59F-48F3-47EF-97F3-B38BC1ACF24F}"/>
    <hyperlink ref="I564" r:id="rId308" xr:uid="{D7B13FA5-41EA-4289-B2DF-E06844A19B6B}"/>
    <hyperlink ref="I565" r:id="rId309" xr:uid="{73CBBAF7-E562-42FE-8515-A615EFC14EA5}"/>
    <hyperlink ref="I566" r:id="rId310" xr:uid="{E017472F-A9B4-4D23-B5B2-4CF81CB8A429}"/>
    <hyperlink ref="I567" r:id="rId311" xr:uid="{64F6C5D4-911C-4B6E-A68C-46E555B7E682}"/>
    <hyperlink ref="I568" r:id="rId312" xr:uid="{8AAB8B2A-7FB1-484E-94C7-F640E5610506}"/>
    <hyperlink ref="I569" r:id="rId313" xr:uid="{A02F24C0-6088-4891-A349-A7C602A1B91A}"/>
    <hyperlink ref="I581" r:id="rId314" xr:uid="{D9A4385D-D1EE-42A7-A53C-9144CA165DC4}"/>
    <hyperlink ref="I582" r:id="rId315" xr:uid="{23A200EF-291C-4F23-9C90-F298A11A5C7B}"/>
    <hyperlink ref="I584" r:id="rId316" xr:uid="{6FA807DC-E6EE-47F4-A71C-0951F9383D4B}"/>
    <hyperlink ref="I585" r:id="rId317" xr:uid="{CCEA081B-FCBA-4940-9730-43906F45F501}"/>
    <hyperlink ref="I587" r:id="rId318" xr:uid="{E6EC28A2-E9BB-4F32-97E3-022C27506F26}"/>
    <hyperlink ref="I588" r:id="rId319" xr:uid="{CA545CE2-C9F9-4690-87B7-3CC3412B7007}"/>
    <hyperlink ref="I589" r:id="rId320" xr:uid="{45D356FF-13E7-4A13-8FE3-7A4BE2985F09}"/>
    <hyperlink ref="I518" r:id="rId321" xr:uid="{C637040A-6164-4E2D-B757-E73F8380E2A8}"/>
    <hyperlink ref="I531" r:id="rId322" display="'dmahajan1@unominda.com'" xr:uid="{FFD1FE8D-6F51-412E-B62C-97DF7493344B}"/>
    <hyperlink ref="I533" r:id="rId323" display="'toolroom_hinj@m-techindia.com'" xr:uid="{E32F3F61-9E9A-4556-B7C3-8447FFB53A1A}"/>
    <hyperlink ref="I579" r:id="rId324" display="'sagar.satdive@in.gudel.com'" xr:uid="{F5EB8A8C-EDB3-4E47-9721-A18F9D0B7E0F}"/>
    <hyperlink ref="I580" r:id="rId325" display="'commoditypurchase@jyotisolutionsworks.com'" xr:uid="{473BBAB3-E75F-4EED-ADC2-14EE06AE7F5A}"/>
    <hyperlink ref="I598" r:id="rId326" display="'yogesh.salunkhe@atlascopco.com'" xr:uid="{8B2D7875-55EF-4809-B2CC-950BFBB755A4}"/>
    <hyperlink ref="I600" r:id="rId327" display="'anand.kulkarni@kamalenvirotech.com'" xr:uid="{5F77147D-5A6B-4BDC-9082-320C8BF98383}"/>
    <hyperlink ref="I601" r:id="rId328" display="'purchase@pcscontrols.in'" xr:uid="{BC3DEC8C-E6BA-47A7-9173-409D530D001E}"/>
    <hyperlink ref="I602" r:id="rId329" display="'mvp@dinex.in'" xr:uid="{4591659F-65A8-44F1-B1F1-8BAD4DDC61D2}"/>
    <hyperlink ref="I605" r:id="rId330" display="'shubhadeep.dutta@ekamobility.com'" xr:uid="{C5739969-ED3B-4395-AB84-B24126B0142F}"/>
    <hyperlink ref="I608" r:id="rId331" display="'BTapkir@tox-in.com'" xr:uid="{B9AF43DD-D964-4AF0-9F6F-1C241BBB20D7}"/>
    <hyperlink ref="I570" r:id="rId332" xr:uid="{118B1857-8B11-4E0D-9CEF-B2A89936FD17}"/>
    <hyperlink ref="I595" r:id="rId333" xr:uid="{47E57150-74DD-4B85-888B-AEE52B843459}"/>
    <hyperlink ref="I597" r:id="rId334" xr:uid="{C055621F-0DBA-468B-BF58-6A8DA4E4D89C}"/>
    <hyperlink ref="I609" r:id="rId335" xr:uid="{89581257-D1D9-4889-9DD6-38829D53AD43}"/>
    <hyperlink ref="I610" r:id="rId336" xr:uid="{2435C704-CDD3-448C-96FA-57F2A2F21A30}"/>
    <hyperlink ref="I611" r:id="rId337" xr:uid="{28771115-2E72-4BEB-B903-18676CA5D4D1}"/>
    <hyperlink ref="I627" r:id="rId338" xr:uid="{3089B926-F775-44F9-856A-344D9D4501DA}"/>
    <hyperlink ref="I628" r:id="rId339" xr:uid="{8C956408-D628-466C-BDFB-EAD604749131}"/>
    <hyperlink ref="I629" r:id="rId340" xr:uid="{5270BE42-1B50-42E2-B337-820FEF66F402}"/>
    <hyperlink ref="I630" r:id="rId341" xr:uid="{B91B6DCE-9EEB-45F2-B07C-5C53B4323B0A}"/>
    <hyperlink ref="I631" r:id="rId342" xr:uid="{0FF13F4A-FE9E-485E-822E-A355EDA9ADC1}"/>
    <hyperlink ref="I635" r:id="rId343" xr:uid="{009AF920-DE58-41E9-AB62-4E64ED072A13}"/>
    <hyperlink ref="I636" r:id="rId344" xr:uid="{5AA0D5A6-405B-4F8C-9077-6FB2EB76E5EB}"/>
    <hyperlink ref="I625" r:id="rId345" xr:uid="{7C07085A-4702-4F3A-94FC-905AB0CDE6B5}"/>
    <hyperlink ref="I640" r:id="rId346" display="'mgr.purchase@arcepolymers.com'" xr:uid="{C5A20440-6864-4FB8-8F74-7746C70AC353}"/>
    <hyperlink ref="I641" r:id="rId347" display="'mgr.purchase@arcepolymers.com'" xr:uid="{202237B3-731F-4A63-8638-A4F310AA07A7}"/>
    <hyperlink ref="I656" r:id="rId348" display="'dharmesh-prajapati@alstomgroup.com'" xr:uid="{50B09D31-7381-4663-9E07-11D45F891DBE}"/>
    <hyperlink ref="I632" r:id="rId349" xr:uid="{FA6D4227-0771-4301-9A2A-5254B4E48CD8}"/>
    <hyperlink ref="I647" r:id="rId350" xr:uid="{D2D37BDC-26B3-41B2-9A69-FF3944412755}"/>
    <hyperlink ref="I648" r:id="rId351" xr:uid="{867FED20-F3EB-4F6A-828C-362595055B05}"/>
    <hyperlink ref="I649" r:id="rId352" xr:uid="{839C99AD-3AB9-4D61-B82F-D97905C9BA18}"/>
    <hyperlink ref="I650" r:id="rId353" xr:uid="{0CA897E1-AE96-4CE5-A54A-37A70A61D715}"/>
    <hyperlink ref="I651" r:id="rId354" xr:uid="{59118118-DF65-4F8B-9BF2-EA60DC280E70}"/>
    <hyperlink ref="I655" r:id="rId355" xr:uid="{08D5387E-0122-4751-A701-36F277D8F341}"/>
    <hyperlink ref="I657" r:id="rId356" xr:uid="{F7E6EFFA-E45D-4F86-A9DB-E806FB0DC47E}"/>
    <hyperlink ref="I658" r:id="rId357" xr:uid="{E5B03DB4-6DDF-47CE-8862-40472EF492E0}"/>
    <hyperlink ref="I663" r:id="rId358" xr:uid="{3D8ACF3C-25E8-4E71-BF3B-051009353B3B}"/>
    <hyperlink ref="I665" r:id="rId359" xr:uid="{DD01B359-B110-4CB1-9934-7DA7E981383D}"/>
    <hyperlink ref="I666" r:id="rId360" xr:uid="{B506E7E2-BF1C-4D4C-AB0A-93456C067C07}"/>
    <hyperlink ref="I667" r:id="rId361" xr:uid="{94BBE615-D051-4B0A-8552-6EE0D79C9F52}"/>
    <hyperlink ref="H667" r:id="rId362" display="amar_83277@rediffmail.com" xr:uid="{5EF72A1D-8C9A-40C6-B06C-09602B32F333}"/>
    <hyperlink ref="I623" r:id="rId363" xr:uid="{AA3DBA7F-E020-443A-BCCF-22BCEBB17BD6}"/>
    <hyperlink ref="I659" r:id="rId364" display="'boraderohit533@gmail.com'" xr:uid="{9E20E5FA-AA19-4782-B7F0-EB6D487727D7}"/>
    <hyperlink ref="I678" r:id="rId365" display="'ashishgoradia@goradia.in'" xr:uid="{C38D05C1-BFC6-4158-9A56-5330D77DDE09}"/>
    <hyperlink ref="I684" r:id="rId366" display="'project08.cta@gmail.com'" xr:uid="{2A21E2B0-FDA5-47C3-B465-D82D464C055F}"/>
    <hyperlink ref="I690" r:id="rId367" display="'psr.em.engineeringservices@gmail.com'" xr:uid="{9ABAD73F-F886-4E02-97DA-57818E007DDC}"/>
    <hyperlink ref="I692" r:id="rId368" xr:uid="{DA3A9066-410D-4DCD-8198-BEB31BA5825F}"/>
    <hyperlink ref="I696" r:id="rId369" display="'factory@leoengineer.com'" xr:uid="{91D5AA06-22B4-45CB-8F51-837B6A54A553}"/>
    <hyperlink ref="I702" r:id="rId370" display="'vinaymalik@pioneerengineeringsolutions.com'" xr:uid="{8291BE07-CE9C-4632-93CE-330DC621D147}"/>
    <hyperlink ref="I704" r:id="rId371" display="'sandeep.awari@meccalte.in'" xr:uid="{6F3F53F3-9E38-4055-BE38-23F3A1971CDE}"/>
    <hyperlink ref="I705" r:id="rId372" display="'dhananjay.deshpande@kirloskar.com'" xr:uid="{492A453B-FBB9-487D-ADFF-8B1F3FD2FCA0}"/>
    <hyperlink ref="I701" r:id="rId373" display="'shree.automationandsystem@gmail.com'" xr:uid="{78C894D6-619A-4FB6-8002-31BFCB2D4233}"/>
    <hyperlink ref="I668" r:id="rId374" xr:uid="{043893A6-6998-455D-ABA4-0446A3D4B261}"/>
    <hyperlink ref="I669" r:id="rId375" xr:uid="{535077F5-DCB5-4A19-AAD8-AA4F4DB5BAD2}"/>
    <hyperlink ref="I670" r:id="rId376" xr:uid="{40BCF0F4-744B-49C8-BF1D-19BE2A017CB3}"/>
    <hyperlink ref="I671" r:id="rId377" xr:uid="{8E215E4C-8E10-47B1-B901-71CE8678C2B2}"/>
    <hyperlink ref="I679" r:id="rId378" xr:uid="{492E017E-AA6D-47E1-AAC4-590511EDF299}"/>
    <hyperlink ref="I680" r:id="rId379" xr:uid="{C01A1875-AF15-4A60-8A66-5122FA737A9F}"/>
    <hyperlink ref="I682" r:id="rId380" xr:uid="{314F483F-6F69-4C08-A6E7-12AF210469BA}"/>
    <hyperlink ref="I683" r:id="rId381" xr:uid="{D5C554B7-0955-496C-B369-32DAC43F922C}"/>
    <hyperlink ref="I686" r:id="rId382" xr:uid="{5CD96377-0C9D-4744-B68F-344A6E985046}"/>
    <hyperlink ref="I687" r:id="rId383" xr:uid="{BB7CE3B5-1B36-47F7-A1EE-81A07F206EAF}"/>
    <hyperlink ref="I688" r:id="rId384" xr:uid="{090D3D13-3C76-4894-8D5A-AC4C6028B1F0}"/>
    <hyperlink ref="I694" r:id="rId385" xr:uid="{6A61A6EB-74F6-42E8-894A-B61D36C0F73A}"/>
    <hyperlink ref="I697" r:id="rId386" xr:uid="{E5FE7AE5-4818-4951-A5BC-4679A213BFB7}"/>
    <hyperlink ref="I698" r:id="rId387" xr:uid="{1AEB47E7-A276-4AA4-95C1-F101C6A310C1}"/>
    <hyperlink ref="I699" r:id="rId388" xr:uid="{A909BC5F-EAFB-4FA1-AE86-267D43B451B8}"/>
    <hyperlink ref="I706" r:id="rId389" xr:uid="{46034465-0E37-4D14-8D6B-B6AC61A9AC22}"/>
    <hyperlink ref="I730" r:id="rId390" xr:uid="{2F27DFDF-B18C-437C-AE3C-CD320AE4CFE1}"/>
    <hyperlink ref="I720" r:id="rId391" xr:uid="{F2E3901C-D478-43D3-BEAE-F3D74FE1F813}"/>
    <hyperlink ref="I727" r:id="rId392" xr:uid="{35479CC7-2EB1-4C44-A5B7-11DD15B1CFC4}"/>
    <hyperlink ref="I726" r:id="rId393" xr:uid="{3C1FB629-EA58-4A87-9E29-4283351EF1ED}"/>
    <hyperlink ref="I710" r:id="rId394" xr:uid="{69ABB9A8-94EB-46F3-AD43-EE63E6DEAA0A}"/>
    <hyperlink ref="I716" r:id="rId395" xr:uid="{05FC9763-DA6B-4FC1-B641-E084D7D8D737}"/>
    <hyperlink ref="I717" r:id="rId396" xr:uid="{D2696FE0-B9E6-4A2A-A9FD-E16A67B37782}"/>
    <hyperlink ref="I718" r:id="rId397" xr:uid="{8A3C9D37-C5BF-43C0-B77E-157131D4429D}"/>
    <hyperlink ref="I721" r:id="rId398" xr:uid="{BDC99E17-9FA1-4171-AA01-476E86E3949D}"/>
    <hyperlink ref="I722" r:id="rId399" xr:uid="{7D1BB630-B88F-4536-A1B8-5033F1989C79}"/>
    <hyperlink ref="I731" r:id="rId400" xr:uid="{5E223930-4074-475C-9678-6B31FE40E959}"/>
    <hyperlink ref="I735" r:id="rId401" xr:uid="{6732455D-F7D1-4E51-836C-48AE3C9F5E35}"/>
    <hyperlink ref="I736" r:id="rId402" xr:uid="{DE3F7C61-6722-4BB7-838B-6BA523E33955}"/>
    <hyperlink ref="I738" r:id="rId403" xr:uid="{13A10445-90DC-4F2A-BEEB-A3DBB2494A3E}"/>
    <hyperlink ref="I739" r:id="rId404" xr:uid="{F3406A06-6F31-4BA8-A6C8-8BD9FFD494A5}"/>
    <hyperlink ref="I740" r:id="rId405" xr:uid="{199E9993-E7BE-419A-8BE5-056724AB88B1}"/>
    <hyperlink ref="I757" r:id="rId406" display="'haidarali.darveshi@hyosung.com'" xr:uid="{6D04711A-510E-4885-9612-24079509C513}"/>
    <hyperlink ref="I741" r:id="rId407" xr:uid="{E0ABB5F9-4816-42FD-BEB1-86590410D73B}"/>
    <hyperlink ref="I742" r:id="rId408" xr:uid="{07BEBCC0-5CC8-47D2-A168-6B083147E88A}"/>
    <hyperlink ref="I743" r:id="rId409" xr:uid="{3705B240-5802-4051-A2D2-F7E4485F475F}"/>
    <hyperlink ref="I744" r:id="rId410" xr:uid="{3DAB406A-0EB8-4DDF-8975-BF90FF7437D2}"/>
    <hyperlink ref="I745" r:id="rId411" xr:uid="{D0DDF626-BB21-4A76-8FC1-5E1E0259A46A}"/>
    <hyperlink ref="I746" r:id="rId412" xr:uid="{5E3EEA05-9FE6-49BF-9DAE-5188BF5FD2C4}"/>
    <hyperlink ref="I747" r:id="rId413" xr:uid="{FE262A7C-4ADF-4C22-B436-1EE1658C50D4}"/>
    <hyperlink ref="I748" r:id="rId414" xr:uid="{4B1E6944-40D4-4E89-8F55-2D10DAA112EC}"/>
    <hyperlink ref="I749" r:id="rId415" xr:uid="{17AC669A-E1A0-44F7-AEA1-80B78671F045}"/>
    <hyperlink ref="I750" r:id="rId416" xr:uid="{D969ED70-9827-4C4C-A06F-8A59A741F136}"/>
    <hyperlink ref="I751" r:id="rId417" xr:uid="{C514867E-9C70-4C9E-AF03-64535C411B97}"/>
    <hyperlink ref="I753" r:id="rId418" xr:uid="{A63F9A2E-7695-4B8E-9881-72BC9D5B4D21}"/>
    <hyperlink ref="I754" r:id="rId419" xr:uid="{89CA9C35-9BD2-440C-B2EF-1F3FB12B4D4E}"/>
    <hyperlink ref="I759" r:id="rId420" xr:uid="{5285B00E-1F3C-4097-B9C8-220335D73CCE}"/>
    <hyperlink ref="I761" r:id="rId421" xr:uid="{4ECA5F1F-BB0D-40BD-932A-6AB1A658AC36}"/>
    <hyperlink ref="I762" r:id="rId422" xr:uid="{037D6CE8-B73C-4EA9-83B1-3D67F44B4428}"/>
    <hyperlink ref="I703" r:id="rId423" display="'prakashdunge@weichai.com'" xr:uid="{5976B1DA-D045-4A7C-8C3F-CD67956F93C5}"/>
    <hyperlink ref="I772" r:id="rId424" xr:uid="{74BE61A4-80F9-402C-A942-76334357F7C3}"/>
    <hyperlink ref="I773" r:id="rId425" xr:uid="{640AC59B-A170-429B-BB1A-34E25811034E}"/>
    <hyperlink ref="I778" r:id="rId426" xr:uid="{81F83896-CC56-4F6C-AB68-028FC2ED834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J1000"/>
  <sheetViews>
    <sheetView workbookViewId="0">
      <selection activeCell="B5" sqref="B5"/>
    </sheetView>
  </sheetViews>
  <sheetFormatPr defaultColWidth="14.42578125" defaultRowHeight="15" customHeight="1"/>
  <cols>
    <col min="1" max="1" width="4.28515625" customWidth="1"/>
    <col min="2" max="2" width="20" customWidth="1"/>
    <col min="3" max="3" width="8.7109375" customWidth="1"/>
    <col min="4" max="4" width="19.28515625" customWidth="1"/>
    <col min="5" max="5" width="13.5703125" customWidth="1"/>
    <col min="6" max="6" width="12.7109375" customWidth="1"/>
    <col min="7" max="7" width="6.85546875" customWidth="1"/>
    <col min="8" max="8" width="37.140625" customWidth="1"/>
    <col min="9" max="9" width="18.85546875" customWidth="1"/>
    <col min="10" max="11" width="8.7109375" customWidth="1"/>
    <col min="12" max="12" width="11.140625" customWidth="1"/>
    <col min="13" max="36" width="8.7109375" customWidth="1"/>
  </cols>
  <sheetData>
    <row r="1" spans="1:36" ht="15" customHeight="1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</row>
    <row r="2" spans="1:36" ht="36" customHeight="1">
      <c r="A2" s="37"/>
      <c r="B2" s="752" t="s">
        <v>5112</v>
      </c>
      <c r="C2" s="753"/>
      <c r="D2" s="753"/>
      <c r="E2" s="753"/>
      <c r="F2" s="753"/>
      <c r="G2" s="753"/>
      <c r="H2" s="753"/>
      <c r="I2" s="753"/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4">
        <f ca="1">TODAY()</f>
        <v>46197</v>
      </c>
      <c r="X2" s="753"/>
      <c r="Y2" s="755"/>
    </row>
    <row r="3" spans="1:36" ht="21.75" customHeight="1">
      <c r="A3" s="192"/>
      <c r="B3" s="38" t="s">
        <v>5113</v>
      </c>
      <c r="C3" s="192"/>
      <c r="D3" s="39" t="s">
        <v>5114</v>
      </c>
      <c r="E3" s="40" t="s">
        <v>5115</v>
      </c>
      <c r="F3" s="40" t="s">
        <v>5116</v>
      </c>
      <c r="G3" s="192"/>
      <c r="H3" s="41" t="s">
        <v>5117</v>
      </c>
      <c r="I3" s="193" t="s">
        <v>5118</v>
      </c>
      <c r="K3" s="42" t="s">
        <v>5119</v>
      </c>
      <c r="L3" s="43" t="s">
        <v>5120</v>
      </c>
      <c r="N3" s="756" t="s">
        <v>5121</v>
      </c>
      <c r="O3" s="755"/>
      <c r="P3" s="192"/>
      <c r="Q3" s="192"/>
      <c r="R3" s="192"/>
      <c r="S3" s="192"/>
      <c r="T3" s="192"/>
      <c r="U3" s="192"/>
      <c r="V3" s="192"/>
      <c r="W3" s="192"/>
      <c r="X3" s="192"/>
      <c r="Y3" s="194"/>
      <c r="Z3" s="192"/>
      <c r="AA3" s="192"/>
      <c r="AB3" s="192"/>
      <c r="AC3" s="192"/>
      <c r="AD3" s="192"/>
      <c r="AE3" s="192"/>
      <c r="AF3" s="192"/>
      <c r="AG3" s="192"/>
      <c r="AH3" s="192"/>
      <c r="AI3" s="192"/>
      <c r="AJ3" s="192"/>
    </row>
    <row r="4" spans="1:36" ht="39.75" customHeight="1">
      <c r="A4" s="192"/>
      <c r="B4" s="42">
        <f>'DATA SHEET'!$S$17</f>
        <v>828</v>
      </c>
      <c r="D4" s="44">
        <f ca="1">'DATA SHEET'!L11</f>
        <v>0</v>
      </c>
      <c r="E4" s="44">
        <f ca="1">'DATA SHEET'!L12</f>
        <v>8</v>
      </c>
      <c r="F4" s="45">
        <f ca="1">'DATA SHEET'!L17</f>
        <v>11</v>
      </c>
      <c r="H4" s="46">
        <f>'DATA SHEET'!L14</f>
        <v>510030495.59799999</v>
      </c>
      <c r="I4" s="47">
        <f>'DATA SHEET'!L15</f>
        <v>33905258</v>
      </c>
      <c r="K4" s="42">
        <f>'DATA SHEET'!L16</f>
        <v>828</v>
      </c>
      <c r="L4" s="43">
        <f ca="1">'DATA SHEET'!L13</f>
        <v>287</v>
      </c>
      <c r="N4" s="757">
        <f>'DATA SHEET'!H11</f>
        <v>8</v>
      </c>
      <c r="O4" s="755"/>
      <c r="P4" s="192"/>
      <c r="Q4" s="192"/>
      <c r="R4" s="192"/>
      <c r="S4" s="192"/>
      <c r="T4" s="192"/>
      <c r="U4" s="192"/>
      <c r="V4" s="192"/>
      <c r="W4" s="192"/>
      <c r="X4" s="192"/>
      <c r="Y4" s="194"/>
      <c r="Z4" s="192"/>
      <c r="AA4" s="192"/>
      <c r="AB4" s="192"/>
      <c r="AC4" s="192"/>
      <c r="AD4" s="192"/>
      <c r="AE4" s="192"/>
      <c r="AF4" s="192"/>
      <c r="AG4" s="192"/>
      <c r="AH4" s="192"/>
      <c r="AI4" s="192"/>
      <c r="AJ4" s="192"/>
    </row>
    <row r="5" spans="1:36" ht="14.25" customHeight="1">
      <c r="A5" s="192"/>
      <c r="B5" s="195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4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</row>
    <row r="6" spans="1:36" ht="14.25" customHeight="1">
      <c r="A6" s="192"/>
      <c r="B6" s="195"/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4"/>
      <c r="Z6" s="192"/>
      <c r="AA6" s="192"/>
      <c r="AB6" s="192"/>
      <c r="AC6" s="192"/>
      <c r="AD6" s="192"/>
      <c r="AE6" s="192"/>
      <c r="AF6" s="192"/>
      <c r="AG6" s="192"/>
      <c r="AH6" s="192"/>
      <c r="AI6" s="192"/>
      <c r="AJ6" s="192"/>
    </row>
    <row r="7" spans="1:36" ht="14.25" customHeight="1">
      <c r="A7" s="192"/>
      <c r="B7" s="195"/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4"/>
      <c r="Z7" s="192"/>
      <c r="AA7" s="192"/>
      <c r="AB7" s="192"/>
      <c r="AC7" s="192"/>
      <c r="AD7" s="192"/>
      <c r="AE7" s="192"/>
      <c r="AF7" s="192"/>
      <c r="AG7" s="192"/>
      <c r="AH7" s="192"/>
      <c r="AI7" s="192"/>
      <c r="AJ7" s="192"/>
    </row>
    <row r="8" spans="1:36" ht="14.25" customHeight="1">
      <c r="A8" s="192"/>
      <c r="B8" s="195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4"/>
      <c r="Z8" s="192"/>
      <c r="AA8" s="192"/>
      <c r="AB8" s="192"/>
      <c r="AC8" s="192"/>
      <c r="AD8" s="192"/>
      <c r="AE8" s="192"/>
      <c r="AF8" s="192"/>
      <c r="AG8" s="192"/>
      <c r="AH8" s="192"/>
      <c r="AI8" s="192"/>
      <c r="AJ8" s="192"/>
    </row>
    <row r="9" spans="1:36" ht="14.25" customHeight="1">
      <c r="A9" s="192"/>
      <c r="B9" s="195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4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</row>
    <row r="10" spans="1:36" ht="14.25" customHeight="1">
      <c r="A10" s="192"/>
      <c r="B10" s="195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4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</row>
    <row r="11" spans="1:36" ht="14.25" customHeight="1">
      <c r="A11" s="192"/>
      <c r="B11" s="195"/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4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</row>
    <row r="12" spans="1:36" ht="14.25" customHeight="1">
      <c r="A12" s="192"/>
      <c r="B12" s="195"/>
      <c r="C12" s="192"/>
      <c r="D12" s="192"/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Y12" s="194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</row>
    <row r="13" spans="1:36" ht="14.25" customHeight="1">
      <c r="A13" s="192"/>
      <c r="B13" s="195"/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Y13" s="194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</row>
    <row r="14" spans="1:36" ht="14.25" customHeight="1">
      <c r="A14" s="192"/>
      <c r="B14" s="195"/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4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</row>
    <row r="15" spans="1:36" ht="14.25" customHeight="1">
      <c r="A15" s="192"/>
      <c r="B15" s="195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4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</row>
    <row r="16" spans="1:36" ht="14.25" customHeight="1">
      <c r="A16" s="192"/>
      <c r="B16" s="195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4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</row>
    <row r="17" spans="1:36" ht="14.25" customHeight="1">
      <c r="A17" s="192"/>
      <c r="B17" s="195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4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</row>
    <row r="18" spans="1:36" ht="14.25" customHeight="1">
      <c r="A18" s="192"/>
      <c r="B18" s="195"/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4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</row>
    <row r="19" spans="1:36" ht="14.25" customHeight="1">
      <c r="A19" s="192"/>
      <c r="B19" s="195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4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</row>
    <row r="20" spans="1:36" ht="14.25" customHeight="1">
      <c r="A20" s="192"/>
      <c r="B20" s="195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2"/>
      <c r="P20" s="192"/>
      <c r="Q20" s="192"/>
      <c r="R20" s="192"/>
      <c r="S20" s="192"/>
      <c r="T20" s="192"/>
      <c r="U20" s="192"/>
      <c r="V20" s="192"/>
      <c r="W20" s="192"/>
      <c r="X20" s="192"/>
      <c r="Y20" s="194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</row>
    <row r="21" spans="1:36" ht="14.25" customHeight="1">
      <c r="A21" s="192"/>
      <c r="B21" s="195"/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4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</row>
    <row r="22" spans="1:36" ht="14.25" customHeight="1">
      <c r="A22" s="192"/>
      <c r="B22" s="195"/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4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</row>
    <row r="23" spans="1:36" ht="14.25" customHeight="1">
      <c r="A23" s="192"/>
      <c r="B23" s="195"/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4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</row>
    <row r="24" spans="1:36" ht="14.25" customHeight="1">
      <c r="A24" s="192"/>
      <c r="B24" s="195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4"/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</row>
    <row r="25" spans="1:36" ht="14.25" customHeight="1">
      <c r="A25" s="192"/>
      <c r="B25" s="195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4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</row>
    <row r="26" spans="1:36" ht="14.25" customHeight="1">
      <c r="A26" s="192"/>
      <c r="B26" s="195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92"/>
      <c r="R26" s="192"/>
      <c r="S26" s="192"/>
      <c r="T26" s="192"/>
      <c r="U26" s="192"/>
      <c r="V26" s="192"/>
      <c r="W26" s="192"/>
      <c r="X26" s="192"/>
      <c r="Y26" s="194"/>
      <c r="Z26" s="192"/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</row>
    <row r="27" spans="1:36" ht="14.25" customHeight="1">
      <c r="A27" s="192"/>
      <c r="B27" s="195"/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  <c r="T27" s="192"/>
      <c r="U27" s="192"/>
      <c r="V27" s="192"/>
      <c r="W27" s="192"/>
      <c r="X27" s="192"/>
      <c r="Y27" s="194"/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</row>
    <row r="28" spans="1:36" ht="14.25" customHeight="1">
      <c r="A28" s="192"/>
      <c r="B28" s="195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2"/>
      <c r="T28" s="192"/>
      <c r="U28" s="192"/>
      <c r="V28" s="192"/>
      <c r="W28" s="192"/>
      <c r="X28" s="192"/>
      <c r="Y28" s="194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</row>
    <row r="29" spans="1:36" ht="14.25" customHeight="1">
      <c r="A29" s="192"/>
      <c r="B29" s="195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2"/>
      <c r="T29" s="192"/>
      <c r="U29" s="192"/>
      <c r="V29" s="192"/>
      <c r="W29" s="192"/>
      <c r="X29" s="192"/>
      <c r="Y29" s="194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</row>
    <row r="30" spans="1:36" ht="14.25" customHeight="1">
      <c r="A30" s="192"/>
      <c r="B30" s="195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  <c r="S30" s="192"/>
      <c r="T30" s="192"/>
      <c r="U30" s="192"/>
      <c r="V30" s="192"/>
      <c r="W30" s="192"/>
      <c r="X30" s="192"/>
      <c r="Y30" s="194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</row>
    <row r="31" spans="1:36" ht="14.25" customHeight="1">
      <c r="A31" s="192"/>
      <c r="B31" s="195"/>
      <c r="C31" s="192"/>
      <c r="D31" s="192"/>
      <c r="E31" s="192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4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</row>
    <row r="32" spans="1:36" ht="14.25" customHeight="1">
      <c r="A32" s="192"/>
      <c r="B32" s="195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  <c r="U32" s="192"/>
      <c r="V32" s="192"/>
      <c r="W32" s="192"/>
      <c r="X32" s="192"/>
      <c r="Y32" s="194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</row>
    <row r="33" spans="1:36" ht="14.25" customHeight="1">
      <c r="A33" s="192"/>
      <c r="B33" s="195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4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</row>
    <row r="34" spans="1:36" ht="14.25" customHeight="1">
      <c r="A34" s="192"/>
      <c r="B34" s="195"/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92"/>
      <c r="X34" s="192"/>
      <c r="Y34" s="194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</row>
    <row r="35" spans="1:36" ht="14.25" customHeight="1">
      <c r="A35" s="192"/>
      <c r="B35" s="195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4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</row>
    <row r="36" spans="1:36" ht="14.25" customHeight="1">
      <c r="A36" s="192"/>
      <c r="B36" s="195"/>
      <c r="C36" s="192"/>
      <c r="D36" s="192"/>
      <c r="E36" s="192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2"/>
      <c r="Y36" s="194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</row>
    <row r="37" spans="1:36" ht="14.25" customHeight="1">
      <c r="A37" s="192"/>
      <c r="B37" s="195"/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4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</row>
    <row r="38" spans="1:36" ht="14.25" customHeight="1">
      <c r="A38" s="192"/>
      <c r="B38" s="195"/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2"/>
      <c r="Y38" s="194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</row>
    <row r="39" spans="1:36" ht="14.25" customHeight="1">
      <c r="A39" s="192"/>
      <c r="B39" s="195"/>
      <c r="C39" s="192"/>
      <c r="D39" s="192"/>
      <c r="E39" s="192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Y39" s="194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</row>
    <row r="40" spans="1:36" ht="14.25" customHeight="1">
      <c r="A40" s="192"/>
      <c r="B40" s="195"/>
      <c r="C40" s="192"/>
      <c r="D40" s="192"/>
      <c r="E40" s="19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4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</row>
    <row r="41" spans="1:36" ht="14.25" customHeight="1">
      <c r="A41" s="192"/>
      <c r="B41" s="195"/>
      <c r="C41" s="192"/>
      <c r="D41" s="192"/>
      <c r="E41" s="192"/>
      <c r="F41" s="192"/>
      <c r="G41" s="192"/>
      <c r="H41" s="192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Y41" s="194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</row>
    <row r="42" spans="1:36" ht="14.25" customHeight="1">
      <c r="A42" s="192"/>
      <c r="B42" s="195"/>
      <c r="C42" s="192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4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</row>
    <row r="43" spans="1:36" ht="14.25" customHeight="1">
      <c r="A43" s="192"/>
      <c r="B43" s="195"/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Y43" s="194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</row>
    <row r="44" spans="1:36" ht="14.25" customHeight="1">
      <c r="A44" s="192"/>
      <c r="B44" s="195"/>
      <c r="C44" s="192"/>
      <c r="D44" s="192"/>
      <c r="E44" s="192"/>
      <c r="F44" s="192"/>
      <c r="G44" s="192"/>
      <c r="H44" s="192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Y44" s="194"/>
      <c r="Z44" s="192"/>
      <c r="AA44" s="192"/>
      <c r="AB44" s="192"/>
      <c r="AC44" s="192"/>
      <c r="AD44" s="192"/>
      <c r="AE44" s="192"/>
      <c r="AF44" s="192"/>
      <c r="AG44" s="192"/>
      <c r="AH44" s="192"/>
      <c r="AI44" s="192"/>
      <c r="AJ44" s="192"/>
    </row>
    <row r="45" spans="1:36" ht="14.25" customHeight="1">
      <c r="A45" s="192"/>
      <c r="B45" s="195"/>
      <c r="C45" s="192"/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4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</row>
    <row r="46" spans="1:36" ht="14.25" customHeight="1">
      <c r="A46" s="192"/>
      <c r="B46" s="195"/>
      <c r="C46" s="192"/>
      <c r="D46" s="192"/>
      <c r="E46" s="192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Y46" s="194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  <c r="AJ46" s="192"/>
    </row>
    <row r="47" spans="1:36" ht="14.25" customHeight="1">
      <c r="A47" s="192"/>
      <c r="B47" s="195"/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4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</row>
    <row r="48" spans="1:36" ht="14.25" customHeight="1">
      <c r="A48" s="192"/>
      <c r="B48" s="195"/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2"/>
      <c r="V48" s="192"/>
      <c r="W48" s="192"/>
      <c r="X48" s="192"/>
      <c r="Y48" s="194"/>
      <c r="Z48" s="192"/>
      <c r="AA48" s="192"/>
      <c r="AB48" s="192"/>
      <c r="AC48" s="192"/>
      <c r="AD48" s="192"/>
      <c r="AE48" s="192"/>
      <c r="AF48" s="192"/>
      <c r="AG48" s="192"/>
      <c r="AH48" s="192"/>
      <c r="AI48" s="192"/>
      <c r="AJ48" s="192"/>
    </row>
    <row r="49" spans="1:36" ht="14.25" customHeight="1">
      <c r="A49" s="192"/>
      <c r="B49" s="195"/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Y49" s="194"/>
      <c r="Z49" s="192"/>
      <c r="AA49" s="192"/>
      <c r="AB49" s="192"/>
      <c r="AC49" s="192"/>
      <c r="AD49" s="192"/>
      <c r="AE49" s="192"/>
      <c r="AF49" s="192"/>
      <c r="AG49" s="192"/>
      <c r="AH49" s="192"/>
      <c r="AI49" s="192"/>
      <c r="AJ49" s="192"/>
    </row>
    <row r="50" spans="1:36" ht="14.25" customHeight="1">
      <c r="A50" s="192"/>
      <c r="B50" s="195"/>
      <c r="C50" s="192"/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94"/>
      <c r="Z50" s="192"/>
      <c r="AA50" s="192"/>
      <c r="AB50" s="192"/>
      <c r="AC50" s="192"/>
      <c r="AD50" s="192"/>
      <c r="AE50" s="192"/>
      <c r="AF50" s="192"/>
      <c r="AG50" s="192"/>
      <c r="AH50" s="192"/>
      <c r="AI50" s="192"/>
      <c r="AJ50" s="192"/>
    </row>
    <row r="51" spans="1:36" ht="14.25" customHeight="1">
      <c r="A51" s="192"/>
      <c r="B51" s="195"/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4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</row>
    <row r="52" spans="1:36" ht="14.25" customHeight="1">
      <c r="A52" s="192"/>
      <c r="B52" s="195"/>
      <c r="C52" s="192"/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Y52" s="194"/>
      <c r="Z52" s="192"/>
      <c r="AA52" s="192"/>
      <c r="AB52" s="192"/>
      <c r="AC52" s="192"/>
      <c r="AD52" s="192"/>
      <c r="AE52" s="192"/>
      <c r="AF52" s="192"/>
      <c r="AG52" s="192"/>
      <c r="AH52" s="192"/>
      <c r="AI52" s="192"/>
      <c r="AJ52" s="192"/>
    </row>
    <row r="53" spans="1:36" ht="14.25" customHeight="1">
      <c r="A53" s="192"/>
      <c r="B53" s="195"/>
      <c r="C53" s="192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Y53" s="194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  <c r="AJ53" s="192"/>
    </row>
    <row r="54" spans="1:36" ht="14.25" customHeight="1">
      <c r="A54" s="192"/>
      <c r="B54" s="195"/>
      <c r="C54" s="192"/>
      <c r="D54" s="192"/>
      <c r="E54" s="192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Y54" s="194"/>
      <c r="Z54" s="192"/>
      <c r="AA54" s="192"/>
      <c r="AB54" s="192"/>
      <c r="AC54" s="192"/>
      <c r="AD54" s="192"/>
      <c r="AE54" s="192"/>
      <c r="AF54" s="192"/>
      <c r="AG54" s="192"/>
      <c r="AH54" s="192"/>
      <c r="AI54" s="192"/>
      <c r="AJ54" s="192"/>
    </row>
    <row r="55" spans="1:36" ht="14.25" customHeight="1">
      <c r="A55" s="192"/>
      <c r="B55" s="195"/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4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</row>
    <row r="56" spans="1:36" ht="14.25" customHeight="1">
      <c r="A56" s="192"/>
      <c r="B56" s="195"/>
      <c r="C56" s="192"/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4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</row>
    <row r="57" spans="1:36" ht="14.25" customHeight="1">
      <c r="A57" s="192"/>
      <c r="B57" s="195"/>
      <c r="C57" s="192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Y57" s="194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</row>
    <row r="58" spans="1:36" ht="14.25" customHeight="1">
      <c r="A58" s="192"/>
      <c r="B58" s="195"/>
      <c r="C58" s="192"/>
      <c r="D58" s="192"/>
      <c r="E58" s="192"/>
      <c r="F58" s="192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Y58" s="194"/>
      <c r="Z58" s="192"/>
      <c r="AA58" s="192"/>
      <c r="AB58" s="192"/>
      <c r="AC58" s="192"/>
      <c r="AD58" s="192"/>
      <c r="AE58" s="192"/>
      <c r="AF58" s="192"/>
      <c r="AG58" s="192"/>
      <c r="AH58" s="192"/>
      <c r="AI58" s="192"/>
      <c r="AJ58" s="192"/>
    </row>
    <row r="59" spans="1:36" ht="14.25" customHeight="1">
      <c r="A59" s="192"/>
      <c r="B59" s="195"/>
      <c r="C59" s="192"/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Y59" s="194"/>
      <c r="Z59" s="192"/>
      <c r="AA59" s="192"/>
      <c r="AB59" s="192"/>
      <c r="AC59" s="192"/>
      <c r="AD59" s="192"/>
      <c r="AE59" s="192"/>
      <c r="AF59" s="192"/>
      <c r="AG59" s="192"/>
      <c r="AH59" s="192"/>
      <c r="AI59" s="192"/>
      <c r="AJ59" s="192"/>
    </row>
    <row r="60" spans="1:36" ht="14.25" customHeight="1">
      <c r="A60" s="192"/>
      <c r="B60" s="195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Y60" s="194"/>
      <c r="Z60" s="192"/>
      <c r="AA60" s="192"/>
      <c r="AB60" s="192"/>
      <c r="AC60" s="192"/>
      <c r="AD60" s="192"/>
      <c r="AE60" s="192"/>
      <c r="AF60" s="192"/>
      <c r="AG60" s="192"/>
      <c r="AH60" s="192"/>
      <c r="AI60" s="192"/>
      <c r="AJ60" s="192"/>
    </row>
    <row r="61" spans="1:36" ht="14.25" customHeight="1">
      <c r="A61" s="192"/>
      <c r="B61" s="195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Y61" s="194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  <c r="AJ61" s="192"/>
    </row>
    <row r="62" spans="1:36" ht="14.25" customHeight="1">
      <c r="A62" s="192"/>
      <c r="B62" s="195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Y62" s="194"/>
      <c r="Z62" s="192"/>
      <c r="AA62" s="192"/>
      <c r="AB62" s="192"/>
      <c r="AC62" s="192"/>
      <c r="AD62" s="192"/>
      <c r="AE62" s="192"/>
      <c r="AF62" s="192"/>
      <c r="AG62" s="192"/>
      <c r="AH62" s="192"/>
      <c r="AI62" s="192"/>
      <c r="AJ62" s="192"/>
    </row>
    <row r="63" spans="1:36" ht="14.25" customHeight="1">
      <c r="A63" s="192"/>
      <c r="B63" s="195"/>
      <c r="C63" s="192"/>
      <c r="D63" s="192"/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Y63" s="194"/>
      <c r="Z63" s="192"/>
      <c r="AA63" s="192"/>
      <c r="AB63" s="192"/>
      <c r="AC63" s="192"/>
      <c r="AD63" s="192"/>
      <c r="AE63" s="192"/>
      <c r="AF63" s="192"/>
      <c r="AG63" s="192"/>
      <c r="AH63" s="192"/>
      <c r="AI63" s="192"/>
      <c r="AJ63" s="192"/>
    </row>
    <row r="64" spans="1:36" ht="14.25" customHeight="1">
      <c r="A64" s="192"/>
      <c r="B64" s="195"/>
      <c r="C64" s="192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2"/>
      <c r="V64" s="192"/>
      <c r="W64" s="192"/>
      <c r="X64" s="192"/>
      <c r="Y64" s="194"/>
      <c r="Z64" s="192"/>
      <c r="AA64" s="192"/>
      <c r="AB64" s="192"/>
      <c r="AC64" s="192"/>
      <c r="AD64" s="192"/>
      <c r="AE64" s="192"/>
      <c r="AF64" s="192"/>
      <c r="AG64" s="192"/>
      <c r="AH64" s="192"/>
      <c r="AI64" s="192"/>
      <c r="AJ64" s="192"/>
    </row>
    <row r="65" spans="1:36" ht="14.25" customHeight="1">
      <c r="A65" s="192"/>
      <c r="B65" s="195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/>
      <c r="W65" s="192"/>
      <c r="X65" s="192"/>
      <c r="Y65" s="194"/>
      <c r="Z65" s="192"/>
      <c r="AA65" s="192"/>
      <c r="AB65" s="192"/>
      <c r="AC65" s="192"/>
      <c r="AD65" s="192"/>
      <c r="AE65" s="192"/>
      <c r="AF65" s="192"/>
      <c r="AG65" s="192"/>
      <c r="AH65" s="192"/>
      <c r="AI65" s="192"/>
      <c r="AJ65" s="192"/>
    </row>
    <row r="66" spans="1:36" ht="14.25" customHeight="1">
      <c r="A66" s="192"/>
      <c r="B66" s="195"/>
      <c r="C66" s="192"/>
      <c r="D66" s="192"/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/>
      <c r="X66" s="192"/>
      <c r="Y66" s="194"/>
      <c r="Z66" s="192"/>
      <c r="AA66" s="192"/>
      <c r="AB66" s="192"/>
      <c r="AC66" s="192"/>
      <c r="AD66" s="192"/>
      <c r="AE66" s="192"/>
      <c r="AF66" s="192"/>
      <c r="AG66" s="192"/>
      <c r="AH66" s="192"/>
      <c r="AI66" s="192"/>
      <c r="AJ66" s="192"/>
    </row>
    <row r="67" spans="1:36" ht="14.25" customHeight="1">
      <c r="A67" s="192"/>
      <c r="B67" s="195"/>
      <c r="C67" s="192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  <c r="W67" s="192"/>
      <c r="X67" s="192"/>
      <c r="Y67" s="194"/>
      <c r="Z67" s="192"/>
      <c r="AA67" s="192"/>
      <c r="AB67" s="192"/>
      <c r="AC67" s="192"/>
      <c r="AD67" s="192"/>
      <c r="AE67" s="192"/>
      <c r="AF67" s="192"/>
      <c r="AG67" s="192"/>
      <c r="AH67" s="192"/>
      <c r="AI67" s="192"/>
      <c r="AJ67" s="192"/>
    </row>
    <row r="68" spans="1:36" ht="14.25" customHeight="1">
      <c r="A68" s="192"/>
      <c r="B68" s="195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4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</row>
    <row r="69" spans="1:36" ht="14.25" customHeight="1">
      <c r="A69" s="192"/>
      <c r="B69" s="195"/>
      <c r="C69" s="192"/>
      <c r="D69" s="192"/>
      <c r="E69" s="192"/>
      <c r="F69" s="192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2"/>
      <c r="V69" s="192"/>
      <c r="W69" s="192"/>
      <c r="X69" s="192"/>
      <c r="Y69" s="194"/>
      <c r="Z69" s="192"/>
      <c r="AA69" s="192"/>
      <c r="AB69" s="192"/>
      <c r="AC69" s="192"/>
      <c r="AD69" s="192"/>
      <c r="AE69" s="192"/>
      <c r="AF69" s="192"/>
      <c r="AG69" s="192"/>
      <c r="AH69" s="192"/>
      <c r="AI69" s="192"/>
      <c r="AJ69" s="192"/>
    </row>
    <row r="70" spans="1:36" ht="14.25" customHeight="1">
      <c r="A70" s="192"/>
      <c r="B70" s="195"/>
      <c r="C70" s="192"/>
      <c r="D70" s="192"/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4"/>
      <c r="Z70" s="192"/>
      <c r="AA70" s="192"/>
      <c r="AB70" s="192"/>
      <c r="AC70" s="192"/>
      <c r="AD70" s="192"/>
      <c r="AE70" s="192"/>
      <c r="AF70" s="192"/>
      <c r="AG70" s="192"/>
      <c r="AH70" s="192"/>
      <c r="AI70" s="192"/>
      <c r="AJ70" s="192"/>
    </row>
    <row r="71" spans="1:36" ht="14.25" customHeight="1">
      <c r="A71" s="192"/>
      <c r="B71" s="195"/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4"/>
      <c r="Z71" s="192"/>
      <c r="AA71" s="192"/>
      <c r="AB71" s="192"/>
      <c r="AC71" s="192"/>
      <c r="AD71" s="192"/>
      <c r="AE71" s="192"/>
      <c r="AF71" s="192"/>
      <c r="AG71" s="192"/>
      <c r="AH71" s="192"/>
      <c r="AI71" s="192"/>
      <c r="AJ71" s="192"/>
    </row>
    <row r="72" spans="1:36" ht="14.25" customHeight="1">
      <c r="A72" s="192"/>
      <c r="B72" s="195"/>
      <c r="C72" s="192"/>
      <c r="D72" s="192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4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</row>
    <row r="73" spans="1:36" ht="14.25" customHeight="1">
      <c r="A73" s="192"/>
      <c r="B73" s="195"/>
      <c r="C73" s="192"/>
      <c r="D73" s="192"/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V73" s="192"/>
      <c r="W73" s="192"/>
      <c r="X73" s="192"/>
      <c r="Y73" s="194"/>
      <c r="Z73" s="192"/>
      <c r="AA73" s="192"/>
      <c r="AB73" s="192"/>
      <c r="AC73" s="192"/>
      <c r="AD73" s="192"/>
      <c r="AE73" s="192"/>
      <c r="AF73" s="192"/>
      <c r="AG73" s="192"/>
      <c r="AH73" s="192"/>
      <c r="AI73" s="192"/>
      <c r="AJ73" s="192"/>
    </row>
    <row r="74" spans="1:36" ht="14.25" customHeight="1">
      <c r="A74" s="192"/>
      <c r="B74" s="195"/>
      <c r="C74" s="192"/>
      <c r="D74" s="192"/>
      <c r="E74" s="192"/>
      <c r="F74" s="192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2"/>
      <c r="V74" s="192"/>
      <c r="W74" s="192"/>
      <c r="X74" s="192"/>
      <c r="Y74" s="194"/>
      <c r="Z74" s="192"/>
      <c r="AA74" s="192"/>
      <c r="AB74" s="192"/>
      <c r="AC74" s="192"/>
      <c r="AD74" s="192"/>
      <c r="AE74" s="192"/>
      <c r="AF74" s="192"/>
      <c r="AG74" s="192"/>
      <c r="AH74" s="192"/>
      <c r="AI74" s="192"/>
      <c r="AJ74" s="192"/>
    </row>
    <row r="75" spans="1:36" ht="14.25" customHeight="1">
      <c r="A75" s="192"/>
      <c r="B75" s="195"/>
      <c r="C75" s="192"/>
      <c r="D75" s="192"/>
      <c r="E75" s="192"/>
      <c r="F75" s="192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2"/>
      <c r="V75" s="192"/>
      <c r="W75" s="192"/>
      <c r="X75" s="192"/>
      <c r="Y75" s="194"/>
      <c r="Z75" s="192"/>
      <c r="AA75" s="192"/>
      <c r="AB75" s="192"/>
      <c r="AC75" s="192"/>
      <c r="AD75" s="192"/>
      <c r="AE75" s="192"/>
      <c r="AF75" s="192"/>
      <c r="AG75" s="192"/>
      <c r="AH75" s="192"/>
      <c r="AI75" s="192"/>
      <c r="AJ75" s="192"/>
    </row>
    <row r="76" spans="1:36" ht="14.25" customHeight="1">
      <c r="A76" s="192"/>
      <c r="B76" s="195"/>
      <c r="C76" s="192"/>
      <c r="D76" s="192"/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4"/>
      <c r="Z76" s="192"/>
      <c r="AA76" s="192"/>
      <c r="AB76" s="192"/>
      <c r="AC76" s="192"/>
      <c r="AD76" s="192"/>
      <c r="AE76" s="192"/>
      <c r="AF76" s="192"/>
      <c r="AG76" s="192"/>
      <c r="AH76" s="192"/>
      <c r="AI76" s="192"/>
      <c r="AJ76" s="192"/>
    </row>
    <row r="77" spans="1:36" ht="14.25" customHeight="1">
      <c r="A77" s="192"/>
      <c r="B77" s="195"/>
      <c r="C77" s="192"/>
      <c r="D77" s="192"/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2"/>
      <c r="V77" s="192"/>
      <c r="W77" s="192"/>
      <c r="X77" s="192"/>
      <c r="Y77" s="194"/>
      <c r="Z77" s="192"/>
      <c r="AA77" s="192"/>
      <c r="AB77" s="192"/>
      <c r="AC77" s="192"/>
      <c r="AD77" s="192"/>
      <c r="AE77" s="192"/>
      <c r="AF77" s="192"/>
      <c r="AG77" s="192"/>
      <c r="AH77" s="192"/>
      <c r="AI77" s="192"/>
      <c r="AJ77" s="192"/>
    </row>
    <row r="78" spans="1:36" ht="14.25" customHeight="1">
      <c r="A78" s="192"/>
      <c r="B78" s="195"/>
      <c r="C78" s="192"/>
      <c r="D78" s="192"/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2"/>
      <c r="W78" s="192"/>
      <c r="X78" s="192"/>
      <c r="Y78" s="194"/>
      <c r="Z78" s="192"/>
      <c r="AA78" s="192"/>
      <c r="AB78" s="192"/>
      <c r="AC78" s="192"/>
      <c r="AD78" s="192"/>
      <c r="AE78" s="192"/>
      <c r="AF78" s="192"/>
      <c r="AG78" s="192"/>
      <c r="AH78" s="192"/>
      <c r="AI78" s="192"/>
      <c r="AJ78" s="192"/>
    </row>
    <row r="79" spans="1:36" ht="14.25" customHeight="1">
      <c r="A79" s="192"/>
      <c r="B79" s="195"/>
      <c r="C79" s="192"/>
      <c r="D79" s="192"/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2"/>
      <c r="V79" s="192"/>
      <c r="W79" s="192"/>
      <c r="X79" s="192"/>
      <c r="Y79" s="194"/>
      <c r="Z79" s="192"/>
      <c r="AA79" s="192"/>
      <c r="AB79" s="192"/>
      <c r="AC79" s="192"/>
      <c r="AD79" s="192"/>
      <c r="AE79" s="192"/>
      <c r="AF79" s="192"/>
      <c r="AG79" s="192"/>
      <c r="AH79" s="192"/>
      <c r="AI79" s="192"/>
      <c r="AJ79" s="192"/>
    </row>
    <row r="80" spans="1:36" ht="14.25" customHeight="1">
      <c r="A80" s="192"/>
      <c r="B80" s="195"/>
      <c r="C80" s="192"/>
      <c r="D80" s="192"/>
      <c r="E80" s="192"/>
      <c r="F80" s="192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2"/>
      <c r="V80" s="192"/>
      <c r="W80" s="192"/>
      <c r="X80" s="192"/>
      <c r="Y80" s="194"/>
      <c r="Z80" s="192"/>
      <c r="AA80" s="192"/>
      <c r="AB80" s="192"/>
      <c r="AC80" s="192"/>
      <c r="AD80" s="192"/>
      <c r="AE80" s="192"/>
      <c r="AF80" s="192"/>
      <c r="AG80" s="192"/>
      <c r="AH80" s="192"/>
      <c r="AI80" s="192"/>
      <c r="AJ80" s="192"/>
    </row>
    <row r="81" spans="1:36" ht="14.25" customHeight="1">
      <c r="A81" s="192"/>
      <c r="B81" s="195"/>
      <c r="C81" s="192"/>
      <c r="D81" s="192"/>
      <c r="E81" s="192"/>
      <c r="F81" s="192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2"/>
      <c r="V81" s="192"/>
      <c r="W81" s="192"/>
      <c r="X81" s="192"/>
      <c r="Y81" s="194"/>
      <c r="Z81" s="192"/>
      <c r="AA81" s="192"/>
      <c r="AB81" s="192"/>
      <c r="AC81" s="192"/>
      <c r="AD81" s="192"/>
      <c r="AE81" s="192"/>
      <c r="AF81" s="192"/>
      <c r="AG81" s="192"/>
      <c r="AH81" s="192"/>
      <c r="AI81" s="192"/>
      <c r="AJ81" s="192"/>
    </row>
    <row r="82" spans="1:36" ht="14.25" customHeight="1">
      <c r="A82" s="192"/>
      <c r="B82" s="195"/>
      <c r="C82" s="192"/>
      <c r="D82" s="192"/>
      <c r="E82" s="192"/>
      <c r="F82" s="192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2"/>
      <c r="V82" s="192"/>
      <c r="W82" s="192"/>
      <c r="X82" s="192"/>
      <c r="Y82" s="194"/>
      <c r="Z82" s="192"/>
      <c r="AA82" s="192"/>
      <c r="AB82" s="192"/>
      <c r="AC82" s="192"/>
      <c r="AD82" s="192"/>
      <c r="AE82" s="192"/>
      <c r="AF82" s="192"/>
      <c r="AG82" s="192"/>
      <c r="AH82" s="192"/>
      <c r="AI82" s="192"/>
      <c r="AJ82" s="192"/>
    </row>
    <row r="83" spans="1:36" ht="14.25" customHeight="1">
      <c r="A83" s="192"/>
      <c r="B83" s="195"/>
      <c r="C83" s="192"/>
      <c r="D83" s="192"/>
      <c r="E83" s="192"/>
      <c r="F83" s="192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2"/>
      <c r="V83" s="192"/>
      <c r="W83" s="192"/>
      <c r="X83" s="192"/>
      <c r="Y83" s="194"/>
      <c r="Z83" s="192"/>
      <c r="AA83" s="192"/>
      <c r="AB83" s="192"/>
      <c r="AC83" s="192"/>
      <c r="AD83" s="192"/>
      <c r="AE83" s="192"/>
      <c r="AF83" s="192"/>
      <c r="AG83" s="192"/>
      <c r="AH83" s="192"/>
      <c r="AI83" s="192"/>
      <c r="AJ83" s="192"/>
    </row>
    <row r="84" spans="1:36" ht="14.25" customHeight="1">
      <c r="A84" s="192"/>
      <c r="B84" s="195"/>
      <c r="C84" s="192"/>
      <c r="D84" s="192"/>
      <c r="E84" s="192"/>
      <c r="F84" s="192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2"/>
      <c r="V84" s="192"/>
      <c r="W84" s="192"/>
      <c r="X84" s="192"/>
      <c r="Y84" s="194"/>
      <c r="Z84" s="192"/>
      <c r="AA84" s="192"/>
      <c r="AB84" s="192"/>
      <c r="AC84" s="192"/>
      <c r="AD84" s="192"/>
      <c r="AE84" s="192"/>
      <c r="AF84" s="192"/>
      <c r="AG84" s="192"/>
      <c r="AH84" s="192"/>
      <c r="AI84" s="192"/>
      <c r="AJ84" s="192"/>
    </row>
    <row r="85" spans="1:36" ht="14.25" customHeight="1">
      <c r="A85" s="192"/>
      <c r="B85" s="195"/>
      <c r="C85" s="192"/>
      <c r="D85" s="192"/>
      <c r="E85" s="192"/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2"/>
      <c r="V85" s="192"/>
      <c r="W85" s="192"/>
      <c r="X85" s="192"/>
      <c r="Y85" s="194"/>
      <c r="Z85" s="192"/>
      <c r="AA85" s="192"/>
      <c r="AB85" s="192"/>
      <c r="AC85" s="192"/>
      <c r="AD85" s="192"/>
      <c r="AE85" s="192"/>
      <c r="AF85" s="192"/>
      <c r="AG85" s="192"/>
      <c r="AH85" s="192"/>
      <c r="AI85" s="192"/>
      <c r="AJ85" s="192"/>
    </row>
    <row r="86" spans="1:36" ht="14.25" customHeight="1">
      <c r="A86" s="192"/>
      <c r="B86" s="195"/>
      <c r="C86" s="192"/>
      <c r="D86" s="192"/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2"/>
      <c r="V86" s="192"/>
      <c r="W86" s="192"/>
      <c r="X86" s="192"/>
      <c r="Y86" s="194"/>
      <c r="Z86" s="192"/>
      <c r="AA86" s="192"/>
      <c r="AB86" s="192"/>
      <c r="AC86" s="192"/>
      <c r="AD86" s="192"/>
      <c r="AE86" s="192"/>
      <c r="AF86" s="192"/>
      <c r="AG86" s="192"/>
      <c r="AH86" s="192"/>
      <c r="AI86" s="192"/>
      <c r="AJ86" s="192"/>
    </row>
    <row r="87" spans="1:36" ht="14.25" customHeight="1">
      <c r="A87" s="192"/>
      <c r="B87" s="195"/>
      <c r="C87" s="192"/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2"/>
      <c r="V87" s="192"/>
      <c r="W87" s="192"/>
      <c r="X87" s="192"/>
      <c r="Y87" s="194"/>
      <c r="Z87" s="192"/>
      <c r="AA87" s="192"/>
      <c r="AB87" s="192"/>
      <c r="AC87" s="192"/>
      <c r="AD87" s="192"/>
      <c r="AE87" s="192"/>
      <c r="AF87" s="192"/>
      <c r="AG87" s="192"/>
      <c r="AH87" s="192"/>
      <c r="AI87" s="192"/>
      <c r="AJ87" s="192"/>
    </row>
    <row r="88" spans="1:36" ht="14.25" customHeight="1">
      <c r="A88" s="192"/>
      <c r="B88" s="195"/>
      <c r="C88" s="192"/>
      <c r="D88" s="192"/>
      <c r="E88" s="192"/>
      <c r="F88" s="192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2"/>
      <c r="V88" s="192"/>
      <c r="W88" s="192"/>
      <c r="X88" s="192"/>
      <c r="Y88" s="194"/>
      <c r="Z88" s="192"/>
      <c r="AA88" s="192"/>
      <c r="AB88" s="192"/>
      <c r="AC88" s="192"/>
      <c r="AD88" s="192"/>
      <c r="AE88" s="192"/>
      <c r="AF88" s="192"/>
      <c r="AG88" s="192"/>
      <c r="AH88" s="192"/>
      <c r="AI88" s="192"/>
      <c r="AJ88" s="192"/>
    </row>
    <row r="89" spans="1:36" ht="14.25" customHeight="1">
      <c r="A89" s="192"/>
      <c r="B89" s="195"/>
      <c r="C89" s="192"/>
      <c r="D89" s="192"/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2"/>
      <c r="V89" s="192"/>
      <c r="W89" s="192"/>
      <c r="X89" s="192"/>
      <c r="Y89" s="194"/>
      <c r="Z89" s="192"/>
      <c r="AA89" s="192"/>
      <c r="AB89" s="192"/>
      <c r="AC89" s="192"/>
      <c r="AD89" s="192"/>
      <c r="AE89" s="192"/>
      <c r="AF89" s="192"/>
      <c r="AG89" s="192"/>
      <c r="AH89" s="192"/>
      <c r="AI89" s="192"/>
      <c r="AJ89" s="192"/>
    </row>
    <row r="90" spans="1:36" ht="14.25" customHeight="1">
      <c r="A90" s="192"/>
      <c r="B90" s="195"/>
      <c r="C90" s="192"/>
      <c r="D90" s="192"/>
      <c r="E90" s="192"/>
      <c r="F90" s="192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2"/>
      <c r="V90" s="192"/>
      <c r="W90" s="192"/>
      <c r="X90" s="192"/>
      <c r="Y90" s="194"/>
      <c r="Z90" s="192"/>
      <c r="AA90" s="192"/>
      <c r="AB90" s="192"/>
      <c r="AC90" s="192"/>
      <c r="AD90" s="192"/>
      <c r="AE90" s="192"/>
      <c r="AF90" s="192"/>
      <c r="AG90" s="192"/>
      <c r="AH90" s="192"/>
      <c r="AI90" s="192"/>
      <c r="AJ90" s="192"/>
    </row>
    <row r="91" spans="1:36" ht="14.25" customHeight="1">
      <c r="A91" s="192"/>
      <c r="B91" s="195"/>
      <c r="C91" s="192"/>
      <c r="D91" s="192"/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2"/>
      <c r="V91" s="192"/>
      <c r="W91" s="192"/>
      <c r="X91" s="192"/>
      <c r="Y91" s="194"/>
      <c r="Z91" s="192"/>
      <c r="AA91" s="192"/>
      <c r="AB91" s="192"/>
      <c r="AC91" s="192"/>
      <c r="AD91" s="192"/>
      <c r="AE91" s="192"/>
      <c r="AF91" s="192"/>
      <c r="AG91" s="192"/>
      <c r="AH91" s="192"/>
      <c r="AI91" s="192"/>
      <c r="AJ91" s="192"/>
    </row>
    <row r="92" spans="1:36" ht="14.25" customHeight="1">
      <c r="A92" s="192"/>
      <c r="B92" s="195"/>
      <c r="C92" s="192"/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2"/>
      <c r="V92" s="192"/>
      <c r="W92" s="192"/>
      <c r="X92" s="192"/>
      <c r="Y92" s="194"/>
      <c r="Z92" s="192"/>
      <c r="AA92" s="192"/>
      <c r="AB92" s="192"/>
      <c r="AC92" s="192"/>
      <c r="AD92" s="192"/>
      <c r="AE92" s="192"/>
      <c r="AF92" s="192"/>
      <c r="AG92" s="192"/>
      <c r="AH92" s="192"/>
      <c r="AI92" s="192"/>
      <c r="AJ92" s="192"/>
    </row>
    <row r="93" spans="1:36" ht="14.25" customHeight="1">
      <c r="A93" s="192"/>
      <c r="B93" s="195"/>
      <c r="C93" s="192"/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2"/>
      <c r="V93" s="192"/>
      <c r="W93" s="192"/>
      <c r="X93" s="192"/>
      <c r="Y93" s="194"/>
      <c r="Z93" s="192"/>
      <c r="AA93" s="192"/>
      <c r="AB93" s="192"/>
      <c r="AC93" s="192"/>
      <c r="AD93" s="192"/>
      <c r="AE93" s="192"/>
      <c r="AF93" s="192"/>
      <c r="AG93" s="192"/>
      <c r="AH93" s="192"/>
      <c r="AI93" s="192"/>
      <c r="AJ93" s="192"/>
    </row>
    <row r="94" spans="1:36" ht="14.25" customHeight="1">
      <c r="A94" s="192"/>
      <c r="B94" s="195"/>
      <c r="C94" s="192"/>
      <c r="D94" s="192"/>
      <c r="E94" s="192"/>
      <c r="F94" s="192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2"/>
      <c r="V94" s="192"/>
      <c r="W94" s="192"/>
      <c r="X94" s="192"/>
      <c r="Y94" s="194"/>
      <c r="Z94" s="192"/>
      <c r="AA94" s="192"/>
      <c r="AB94" s="192"/>
      <c r="AC94" s="192"/>
      <c r="AD94" s="192"/>
      <c r="AE94" s="192"/>
      <c r="AF94" s="192"/>
      <c r="AG94" s="192"/>
      <c r="AH94" s="192"/>
      <c r="AI94" s="192"/>
      <c r="AJ94" s="192"/>
    </row>
    <row r="95" spans="1:36" ht="14.25" customHeight="1">
      <c r="A95" s="192"/>
      <c r="B95" s="195"/>
      <c r="C95" s="192"/>
      <c r="D95" s="192"/>
      <c r="E95" s="192"/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2"/>
      <c r="V95" s="192"/>
      <c r="W95" s="192"/>
      <c r="X95" s="192"/>
      <c r="Y95" s="194"/>
      <c r="Z95" s="192"/>
      <c r="AA95" s="192"/>
      <c r="AB95" s="192"/>
      <c r="AC95" s="192"/>
      <c r="AD95" s="192"/>
      <c r="AE95" s="192"/>
      <c r="AF95" s="192"/>
      <c r="AG95" s="192"/>
      <c r="AH95" s="192"/>
      <c r="AI95" s="192"/>
      <c r="AJ95" s="192"/>
    </row>
    <row r="96" spans="1:36" ht="14.25" customHeight="1">
      <c r="A96" s="192"/>
      <c r="B96" s="195"/>
      <c r="C96" s="192"/>
      <c r="D96" s="192"/>
      <c r="E96" s="192"/>
      <c r="F96" s="192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2"/>
      <c r="V96" s="192"/>
      <c r="W96" s="192"/>
      <c r="X96" s="192"/>
      <c r="Y96" s="194"/>
      <c r="Z96" s="192"/>
      <c r="AA96" s="192"/>
      <c r="AB96" s="192"/>
      <c r="AC96" s="192"/>
      <c r="AD96" s="192"/>
      <c r="AE96" s="192"/>
      <c r="AF96" s="192"/>
      <c r="AG96" s="192"/>
      <c r="AH96" s="192"/>
      <c r="AI96" s="192"/>
      <c r="AJ96" s="192"/>
    </row>
    <row r="97" spans="1:36" ht="14.25" customHeight="1">
      <c r="A97" s="192"/>
      <c r="B97" s="195"/>
      <c r="C97" s="192"/>
      <c r="D97" s="192"/>
      <c r="E97" s="192"/>
      <c r="F97" s="192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2"/>
      <c r="V97" s="192"/>
      <c r="W97" s="192"/>
      <c r="X97" s="192"/>
      <c r="Y97" s="194"/>
      <c r="Z97" s="192"/>
      <c r="AA97" s="192"/>
      <c r="AB97" s="192"/>
      <c r="AC97" s="192"/>
      <c r="AD97" s="192"/>
      <c r="AE97" s="192"/>
      <c r="AF97" s="192"/>
      <c r="AG97" s="192"/>
      <c r="AH97" s="192"/>
      <c r="AI97" s="192"/>
      <c r="AJ97" s="192"/>
    </row>
    <row r="98" spans="1:36" ht="14.25" customHeight="1">
      <c r="A98" s="192"/>
      <c r="B98" s="195"/>
      <c r="C98" s="192"/>
      <c r="D98" s="192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2"/>
      <c r="V98" s="192"/>
      <c r="W98" s="192"/>
      <c r="X98" s="192"/>
      <c r="Y98" s="194"/>
      <c r="Z98" s="192"/>
      <c r="AA98" s="192"/>
      <c r="AB98" s="192"/>
      <c r="AC98" s="192"/>
      <c r="AD98" s="192"/>
      <c r="AE98" s="192"/>
      <c r="AF98" s="192"/>
      <c r="AG98" s="192"/>
      <c r="AH98" s="192"/>
      <c r="AI98" s="192"/>
      <c r="AJ98" s="192"/>
    </row>
    <row r="99" spans="1:36" ht="14.25" customHeight="1">
      <c r="A99" s="192"/>
      <c r="B99" s="195"/>
      <c r="C99" s="192"/>
      <c r="D99" s="192"/>
      <c r="E99" s="192"/>
      <c r="F99" s="192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2"/>
      <c r="V99" s="192"/>
      <c r="W99" s="192"/>
      <c r="X99" s="192"/>
      <c r="Y99" s="194"/>
      <c r="Z99" s="192"/>
      <c r="AA99" s="192"/>
      <c r="AB99" s="192"/>
      <c r="AC99" s="192"/>
      <c r="AD99" s="192"/>
      <c r="AE99" s="192"/>
      <c r="AF99" s="192"/>
      <c r="AG99" s="192"/>
      <c r="AH99" s="192"/>
      <c r="AI99" s="192"/>
      <c r="AJ99" s="192"/>
    </row>
    <row r="100" spans="1:36" ht="14.25" customHeight="1">
      <c r="A100" s="192"/>
      <c r="B100" s="195"/>
      <c r="C100" s="192"/>
      <c r="D100" s="192"/>
      <c r="E100" s="192"/>
      <c r="F100" s="192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2"/>
      <c r="V100" s="192"/>
      <c r="W100" s="192"/>
      <c r="X100" s="192"/>
      <c r="Y100" s="194"/>
      <c r="Z100" s="192"/>
      <c r="AA100" s="192"/>
      <c r="AB100" s="192"/>
      <c r="AC100" s="192"/>
      <c r="AD100" s="192"/>
      <c r="AE100" s="192"/>
      <c r="AF100" s="192"/>
      <c r="AG100" s="192"/>
      <c r="AH100" s="192"/>
      <c r="AI100" s="192"/>
      <c r="AJ100" s="192"/>
    </row>
    <row r="101" spans="1:36" ht="14.25" customHeight="1">
      <c r="A101" s="192"/>
      <c r="B101" s="195"/>
      <c r="C101" s="192"/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2"/>
      <c r="V101" s="192"/>
      <c r="W101" s="192"/>
      <c r="X101" s="192"/>
      <c r="Y101" s="194"/>
      <c r="Z101" s="192"/>
      <c r="AA101" s="192"/>
      <c r="AB101" s="192"/>
      <c r="AC101" s="192"/>
      <c r="AD101" s="192"/>
      <c r="AE101" s="192"/>
      <c r="AF101" s="192"/>
      <c r="AG101" s="192"/>
      <c r="AH101" s="192"/>
      <c r="AI101" s="192"/>
      <c r="AJ101" s="192"/>
    </row>
    <row r="102" spans="1:36" ht="14.25" customHeight="1">
      <c r="A102" s="192"/>
      <c r="B102" s="195"/>
      <c r="C102" s="192"/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2"/>
      <c r="V102" s="192"/>
      <c r="W102" s="192"/>
      <c r="X102" s="192"/>
      <c r="Y102" s="194"/>
      <c r="Z102" s="192"/>
      <c r="AA102" s="192"/>
      <c r="AB102" s="192"/>
      <c r="AC102" s="192"/>
      <c r="AD102" s="192"/>
      <c r="AE102" s="192"/>
      <c r="AF102" s="192"/>
      <c r="AG102" s="192"/>
      <c r="AH102" s="192"/>
      <c r="AI102" s="192"/>
      <c r="AJ102" s="192"/>
    </row>
    <row r="103" spans="1:36" ht="14.25" customHeight="1">
      <c r="A103" s="192"/>
      <c r="B103" s="195"/>
      <c r="C103" s="192"/>
      <c r="D103" s="192"/>
      <c r="E103" s="192"/>
      <c r="F103" s="192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2"/>
      <c r="V103" s="192"/>
      <c r="W103" s="192"/>
      <c r="X103" s="192"/>
      <c r="Y103" s="194"/>
      <c r="Z103" s="192"/>
      <c r="AA103" s="192"/>
      <c r="AB103" s="192"/>
      <c r="AC103" s="192"/>
      <c r="AD103" s="192"/>
      <c r="AE103" s="192"/>
      <c r="AF103" s="192"/>
      <c r="AG103" s="192"/>
      <c r="AH103" s="192"/>
      <c r="AI103" s="192"/>
      <c r="AJ103" s="192"/>
    </row>
    <row r="104" spans="1:36" ht="14.25" customHeight="1">
      <c r="A104" s="192"/>
      <c r="B104" s="195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4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</row>
    <row r="105" spans="1:36" ht="14.25" customHeight="1">
      <c r="A105" s="192"/>
      <c r="B105" s="195"/>
      <c r="C105" s="192"/>
      <c r="D105" s="192"/>
      <c r="E105" s="192"/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2"/>
      <c r="V105" s="192"/>
      <c r="W105" s="192"/>
      <c r="X105" s="192"/>
      <c r="Y105" s="194"/>
      <c r="Z105" s="192"/>
      <c r="AA105" s="192"/>
      <c r="AB105" s="192"/>
      <c r="AC105" s="192"/>
      <c r="AD105" s="192"/>
      <c r="AE105" s="192"/>
      <c r="AF105" s="192"/>
      <c r="AG105" s="192"/>
      <c r="AH105" s="192"/>
      <c r="AI105" s="192"/>
      <c r="AJ105" s="192"/>
    </row>
    <row r="106" spans="1:36" ht="14.25" customHeight="1">
      <c r="A106" s="192"/>
      <c r="B106" s="195"/>
      <c r="C106" s="192"/>
      <c r="D106" s="192"/>
      <c r="E106" s="192"/>
      <c r="F106" s="192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2"/>
      <c r="V106" s="192"/>
      <c r="W106" s="192"/>
      <c r="X106" s="192"/>
      <c r="Y106" s="194"/>
      <c r="Z106" s="192"/>
      <c r="AA106" s="192"/>
      <c r="AB106" s="192"/>
      <c r="AC106" s="192"/>
      <c r="AD106" s="192"/>
      <c r="AE106" s="192"/>
      <c r="AF106" s="192"/>
      <c r="AG106" s="192"/>
      <c r="AH106" s="192"/>
      <c r="AI106" s="192"/>
      <c r="AJ106" s="192"/>
    </row>
    <row r="107" spans="1:36" ht="14.25" customHeight="1">
      <c r="A107" s="192"/>
      <c r="B107" s="195"/>
      <c r="C107" s="192"/>
      <c r="D107" s="192"/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2"/>
      <c r="W107" s="192"/>
      <c r="X107" s="192"/>
      <c r="Y107" s="194"/>
      <c r="Z107" s="192"/>
      <c r="AA107" s="192"/>
      <c r="AB107" s="192"/>
      <c r="AC107" s="192"/>
      <c r="AD107" s="192"/>
      <c r="AE107" s="192"/>
      <c r="AF107" s="192"/>
      <c r="AG107" s="192"/>
      <c r="AH107" s="192"/>
      <c r="AI107" s="192"/>
      <c r="AJ107" s="192"/>
    </row>
    <row r="108" spans="1:36" ht="14.25" customHeight="1">
      <c r="A108" s="192"/>
      <c r="B108" s="195"/>
      <c r="C108" s="192"/>
      <c r="D108" s="192"/>
      <c r="E108" s="192"/>
      <c r="F108" s="192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2"/>
      <c r="V108" s="192"/>
      <c r="W108" s="192"/>
      <c r="X108" s="192"/>
      <c r="Y108" s="194"/>
      <c r="Z108" s="192"/>
      <c r="AA108" s="192"/>
      <c r="AB108" s="192"/>
      <c r="AC108" s="192"/>
      <c r="AD108" s="192"/>
      <c r="AE108" s="192"/>
      <c r="AF108" s="192"/>
      <c r="AG108" s="192"/>
      <c r="AH108" s="192"/>
      <c r="AI108" s="192"/>
      <c r="AJ108" s="192"/>
    </row>
    <row r="109" spans="1:36" ht="14.25" customHeight="1">
      <c r="A109" s="192"/>
      <c r="B109" s="195"/>
      <c r="C109" s="192"/>
      <c r="D109" s="192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2"/>
      <c r="V109" s="192"/>
      <c r="W109" s="192"/>
      <c r="X109" s="192"/>
      <c r="Y109" s="194"/>
      <c r="Z109" s="192"/>
      <c r="AA109" s="192"/>
      <c r="AB109" s="192"/>
      <c r="AC109" s="192"/>
      <c r="AD109" s="192"/>
      <c r="AE109" s="192"/>
      <c r="AF109" s="192"/>
      <c r="AG109" s="192"/>
      <c r="AH109" s="192"/>
      <c r="AI109" s="192"/>
      <c r="AJ109" s="192"/>
    </row>
    <row r="110" spans="1:36" ht="14.25" customHeight="1">
      <c r="A110" s="192"/>
      <c r="B110" s="195"/>
      <c r="C110" s="192"/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2"/>
      <c r="V110" s="192"/>
      <c r="W110" s="192"/>
      <c r="X110" s="192"/>
      <c r="Y110" s="194"/>
      <c r="Z110" s="192"/>
      <c r="AA110" s="192"/>
      <c r="AB110" s="192"/>
      <c r="AC110" s="192"/>
      <c r="AD110" s="192"/>
      <c r="AE110" s="192"/>
      <c r="AF110" s="192"/>
      <c r="AG110" s="192"/>
      <c r="AH110" s="192"/>
      <c r="AI110" s="192"/>
      <c r="AJ110" s="192"/>
    </row>
    <row r="111" spans="1:36" ht="14.25" customHeight="1">
      <c r="A111" s="192"/>
      <c r="B111" s="195"/>
      <c r="C111" s="192"/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2"/>
      <c r="V111" s="192"/>
      <c r="W111" s="192"/>
      <c r="X111" s="192"/>
      <c r="Y111" s="194"/>
      <c r="Z111" s="192"/>
      <c r="AA111" s="192"/>
      <c r="AB111" s="192"/>
      <c r="AC111" s="192"/>
      <c r="AD111" s="192"/>
      <c r="AE111" s="192"/>
      <c r="AF111" s="192"/>
      <c r="AG111" s="192"/>
      <c r="AH111" s="192"/>
      <c r="AI111" s="192"/>
      <c r="AJ111" s="192"/>
    </row>
    <row r="112" spans="1:36" ht="14.25" customHeight="1">
      <c r="A112" s="192"/>
      <c r="B112" s="195"/>
      <c r="C112" s="192"/>
      <c r="D112" s="192"/>
      <c r="E112" s="192"/>
      <c r="F112" s="192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2"/>
      <c r="V112" s="192"/>
      <c r="W112" s="192"/>
      <c r="X112" s="192"/>
      <c r="Y112" s="194"/>
      <c r="Z112" s="192"/>
      <c r="AA112" s="192"/>
      <c r="AB112" s="192"/>
      <c r="AC112" s="192"/>
      <c r="AD112" s="192"/>
      <c r="AE112" s="192"/>
      <c r="AF112" s="192"/>
      <c r="AG112" s="192"/>
      <c r="AH112" s="192"/>
      <c r="AI112" s="192"/>
      <c r="AJ112" s="192"/>
    </row>
    <row r="113" spans="1:36" ht="14.25" customHeight="1">
      <c r="A113" s="192"/>
      <c r="B113" s="195"/>
      <c r="C113" s="192"/>
      <c r="D113" s="192"/>
      <c r="E113" s="192"/>
      <c r="F113" s="192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2"/>
      <c r="V113" s="192"/>
      <c r="W113" s="192"/>
      <c r="X113" s="192"/>
      <c r="Y113" s="194"/>
      <c r="Z113" s="192"/>
      <c r="AA113" s="192"/>
      <c r="AB113" s="192"/>
      <c r="AC113" s="192"/>
      <c r="AD113" s="192"/>
      <c r="AE113" s="192"/>
      <c r="AF113" s="192"/>
      <c r="AG113" s="192"/>
      <c r="AH113" s="192"/>
      <c r="AI113" s="192"/>
      <c r="AJ113" s="192"/>
    </row>
    <row r="114" spans="1:36" ht="14.25" customHeight="1">
      <c r="A114" s="192"/>
      <c r="B114" s="195"/>
      <c r="C114" s="192"/>
      <c r="D114" s="192"/>
      <c r="E114" s="192"/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2"/>
      <c r="V114" s="192"/>
      <c r="W114" s="192"/>
      <c r="X114" s="192"/>
      <c r="Y114" s="194"/>
      <c r="Z114" s="192"/>
      <c r="AA114" s="192"/>
      <c r="AB114" s="192"/>
      <c r="AC114" s="192"/>
      <c r="AD114" s="192"/>
      <c r="AE114" s="192"/>
      <c r="AF114" s="192"/>
      <c r="AG114" s="192"/>
      <c r="AH114" s="192"/>
      <c r="AI114" s="192"/>
      <c r="AJ114" s="192"/>
    </row>
    <row r="115" spans="1:36" ht="14.25" customHeight="1">
      <c r="A115" s="192"/>
      <c r="B115" s="195"/>
      <c r="C115" s="192"/>
      <c r="D115" s="192"/>
      <c r="E115" s="192"/>
      <c r="F115" s="192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2"/>
      <c r="V115" s="192"/>
      <c r="W115" s="192"/>
      <c r="X115" s="192"/>
      <c r="Y115" s="194"/>
      <c r="Z115" s="192"/>
      <c r="AA115" s="192"/>
      <c r="AB115" s="192"/>
      <c r="AC115" s="192"/>
      <c r="AD115" s="192"/>
      <c r="AE115" s="192"/>
      <c r="AF115" s="192"/>
      <c r="AG115" s="192"/>
      <c r="AH115" s="192"/>
      <c r="AI115" s="192"/>
      <c r="AJ115" s="192"/>
    </row>
    <row r="116" spans="1:36" ht="14.25" customHeight="1">
      <c r="A116" s="192"/>
      <c r="B116" s="195"/>
      <c r="C116" s="192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  <c r="X116" s="192"/>
      <c r="Y116" s="194"/>
      <c r="Z116" s="192"/>
      <c r="AA116" s="192"/>
      <c r="AB116" s="192"/>
      <c r="AC116" s="192"/>
      <c r="AD116" s="192"/>
      <c r="AE116" s="192"/>
      <c r="AF116" s="192"/>
      <c r="AG116" s="192"/>
      <c r="AH116" s="192"/>
      <c r="AI116" s="192"/>
      <c r="AJ116" s="192"/>
    </row>
    <row r="117" spans="1:36" ht="14.25" customHeight="1">
      <c r="A117" s="192"/>
      <c r="B117" s="195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  <c r="V117" s="192"/>
      <c r="W117" s="192"/>
      <c r="X117" s="192"/>
      <c r="Y117" s="194"/>
      <c r="Z117" s="192"/>
      <c r="AA117" s="192"/>
      <c r="AB117" s="192"/>
      <c r="AC117" s="192"/>
      <c r="AD117" s="192"/>
      <c r="AE117" s="192"/>
      <c r="AF117" s="192"/>
      <c r="AG117" s="192"/>
      <c r="AH117" s="192"/>
      <c r="AI117" s="192"/>
      <c r="AJ117" s="192"/>
    </row>
    <row r="118" spans="1:36" ht="14.25" customHeight="1">
      <c r="A118" s="192"/>
      <c r="B118" s="195"/>
      <c r="C118" s="192"/>
      <c r="D118" s="192"/>
      <c r="E118" s="192"/>
      <c r="F118" s="192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2"/>
      <c r="V118" s="192"/>
      <c r="W118" s="192"/>
      <c r="X118" s="192"/>
      <c r="Y118" s="194"/>
      <c r="Z118" s="192"/>
      <c r="AA118" s="192"/>
      <c r="AB118" s="192"/>
      <c r="AC118" s="192"/>
      <c r="AD118" s="192"/>
      <c r="AE118" s="192"/>
      <c r="AF118" s="192"/>
      <c r="AG118" s="192"/>
      <c r="AH118" s="192"/>
      <c r="AI118" s="192"/>
      <c r="AJ118" s="192"/>
    </row>
    <row r="119" spans="1:36" ht="14.25" customHeight="1">
      <c r="A119" s="192"/>
      <c r="B119" s="195"/>
      <c r="C119" s="192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2"/>
      <c r="W119" s="192"/>
      <c r="X119" s="192"/>
      <c r="Y119" s="194"/>
      <c r="Z119" s="192"/>
      <c r="AA119" s="192"/>
      <c r="AB119" s="192"/>
      <c r="AC119" s="192"/>
      <c r="AD119" s="192"/>
      <c r="AE119" s="192"/>
      <c r="AF119" s="192"/>
      <c r="AG119" s="192"/>
      <c r="AH119" s="192"/>
      <c r="AI119" s="192"/>
      <c r="AJ119" s="192"/>
    </row>
    <row r="120" spans="1:36" ht="14.25" customHeight="1">
      <c r="A120" s="192"/>
      <c r="B120" s="195"/>
      <c r="C120" s="192"/>
      <c r="D120" s="192"/>
      <c r="E120" s="192"/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2"/>
      <c r="V120" s="192"/>
      <c r="W120" s="192"/>
      <c r="X120" s="192"/>
      <c r="Y120" s="194"/>
      <c r="Z120" s="192"/>
      <c r="AA120" s="192"/>
      <c r="AB120" s="192"/>
      <c r="AC120" s="192"/>
      <c r="AD120" s="192"/>
      <c r="AE120" s="192"/>
      <c r="AF120" s="192"/>
      <c r="AG120" s="192"/>
      <c r="AH120" s="192"/>
      <c r="AI120" s="192"/>
      <c r="AJ120" s="192"/>
    </row>
    <row r="121" spans="1:36" ht="14.25" customHeight="1">
      <c r="A121" s="192"/>
      <c r="B121" s="195"/>
      <c r="C121" s="192"/>
      <c r="D121" s="192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2"/>
      <c r="V121" s="192"/>
      <c r="W121" s="192"/>
      <c r="X121" s="192"/>
      <c r="Y121" s="194"/>
      <c r="Z121" s="192"/>
      <c r="AA121" s="192"/>
      <c r="AB121" s="192"/>
      <c r="AC121" s="192"/>
      <c r="AD121" s="192"/>
      <c r="AE121" s="192"/>
      <c r="AF121" s="192"/>
      <c r="AG121" s="192"/>
      <c r="AH121" s="192"/>
      <c r="AI121" s="192"/>
      <c r="AJ121" s="192"/>
    </row>
    <row r="122" spans="1:36" ht="14.25" customHeight="1">
      <c r="A122" s="192"/>
      <c r="B122" s="195"/>
      <c r="C122" s="192"/>
      <c r="D122" s="192"/>
      <c r="E122" s="192"/>
      <c r="F122" s="192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2"/>
      <c r="V122" s="192"/>
      <c r="W122" s="192"/>
      <c r="X122" s="192"/>
      <c r="Y122" s="194"/>
      <c r="Z122" s="192"/>
      <c r="AA122" s="192"/>
      <c r="AB122" s="192"/>
      <c r="AC122" s="192"/>
      <c r="AD122" s="192"/>
      <c r="AE122" s="192"/>
      <c r="AF122" s="192"/>
      <c r="AG122" s="192"/>
      <c r="AH122" s="192"/>
      <c r="AI122" s="192"/>
      <c r="AJ122" s="192"/>
    </row>
    <row r="123" spans="1:36" ht="14.25" customHeight="1">
      <c r="A123" s="192"/>
      <c r="B123" s="195"/>
      <c r="C123" s="192"/>
      <c r="D123" s="192"/>
      <c r="E123" s="192"/>
      <c r="F123" s="192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2"/>
      <c r="V123" s="192"/>
      <c r="W123" s="192"/>
      <c r="X123" s="192"/>
      <c r="Y123" s="194"/>
      <c r="Z123" s="192"/>
      <c r="AA123" s="192"/>
      <c r="AB123" s="192"/>
      <c r="AC123" s="192"/>
      <c r="AD123" s="192"/>
      <c r="AE123" s="192"/>
      <c r="AF123" s="192"/>
      <c r="AG123" s="192"/>
      <c r="AH123" s="192"/>
      <c r="AI123" s="192"/>
      <c r="AJ123" s="192"/>
    </row>
    <row r="124" spans="1:36" ht="14.25" customHeight="1">
      <c r="A124" s="192"/>
      <c r="B124" s="195"/>
      <c r="C124" s="192"/>
      <c r="D124" s="192"/>
      <c r="E124" s="192"/>
      <c r="F124" s="192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2"/>
      <c r="V124" s="192"/>
      <c r="W124" s="192"/>
      <c r="X124" s="192"/>
      <c r="Y124" s="194"/>
      <c r="Z124" s="192"/>
      <c r="AA124" s="192"/>
      <c r="AB124" s="192"/>
      <c r="AC124" s="192"/>
      <c r="AD124" s="192"/>
      <c r="AE124" s="192"/>
      <c r="AF124" s="192"/>
      <c r="AG124" s="192"/>
      <c r="AH124" s="192"/>
      <c r="AI124" s="192"/>
      <c r="AJ124" s="192"/>
    </row>
    <row r="125" spans="1:36" ht="14.25" customHeight="1">
      <c r="A125" s="192"/>
      <c r="B125" s="195"/>
      <c r="C125" s="192"/>
      <c r="D125" s="192"/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2"/>
      <c r="V125" s="192"/>
      <c r="W125" s="192"/>
      <c r="X125" s="192"/>
      <c r="Y125" s="194"/>
      <c r="Z125" s="192"/>
      <c r="AA125" s="192"/>
      <c r="AB125" s="192"/>
      <c r="AC125" s="192"/>
      <c r="AD125" s="192"/>
      <c r="AE125" s="192"/>
      <c r="AF125" s="192"/>
      <c r="AG125" s="192"/>
      <c r="AH125" s="192"/>
      <c r="AI125" s="192"/>
      <c r="AJ125" s="192"/>
    </row>
    <row r="126" spans="1:36" ht="14.25" customHeight="1">
      <c r="A126" s="192"/>
      <c r="B126" s="195"/>
      <c r="C126" s="192"/>
      <c r="D126" s="192"/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2"/>
      <c r="V126" s="192"/>
      <c r="W126" s="192"/>
      <c r="X126" s="192"/>
      <c r="Y126" s="194"/>
      <c r="Z126" s="192"/>
      <c r="AA126" s="192"/>
      <c r="AB126" s="192"/>
      <c r="AC126" s="192"/>
      <c r="AD126" s="192"/>
      <c r="AE126" s="192"/>
      <c r="AF126" s="192"/>
      <c r="AG126" s="192"/>
      <c r="AH126" s="192"/>
      <c r="AI126" s="192"/>
      <c r="AJ126" s="192"/>
    </row>
    <row r="127" spans="1:36" ht="14.25" customHeight="1">
      <c r="A127" s="192"/>
      <c r="B127" s="195"/>
      <c r="C127" s="192"/>
      <c r="D127" s="192"/>
      <c r="E127" s="192"/>
      <c r="F127" s="192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2"/>
      <c r="V127" s="192"/>
      <c r="W127" s="192"/>
      <c r="X127" s="192"/>
      <c r="Y127" s="194"/>
      <c r="Z127" s="192"/>
      <c r="AA127" s="192"/>
      <c r="AB127" s="192"/>
      <c r="AC127" s="192"/>
      <c r="AD127" s="192"/>
      <c r="AE127" s="192"/>
      <c r="AF127" s="192"/>
      <c r="AG127" s="192"/>
      <c r="AH127" s="192"/>
      <c r="AI127" s="192"/>
      <c r="AJ127" s="192"/>
    </row>
    <row r="128" spans="1:36" ht="14.25" customHeight="1">
      <c r="A128" s="192"/>
      <c r="B128" s="195"/>
      <c r="C128" s="192"/>
      <c r="D128" s="192"/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2"/>
      <c r="V128" s="192"/>
      <c r="W128" s="192"/>
      <c r="X128" s="192"/>
      <c r="Y128" s="194"/>
      <c r="Z128" s="192"/>
      <c r="AA128" s="192"/>
      <c r="AB128" s="192"/>
      <c r="AC128" s="192"/>
      <c r="AD128" s="192"/>
      <c r="AE128" s="192"/>
      <c r="AF128" s="192"/>
      <c r="AG128" s="192"/>
      <c r="AH128" s="192"/>
      <c r="AI128" s="192"/>
      <c r="AJ128" s="192"/>
    </row>
    <row r="129" spans="1:36" ht="14.25" customHeight="1">
      <c r="A129" s="192"/>
      <c r="B129" s="195"/>
      <c r="C129" s="192"/>
      <c r="D129" s="192"/>
      <c r="E129" s="192"/>
      <c r="F129" s="192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2"/>
      <c r="V129" s="192"/>
      <c r="W129" s="192"/>
      <c r="X129" s="192"/>
      <c r="Y129" s="194"/>
      <c r="Z129" s="192"/>
      <c r="AA129" s="192"/>
      <c r="AB129" s="192"/>
      <c r="AC129" s="192"/>
      <c r="AD129" s="192"/>
      <c r="AE129" s="192"/>
      <c r="AF129" s="192"/>
      <c r="AG129" s="192"/>
      <c r="AH129" s="192"/>
      <c r="AI129" s="192"/>
      <c r="AJ129" s="192"/>
    </row>
    <row r="130" spans="1:36" ht="14.25" customHeight="1">
      <c r="A130" s="192"/>
      <c r="B130" s="195"/>
      <c r="C130" s="192"/>
      <c r="D130" s="192"/>
      <c r="E130" s="192"/>
      <c r="F130" s="192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2"/>
      <c r="V130" s="192"/>
      <c r="W130" s="192"/>
      <c r="X130" s="192"/>
      <c r="Y130" s="194"/>
      <c r="Z130" s="192"/>
      <c r="AA130" s="192"/>
      <c r="AB130" s="192"/>
      <c r="AC130" s="192"/>
      <c r="AD130" s="192"/>
      <c r="AE130" s="192"/>
      <c r="AF130" s="192"/>
      <c r="AG130" s="192"/>
      <c r="AH130" s="192"/>
      <c r="AI130" s="192"/>
      <c r="AJ130" s="192"/>
    </row>
    <row r="131" spans="1:36" ht="14.25" customHeight="1">
      <c r="A131" s="192"/>
      <c r="B131" s="195"/>
      <c r="C131" s="192"/>
      <c r="D131" s="192"/>
      <c r="E131" s="192"/>
      <c r="F131" s="192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2"/>
      <c r="V131" s="192"/>
      <c r="W131" s="192"/>
      <c r="X131" s="192"/>
      <c r="Y131" s="194"/>
      <c r="Z131" s="192"/>
      <c r="AA131" s="192"/>
      <c r="AB131" s="192"/>
      <c r="AC131" s="192"/>
      <c r="AD131" s="192"/>
      <c r="AE131" s="192"/>
      <c r="AF131" s="192"/>
      <c r="AG131" s="192"/>
      <c r="AH131" s="192"/>
      <c r="AI131" s="192"/>
      <c r="AJ131" s="192"/>
    </row>
    <row r="132" spans="1:36" ht="14.25" customHeight="1">
      <c r="A132" s="192"/>
      <c r="B132" s="195"/>
      <c r="C132" s="192"/>
      <c r="D132" s="192"/>
      <c r="E132" s="192"/>
      <c r="F132" s="192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2"/>
      <c r="V132" s="192"/>
      <c r="W132" s="192"/>
      <c r="X132" s="192"/>
      <c r="Y132" s="194"/>
      <c r="Z132" s="192"/>
      <c r="AA132" s="192"/>
      <c r="AB132" s="192"/>
      <c r="AC132" s="192"/>
      <c r="AD132" s="192"/>
      <c r="AE132" s="192"/>
      <c r="AF132" s="192"/>
      <c r="AG132" s="192"/>
      <c r="AH132" s="192"/>
      <c r="AI132" s="192"/>
      <c r="AJ132" s="192"/>
    </row>
    <row r="133" spans="1:36" ht="14.25" customHeight="1">
      <c r="A133" s="192"/>
      <c r="B133" s="195"/>
      <c r="C133" s="192"/>
      <c r="D133" s="192"/>
      <c r="E133" s="192"/>
      <c r="F133" s="192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2"/>
      <c r="V133" s="192"/>
      <c r="W133" s="192"/>
      <c r="X133" s="192"/>
      <c r="Y133" s="194"/>
      <c r="Z133" s="192"/>
      <c r="AA133" s="192"/>
      <c r="AB133" s="192"/>
      <c r="AC133" s="192"/>
      <c r="AD133" s="192"/>
      <c r="AE133" s="192"/>
      <c r="AF133" s="192"/>
      <c r="AG133" s="192"/>
      <c r="AH133" s="192"/>
      <c r="AI133" s="192"/>
      <c r="AJ133" s="192"/>
    </row>
    <row r="134" spans="1:36" ht="14.25" customHeight="1">
      <c r="A134" s="192"/>
      <c r="B134" s="195"/>
      <c r="C134" s="192"/>
      <c r="D134" s="192"/>
      <c r="E134" s="192"/>
      <c r="F134" s="192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2"/>
      <c r="V134" s="192"/>
      <c r="W134" s="192"/>
      <c r="X134" s="192"/>
      <c r="Y134" s="194"/>
      <c r="Z134" s="192"/>
      <c r="AA134" s="192"/>
      <c r="AB134" s="192"/>
      <c r="AC134" s="192"/>
      <c r="AD134" s="192"/>
      <c r="AE134" s="192"/>
      <c r="AF134" s="192"/>
      <c r="AG134" s="192"/>
      <c r="AH134" s="192"/>
      <c r="AI134" s="192"/>
      <c r="AJ134" s="192"/>
    </row>
    <row r="135" spans="1:36" ht="14.25" customHeight="1">
      <c r="A135" s="192"/>
      <c r="B135" s="195"/>
      <c r="C135" s="192"/>
      <c r="D135" s="192"/>
      <c r="E135" s="192"/>
      <c r="F135" s="192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2"/>
      <c r="V135" s="192"/>
      <c r="W135" s="192"/>
      <c r="X135" s="192"/>
      <c r="Y135" s="194"/>
      <c r="Z135" s="192"/>
      <c r="AA135" s="192"/>
      <c r="AB135" s="192"/>
      <c r="AC135" s="192"/>
      <c r="AD135" s="192"/>
      <c r="AE135" s="192"/>
      <c r="AF135" s="192"/>
      <c r="AG135" s="192"/>
      <c r="AH135" s="192"/>
      <c r="AI135" s="192"/>
      <c r="AJ135" s="192"/>
    </row>
    <row r="136" spans="1:36" ht="14.25" customHeight="1">
      <c r="A136" s="192"/>
      <c r="B136" s="195"/>
      <c r="C136" s="192"/>
      <c r="D136" s="192"/>
      <c r="E136" s="192"/>
      <c r="F136" s="192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2"/>
      <c r="V136" s="192"/>
      <c r="W136" s="192"/>
      <c r="X136" s="192"/>
      <c r="Y136" s="194"/>
      <c r="Z136" s="192"/>
      <c r="AA136" s="192"/>
      <c r="AB136" s="192"/>
      <c r="AC136" s="192"/>
      <c r="AD136" s="192"/>
      <c r="AE136" s="192"/>
      <c r="AF136" s="192"/>
      <c r="AG136" s="192"/>
      <c r="AH136" s="192"/>
      <c r="AI136" s="192"/>
      <c r="AJ136" s="192"/>
    </row>
    <row r="137" spans="1:36" ht="14.25" customHeight="1">
      <c r="A137" s="192"/>
      <c r="B137" s="195"/>
      <c r="C137" s="192"/>
      <c r="D137" s="192"/>
      <c r="E137" s="192"/>
      <c r="F137" s="192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2"/>
      <c r="V137" s="192"/>
      <c r="W137" s="192"/>
      <c r="X137" s="192"/>
      <c r="Y137" s="194"/>
      <c r="Z137" s="192"/>
      <c r="AA137" s="192"/>
      <c r="AB137" s="192"/>
      <c r="AC137" s="192"/>
      <c r="AD137" s="192"/>
      <c r="AE137" s="192"/>
      <c r="AF137" s="192"/>
      <c r="AG137" s="192"/>
      <c r="AH137" s="192"/>
      <c r="AI137" s="192"/>
      <c r="AJ137" s="192"/>
    </row>
    <row r="138" spans="1:36" ht="14.25" customHeight="1">
      <c r="A138" s="192"/>
      <c r="B138" s="195"/>
      <c r="C138" s="192"/>
      <c r="D138" s="192"/>
      <c r="E138" s="192"/>
      <c r="F138" s="192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2"/>
      <c r="V138" s="192"/>
      <c r="W138" s="192"/>
      <c r="X138" s="192"/>
      <c r="Y138" s="194"/>
      <c r="Z138" s="192"/>
      <c r="AA138" s="192"/>
      <c r="AB138" s="192"/>
      <c r="AC138" s="192"/>
      <c r="AD138" s="192"/>
      <c r="AE138" s="192"/>
      <c r="AF138" s="192"/>
      <c r="AG138" s="192"/>
      <c r="AH138" s="192"/>
      <c r="AI138" s="192"/>
      <c r="AJ138" s="192"/>
    </row>
    <row r="139" spans="1:36" ht="14.25" customHeight="1">
      <c r="A139" s="192"/>
      <c r="B139" s="195"/>
      <c r="C139" s="192"/>
      <c r="D139" s="192"/>
      <c r="E139" s="192"/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2"/>
      <c r="V139" s="192"/>
      <c r="W139" s="192"/>
      <c r="X139" s="192"/>
      <c r="Y139" s="194"/>
      <c r="Z139" s="192"/>
      <c r="AA139" s="192"/>
      <c r="AB139" s="192"/>
      <c r="AC139" s="192"/>
      <c r="AD139" s="192"/>
      <c r="AE139" s="192"/>
      <c r="AF139" s="192"/>
      <c r="AG139" s="192"/>
      <c r="AH139" s="192"/>
      <c r="AI139" s="192"/>
      <c r="AJ139" s="192"/>
    </row>
    <row r="140" spans="1:36" ht="14.25" customHeight="1">
      <c r="A140" s="192"/>
      <c r="B140" s="195"/>
      <c r="C140" s="192"/>
      <c r="D140" s="192"/>
      <c r="E140" s="192"/>
      <c r="F140" s="192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2"/>
      <c r="V140" s="192"/>
      <c r="W140" s="192"/>
      <c r="X140" s="192"/>
      <c r="Y140" s="194"/>
      <c r="Z140" s="192"/>
      <c r="AA140" s="192"/>
      <c r="AB140" s="192"/>
      <c r="AC140" s="192"/>
      <c r="AD140" s="192"/>
      <c r="AE140" s="192"/>
      <c r="AF140" s="192"/>
      <c r="AG140" s="192"/>
      <c r="AH140" s="192"/>
      <c r="AI140" s="192"/>
      <c r="AJ140" s="192"/>
    </row>
    <row r="141" spans="1:36" ht="14.25" customHeight="1">
      <c r="A141" s="192"/>
      <c r="B141" s="195"/>
      <c r="C141" s="192"/>
      <c r="D141" s="192"/>
      <c r="E141" s="192"/>
      <c r="F141" s="192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2"/>
      <c r="V141" s="192"/>
      <c r="W141" s="192"/>
      <c r="X141" s="192"/>
      <c r="Y141" s="194"/>
      <c r="Z141" s="192"/>
      <c r="AA141" s="192"/>
      <c r="AB141" s="192"/>
      <c r="AC141" s="192"/>
      <c r="AD141" s="192"/>
      <c r="AE141" s="192"/>
      <c r="AF141" s="192"/>
      <c r="AG141" s="192"/>
      <c r="AH141" s="192"/>
      <c r="AI141" s="192"/>
      <c r="AJ141" s="192"/>
    </row>
    <row r="142" spans="1:36" ht="14.25" customHeight="1">
      <c r="A142" s="192"/>
      <c r="B142" s="195"/>
      <c r="C142" s="192"/>
      <c r="D142" s="192"/>
      <c r="E142" s="192"/>
      <c r="F142" s="192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2"/>
      <c r="V142" s="192"/>
      <c r="W142" s="192"/>
      <c r="X142" s="192"/>
      <c r="Y142" s="194"/>
      <c r="Z142" s="192"/>
      <c r="AA142" s="192"/>
      <c r="AB142" s="192"/>
      <c r="AC142" s="192"/>
      <c r="AD142" s="192"/>
      <c r="AE142" s="192"/>
      <c r="AF142" s="192"/>
      <c r="AG142" s="192"/>
      <c r="AH142" s="192"/>
      <c r="AI142" s="192"/>
      <c r="AJ142" s="192"/>
    </row>
    <row r="143" spans="1:36" ht="14.25" customHeight="1">
      <c r="A143" s="192"/>
      <c r="B143" s="195"/>
      <c r="C143" s="192"/>
      <c r="D143" s="192"/>
      <c r="E143" s="192"/>
      <c r="F143" s="192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2"/>
      <c r="V143" s="192"/>
      <c r="W143" s="192"/>
      <c r="X143" s="192"/>
      <c r="Y143" s="194"/>
      <c r="Z143" s="192"/>
      <c r="AA143" s="192"/>
      <c r="AB143" s="192"/>
      <c r="AC143" s="192"/>
      <c r="AD143" s="192"/>
      <c r="AE143" s="192"/>
      <c r="AF143" s="192"/>
      <c r="AG143" s="192"/>
      <c r="AH143" s="192"/>
      <c r="AI143" s="192"/>
      <c r="AJ143" s="192"/>
    </row>
    <row r="144" spans="1:36" ht="14.25" customHeight="1">
      <c r="A144" s="192"/>
      <c r="B144" s="195"/>
      <c r="C144" s="192"/>
      <c r="D144" s="192"/>
      <c r="E144" s="192"/>
      <c r="F144" s="192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2"/>
      <c r="V144" s="192"/>
      <c r="W144" s="192"/>
      <c r="X144" s="192"/>
      <c r="Y144" s="194"/>
      <c r="Z144" s="192"/>
      <c r="AA144" s="192"/>
      <c r="AB144" s="192"/>
      <c r="AC144" s="192"/>
      <c r="AD144" s="192"/>
      <c r="AE144" s="192"/>
      <c r="AF144" s="192"/>
      <c r="AG144" s="192"/>
      <c r="AH144" s="192"/>
      <c r="AI144" s="192"/>
      <c r="AJ144" s="192"/>
    </row>
    <row r="145" spans="1:36" ht="14.25" customHeight="1">
      <c r="A145" s="192"/>
      <c r="B145" s="195"/>
      <c r="C145" s="192"/>
      <c r="D145" s="192"/>
      <c r="E145" s="192"/>
      <c r="F145" s="192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2"/>
      <c r="V145" s="192"/>
      <c r="W145" s="192"/>
      <c r="X145" s="192"/>
      <c r="Y145" s="194"/>
      <c r="Z145" s="192"/>
      <c r="AA145" s="192"/>
      <c r="AB145" s="192"/>
      <c r="AC145" s="192"/>
      <c r="AD145" s="192"/>
      <c r="AE145" s="192"/>
      <c r="AF145" s="192"/>
      <c r="AG145" s="192"/>
      <c r="AH145" s="192"/>
      <c r="AI145" s="192"/>
      <c r="AJ145" s="192"/>
    </row>
    <row r="146" spans="1:36" ht="14.25" customHeight="1">
      <c r="A146" s="192"/>
      <c r="B146" s="195"/>
      <c r="C146" s="192"/>
      <c r="D146" s="192"/>
      <c r="E146" s="192"/>
      <c r="F146" s="192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2"/>
      <c r="V146" s="192"/>
      <c r="W146" s="192"/>
      <c r="X146" s="192"/>
      <c r="Y146" s="194"/>
      <c r="Z146" s="192"/>
      <c r="AA146" s="192"/>
      <c r="AB146" s="192"/>
      <c r="AC146" s="192"/>
      <c r="AD146" s="192"/>
      <c r="AE146" s="192"/>
      <c r="AF146" s="192"/>
      <c r="AG146" s="192"/>
      <c r="AH146" s="192"/>
      <c r="AI146" s="192"/>
      <c r="AJ146" s="192"/>
    </row>
    <row r="147" spans="1:36" ht="14.25" customHeight="1">
      <c r="A147" s="192"/>
      <c r="B147" s="195"/>
      <c r="C147" s="192"/>
      <c r="D147" s="192"/>
      <c r="E147" s="192"/>
      <c r="F147" s="192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2"/>
      <c r="V147" s="192"/>
      <c r="W147" s="192"/>
      <c r="X147" s="192"/>
      <c r="Y147" s="194"/>
      <c r="Z147" s="192"/>
      <c r="AA147" s="192"/>
      <c r="AB147" s="192"/>
      <c r="AC147" s="192"/>
      <c r="AD147" s="192"/>
      <c r="AE147" s="192"/>
      <c r="AF147" s="192"/>
      <c r="AG147" s="192"/>
      <c r="AH147" s="192"/>
      <c r="AI147" s="192"/>
      <c r="AJ147" s="192"/>
    </row>
    <row r="148" spans="1:36" ht="14.25" customHeight="1">
      <c r="A148" s="192"/>
      <c r="B148" s="195"/>
      <c r="C148" s="192"/>
      <c r="D148" s="192"/>
      <c r="E148" s="192"/>
      <c r="F148" s="192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2"/>
      <c r="V148" s="192"/>
      <c r="W148" s="192"/>
      <c r="X148" s="192"/>
      <c r="Y148" s="194"/>
      <c r="Z148" s="192"/>
      <c r="AA148" s="192"/>
      <c r="AB148" s="192"/>
      <c r="AC148" s="192"/>
      <c r="AD148" s="192"/>
      <c r="AE148" s="192"/>
      <c r="AF148" s="192"/>
      <c r="AG148" s="192"/>
      <c r="AH148" s="192"/>
      <c r="AI148" s="192"/>
      <c r="AJ148" s="192"/>
    </row>
    <row r="149" spans="1:36" ht="14.25" customHeight="1">
      <c r="A149" s="192"/>
      <c r="B149" s="195"/>
      <c r="C149" s="192"/>
      <c r="D149" s="192"/>
      <c r="E149" s="192"/>
      <c r="F149" s="192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2"/>
      <c r="V149" s="192"/>
      <c r="W149" s="192"/>
      <c r="X149" s="192"/>
      <c r="Y149" s="194"/>
      <c r="Z149" s="192"/>
      <c r="AA149" s="192"/>
      <c r="AB149" s="192"/>
      <c r="AC149" s="192"/>
      <c r="AD149" s="192"/>
      <c r="AE149" s="192"/>
      <c r="AF149" s="192"/>
      <c r="AG149" s="192"/>
      <c r="AH149" s="192"/>
      <c r="AI149" s="192"/>
      <c r="AJ149" s="192"/>
    </row>
    <row r="150" spans="1:36" ht="14.25" customHeight="1">
      <c r="A150" s="192"/>
      <c r="B150" s="195"/>
      <c r="C150" s="192"/>
      <c r="D150" s="192"/>
      <c r="E150" s="192"/>
      <c r="F150" s="192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2"/>
      <c r="V150" s="192"/>
      <c r="W150" s="192"/>
      <c r="X150" s="192"/>
      <c r="Y150" s="194"/>
      <c r="Z150" s="192"/>
      <c r="AA150" s="192"/>
      <c r="AB150" s="192"/>
      <c r="AC150" s="192"/>
      <c r="AD150" s="192"/>
      <c r="AE150" s="192"/>
      <c r="AF150" s="192"/>
      <c r="AG150" s="192"/>
      <c r="AH150" s="192"/>
      <c r="AI150" s="192"/>
      <c r="AJ150" s="192"/>
    </row>
    <row r="151" spans="1:36" ht="14.25" customHeight="1">
      <c r="A151" s="192"/>
      <c r="B151" s="195"/>
      <c r="C151" s="192"/>
      <c r="D151" s="192"/>
      <c r="E151" s="192"/>
      <c r="F151" s="192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2"/>
      <c r="V151" s="192"/>
      <c r="W151" s="192"/>
      <c r="X151" s="192"/>
      <c r="Y151" s="194"/>
      <c r="Z151" s="192"/>
      <c r="AA151" s="192"/>
      <c r="AB151" s="192"/>
      <c r="AC151" s="192"/>
      <c r="AD151" s="192"/>
      <c r="AE151" s="192"/>
      <c r="AF151" s="192"/>
      <c r="AG151" s="192"/>
      <c r="AH151" s="192"/>
      <c r="AI151" s="192"/>
      <c r="AJ151" s="192"/>
    </row>
    <row r="152" spans="1:36" ht="14.25" customHeight="1">
      <c r="A152" s="192"/>
      <c r="B152" s="195"/>
      <c r="C152" s="192"/>
      <c r="D152" s="192"/>
      <c r="E152" s="192"/>
      <c r="F152" s="192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2"/>
      <c r="V152" s="192"/>
      <c r="W152" s="192"/>
      <c r="X152" s="192"/>
      <c r="Y152" s="194"/>
      <c r="Z152" s="192"/>
      <c r="AA152" s="192"/>
      <c r="AB152" s="192"/>
      <c r="AC152" s="192"/>
      <c r="AD152" s="192"/>
      <c r="AE152" s="192"/>
      <c r="AF152" s="192"/>
      <c r="AG152" s="192"/>
      <c r="AH152" s="192"/>
      <c r="AI152" s="192"/>
      <c r="AJ152" s="192"/>
    </row>
    <row r="153" spans="1:36" ht="14.25" customHeight="1">
      <c r="A153" s="192"/>
      <c r="B153" s="195"/>
      <c r="C153" s="192"/>
      <c r="D153" s="192"/>
      <c r="E153" s="192"/>
      <c r="F153" s="192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2"/>
      <c r="V153" s="192"/>
      <c r="W153" s="192"/>
      <c r="X153" s="192"/>
      <c r="Y153" s="194"/>
      <c r="Z153" s="192"/>
      <c r="AA153" s="192"/>
      <c r="AB153" s="192"/>
      <c r="AC153" s="192"/>
      <c r="AD153" s="192"/>
      <c r="AE153" s="192"/>
      <c r="AF153" s="192"/>
      <c r="AG153" s="192"/>
      <c r="AH153" s="192"/>
      <c r="AI153" s="192"/>
      <c r="AJ153" s="192"/>
    </row>
    <row r="154" spans="1:36" ht="14.25" customHeight="1">
      <c r="A154" s="192"/>
      <c r="B154" s="195"/>
      <c r="C154" s="192"/>
      <c r="D154" s="192"/>
      <c r="E154" s="192"/>
      <c r="F154" s="192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2"/>
      <c r="V154" s="192"/>
      <c r="W154" s="192"/>
      <c r="X154" s="192"/>
      <c r="Y154" s="194"/>
      <c r="Z154" s="192"/>
      <c r="AA154" s="192"/>
      <c r="AB154" s="192"/>
      <c r="AC154" s="192"/>
      <c r="AD154" s="192"/>
      <c r="AE154" s="192"/>
      <c r="AF154" s="192"/>
      <c r="AG154" s="192"/>
      <c r="AH154" s="192"/>
      <c r="AI154" s="192"/>
      <c r="AJ154" s="192"/>
    </row>
    <row r="155" spans="1:36" ht="14.25" customHeight="1">
      <c r="A155" s="192"/>
      <c r="B155" s="195"/>
      <c r="C155" s="192"/>
      <c r="D155" s="192"/>
      <c r="E155" s="192"/>
      <c r="F155" s="192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2"/>
      <c r="V155" s="192"/>
      <c r="W155" s="192"/>
      <c r="X155" s="192"/>
      <c r="Y155" s="194"/>
      <c r="Z155" s="192"/>
      <c r="AA155" s="192"/>
      <c r="AB155" s="192"/>
      <c r="AC155" s="192"/>
      <c r="AD155" s="192"/>
      <c r="AE155" s="192"/>
      <c r="AF155" s="192"/>
      <c r="AG155" s="192"/>
      <c r="AH155" s="192"/>
      <c r="AI155" s="192"/>
      <c r="AJ155" s="192"/>
    </row>
    <row r="156" spans="1:36" ht="14.25" customHeight="1">
      <c r="A156" s="192"/>
      <c r="B156" s="195"/>
      <c r="C156" s="192"/>
      <c r="D156" s="192"/>
      <c r="E156" s="192"/>
      <c r="F156" s="192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2"/>
      <c r="V156" s="192"/>
      <c r="W156" s="192"/>
      <c r="X156" s="192"/>
      <c r="Y156" s="194"/>
      <c r="Z156" s="192"/>
      <c r="AA156" s="192"/>
      <c r="AB156" s="192"/>
      <c r="AC156" s="192"/>
      <c r="AD156" s="192"/>
      <c r="AE156" s="192"/>
      <c r="AF156" s="192"/>
      <c r="AG156" s="192"/>
      <c r="AH156" s="192"/>
      <c r="AI156" s="192"/>
      <c r="AJ156" s="192"/>
    </row>
    <row r="157" spans="1:36" ht="14.25" customHeight="1">
      <c r="A157" s="192"/>
      <c r="B157" s="195"/>
      <c r="C157" s="192"/>
      <c r="D157" s="192"/>
      <c r="E157" s="192"/>
      <c r="F157" s="192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2"/>
      <c r="V157" s="192"/>
      <c r="W157" s="192"/>
      <c r="X157" s="192"/>
      <c r="Y157" s="194"/>
      <c r="Z157" s="192"/>
      <c r="AA157" s="192"/>
      <c r="AB157" s="192"/>
      <c r="AC157" s="192"/>
      <c r="AD157" s="192"/>
      <c r="AE157" s="192"/>
      <c r="AF157" s="192"/>
      <c r="AG157" s="192"/>
      <c r="AH157" s="192"/>
      <c r="AI157" s="192"/>
      <c r="AJ157" s="192"/>
    </row>
    <row r="158" spans="1:36" ht="14.25" customHeight="1">
      <c r="A158" s="192"/>
      <c r="B158" s="195"/>
      <c r="C158" s="192"/>
      <c r="D158" s="192"/>
      <c r="E158" s="192"/>
      <c r="F158" s="192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2"/>
      <c r="V158" s="192"/>
      <c r="W158" s="192"/>
      <c r="X158" s="192"/>
      <c r="Y158" s="194"/>
      <c r="Z158" s="192"/>
      <c r="AA158" s="192"/>
      <c r="AB158" s="192"/>
      <c r="AC158" s="192"/>
      <c r="AD158" s="192"/>
      <c r="AE158" s="192"/>
      <c r="AF158" s="192"/>
      <c r="AG158" s="192"/>
      <c r="AH158" s="192"/>
      <c r="AI158" s="192"/>
      <c r="AJ158" s="192"/>
    </row>
    <row r="159" spans="1:36" ht="14.25" customHeight="1">
      <c r="A159" s="192"/>
      <c r="B159" s="195"/>
      <c r="C159" s="192"/>
      <c r="D159" s="192"/>
      <c r="E159" s="192"/>
      <c r="F159" s="192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2"/>
      <c r="V159" s="192"/>
      <c r="W159" s="192"/>
      <c r="X159" s="192"/>
      <c r="Y159" s="194"/>
      <c r="Z159" s="192"/>
      <c r="AA159" s="192"/>
      <c r="AB159" s="192"/>
      <c r="AC159" s="192"/>
      <c r="AD159" s="192"/>
      <c r="AE159" s="192"/>
      <c r="AF159" s="192"/>
      <c r="AG159" s="192"/>
      <c r="AH159" s="192"/>
      <c r="AI159" s="192"/>
      <c r="AJ159" s="192"/>
    </row>
    <row r="160" spans="1:36" ht="14.25" customHeight="1">
      <c r="A160" s="192"/>
      <c r="B160" s="195"/>
      <c r="C160" s="192"/>
      <c r="D160" s="192"/>
      <c r="E160" s="192"/>
      <c r="F160" s="192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2"/>
      <c r="V160" s="192"/>
      <c r="W160" s="192"/>
      <c r="X160" s="192"/>
      <c r="Y160" s="194"/>
      <c r="Z160" s="192"/>
      <c r="AA160" s="192"/>
      <c r="AB160" s="192"/>
      <c r="AC160" s="192"/>
      <c r="AD160" s="192"/>
      <c r="AE160" s="192"/>
      <c r="AF160" s="192"/>
      <c r="AG160" s="192"/>
      <c r="AH160" s="192"/>
      <c r="AI160" s="192"/>
      <c r="AJ160" s="192"/>
    </row>
    <row r="161" spans="1:36" ht="14.25" customHeight="1">
      <c r="A161" s="192"/>
      <c r="B161" s="195"/>
      <c r="C161" s="192"/>
      <c r="D161" s="192"/>
      <c r="E161" s="192"/>
      <c r="F161" s="192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2"/>
      <c r="V161" s="192"/>
      <c r="W161" s="192"/>
      <c r="X161" s="192"/>
      <c r="Y161" s="194"/>
      <c r="Z161" s="192"/>
      <c r="AA161" s="192"/>
      <c r="AB161" s="192"/>
      <c r="AC161" s="192"/>
      <c r="AD161" s="192"/>
      <c r="AE161" s="192"/>
      <c r="AF161" s="192"/>
      <c r="AG161" s="192"/>
      <c r="AH161" s="192"/>
      <c r="AI161" s="192"/>
      <c r="AJ161" s="192"/>
    </row>
    <row r="162" spans="1:36" ht="14.25" customHeight="1">
      <c r="A162" s="192"/>
      <c r="B162" s="195"/>
      <c r="C162" s="192"/>
      <c r="D162" s="192"/>
      <c r="E162" s="192"/>
      <c r="F162" s="192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2"/>
      <c r="V162" s="192"/>
      <c r="W162" s="192"/>
      <c r="X162" s="192"/>
      <c r="Y162" s="194"/>
      <c r="Z162" s="192"/>
      <c r="AA162" s="192"/>
      <c r="AB162" s="192"/>
      <c r="AC162" s="192"/>
      <c r="AD162" s="192"/>
      <c r="AE162" s="192"/>
      <c r="AF162" s="192"/>
      <c r="AG162" s="192"/>
      <c r="AH162" s="192"/>
      <c r="AI162" s="192"/>
      <c r="AJ162" s="192"/>
    </row>
    <row r="163" spans="1:36" ht="14.25" customHeight="1">
      <c r="A163" s="192"/>
      <c r="B163" s="195"/>
      <c r="C163" s="192"/>
      <c r="D163" s="192"/>
      <c r="E163" s="192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2"/>
      <c r="V163" s="192"/>
      <c r="W163" s="192"/>
      <c r="X163" s="192"/>
      <c r="Y163" s="194"/>
      <c r="Z163" s="192"/>
      <c r="AA163" s="192"/>
      <c r="AB163" s="192"/>
      <c r="AC163" s="192"/>
      <c r="AD163" s="192"/>
      <c r="AE163" s="192"/>
      <c r="AF163" s="192"/>
      <c r="AG163" s="192"/>
      <c r="AH163" s="192"/>
      <c r="AI163" s="192"/>
      <c r="AJ163" s="192"/>
    </row>
    <row r="164" spans="1:36" ht="14.25" customHeight="1">
      <c r="A164" s="192"/>
      <c r="B164" s="195"/>
      <c r="C164" s="192"/>
      <c r="D164" s="192"/>
      <c r="E164" s="192"/>
      <c r="F164" s="192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2"/>
      <c r="V164" s="192"/>
      <c r="W164" s="192"/>
      <c r="X164" s="192"/>
      <c r="Y164" s="194"/>
      <c r="Z164" s="192"/>
      <c r="AA164" s="192"/>
      <c r="AB164" s="192"/>
      <c r="AC164" s="192"/>
      <c r="AD164" s="192"/>
      <c r="AE164" s="192"/>
      <c r="AF164" s="192"/>
      <c r="AG164" s="192"/>
      <c r="AH164" s="192"/>
      <c r="AI164" s="192"/>
      <c r="AJ164" s="192"/>
    </row>
    <row r="165" spans="1:36" ht="14.25" customHeight="1">
      <c r="A165" s="192"/>
      <c r="B165" s="195"/>
      <c r="C165" s="192"/>
      <c r="D165" s="192"/>
      <c r="E165" s="192"/>
      <c r="F165" s="192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2"/>
      <c r="V165" s="192"/>
      <c r="W165" s="192"/>
      <c r="X165" s="192"/>
      <c r="Y165" s="194"/>
      <c r="Z165" s="192"/>
      <c r="AA165" s="192"/>
      <c r="AB165" s="192"/>
      <c r="AC165" s="192"/>
      <c r="AD165" s="192"/>
      <c r="AE165" s="192"/>
      <c r="AF165" s="192"/>
      <c r="AG165" s="192"/>
      <c r="AH165" s="192"/>
      <c r="AI165" s="192"/>
      <c r="AJ165" s="192"/>
    </row>
    <row r="166" spans="1:36" ht="14.25" customHeight="1">
      <c r="A166" s="192"/>
      <c r="B166" s="195"/>
      <c r="C166" s="192"/>
      <c r="D166" s="192"/>
      <c r="E166" s="192"/>
      <c r="F166" s="192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2"/>
      <c r="V166" s="192"/>
      <c r="W166" s="192"/>
      <c r="X166" s="192"/>
      <c r="Y166" s="194"/>
      <c r="Z166" s="192"/>
      <c r="AA166" s="192"/>
      <c r="AB166" s="192"/>
      <c r="AC166" s="192"/>
      <c r="AD166" s="192"/>
      <c r="AE166" s="192"/>
      <c r="AF166" s="192"/>
      <c r="AG166" s="192"/>
      <c r="AH166" s="192"/>
      <c r="AI166" s="192"/>
      <c r="AJ166" s="192"/>
    </row>
    <row r="167" spans="1:36" ht="14.25" customHeight="1">
      <c r="A167" s="192"/>
      <c r="B167" s="195"/>
      <c r="C167" s="192"/>
      <c r="D167" s="192"/>
      <c r="E167" s="192"/>
      <c r="F167" s="192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2"/>
      <c r="V167" s="192"/>
      <c r="W167" s="192"/>
      <c r="X167" s="192"/>
      <c r="Y167" s="194"/>
      <c r="Z167" s="192"/>
      <c r="AA167" s="192"/>
      <c r="AB167" s="192"/>
      <c r="AC167" s="192"/>
      <c r="AD167" s="192"/>
      <c r="AE167" s="192"/>
      <c r="AF167" s="192"/>
      <c r="AG167" s="192"/>
      <c r="AH167" s="192"/>
      <c r="AI167" s="192"/>
      <c r="AJ167" s="192"/>
    </row>
    <row r="168" spans="1:36" ht="14.25" customHeight="1">
      <c r="A168" s="192"/>
      <c r="B168" s="195"/>
      <c r="C168" s="192"/>
      <c r="D168" s="192"/>
      <c r="E168" s="192"/>
      <c r="F168" s="192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2"/>
      <c r="V168" s="192"/>
      <c r="W168" s="192"/>
      <c r="X168" s="192"/>
      <c r="Y168" s="194"/>
      <c r="Z168" s="192"/>
      <c r="AA168" s="192"/>
      <c r="AB168" s="192"/>
      <c r="AC168" s="192"/>
      <c r="AD168" s="192"/>
      <c r="AE168" s="192"/>
      <c r="AF168" s="192"/>
      <c r="AG168" s="192"/>
      <c r="AH168" s="192"/>
      <c r="AI168" s="192"/>
      <c r="AJ168" s="192"/>
    </row>
    <row r="169" spans="1:36" ht="14.25" customHeight="1">
      <c r="A169" s="192"/>
      <c r="B169" s="195"/>
      <c r="C169" s="192"/>
      <c r="D169" s="192"/>
      <c r="E169" s="192"/>
      <c r="F169" s="192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2"/>
      <c r="V169" s="192"/>
      <c r="W169" s="192"/>
      <c r="X169" s="192"/>
      <c r="Y169" s="194"/>
      <c r="Z169" s="192"/>
      <c r="AA169" s="192"/>
      <c r="AB169" s="192"/>
      <c r="AC169" s="192"/>
      <c r="AD169" s="192"/>
      <c r="AE169" s="192"/>
      <c r="AF169" s="192"/>
      <c r="AG169" s="192"/>
      <c r="AH169" s="192"/>
      <c r="AI169" s="192"/>
      <c r="AJ169" s="192"/>
    </row>
    <row r="170" spans="1:36" ht="14.25" customHeight="1">
      <c r="A170" s="192"/>
      <c r="B170" s="195"/>
      <c r="C170" s="192"/>
      <c r="D170" s="192"/>
      <c r="E170" s="192"/>
      <c r="F170" s="192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2"/>
      <c r="V170" s="192"/>
      <c r="W170" s="192"/>
      <c r="X170" s="192"/>
      <c r="Y170" s="194"/>
      <c r="Z170" s="192"/>
      <c r="AA170" s="192"/>
      <c r="AB170" s="192"/>
      <c r="AC170" s="192"/>
      <c r="AD170" s="192"/>
      <c r="AE170" s="192"/>
      <c r="AF170" s="192"/>
      <c r="AG170" s="192"/>
      <c r="AH170" s="192"/>
      <c r="AI170" s="192"/>
      <c r="AJ170" s="192"/>
    </row>
    <row r="171" spans="1:36" ht="14.25" customHeight="1">
      <c r="A171" s="192"/>
      <c r="B171" s="195"/>
      <c r="C171" s="192"/>
      <c r="D171" s="192"/>
      <c r="E171" s="192"/>
      <c r="F171" s="192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2"/>
      <c r="V171" s="192"/>
      <c r="W171" s="192"/>
      <c r="X171" s="192"/>
      <c r="Y171" s="194"/>
      <c r="Z171" s="192"/>
      <c r="AA171" s="192"/>
      <c r="AB171" s="192"/>
      <c r="AC171" s="192"/>
      <c r="AD171" s="192"/>
      <c r="AE171" s="192"/>
      <c r="AF171" s="192"/>
      <c r="AG171" s="192"/>
      <c r="AH171" s="192"/>
      <c r="AI171" s="192"/>
      <c r="AJ171" s="192"/>
    </row>
    <row r="172" spans="1:36" ht="14.25" customHeight="1">
      <c r="A172" s="192"/>
      <c r="B172" s="195"/>
      <c r="C172" s="192"/>
      <c r="D172" s="192"/>
      <c r="E172" s="192"/>
      <c r="F172" s="192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2"/>
      <c r="V172" s="192"/>
      <c r="W172" s="192"/>
      <c r="X172" s="192"/>
      <c r="Y172" s="194"/>
      <c r="Z172" s="192"/>
      <c r="AA172" s="192"/>
      <c r="AB172" s="192"/>
      <c r="AC172" s="192"/>
      <c r="AD172" s="192"/>
      <c r="AE172" s="192"/>
      <c r="AF172" s="192"/>
      <c r="AG172" s="192"/>
      <c r="AH172" s="192"/>
      <c r="AI172" s="192"/>
      <c r="AJ172" s="192"/>
    </row>
    <row r="173" spans="1:36" ht="14.25" customHeight="1">
      <c r="A173" s="192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196"/>
      <c r="Z173" s="192"/>
      <c r="AA173" s="192"/>
      <c r="AB173" s="192"/>
      <c r="AC173" s="192"/>
      <c r="AD173" s="192"/>
      <c r="AE173" s="192"/>
      <c r="AF173" s="192"/>
      <c r="AG173" s="192"/>
      <c r="AH173" s="192"/>
      <c r="AI173" s="192"/>
      <c r="AJ173" s="192"/>
    </row>
    <row r="174" spans="1:36" ht="14.25" customHeight="1">
      <c r="A174" s="192"/>
      <c r="B174" s="192"/>
      <c r="C174" s="192"/>
      <c r="D174" s="192"/>
      <c r="E174" s="192"/>
      <c r="F174" s="192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2"/>
      <c r="V174" s="192"/>
      <c r="W174" s="192"/>
      <c r="X174" s="192"/>
      <c r="Y174" s="192"/>
      <c r="Z174" s="192"/>
      <c r="AA174" s="192"/>
      <c r="AB174" s="192"/>
      <c r="AC174" s="192"/>
      <c r="AD174" s="192"/>
      <c r="AE174" s="192"/>
      <c r="AF174" s="192"/>
      <c r="AG174" s="192"/>
      <c r="AH174" s="192"/>
      <c r="AI174" s="192"/>
      <c r="AJ174" s="192"/>
    </row>
    <row r="175" spans="1:36" ht="14.25" customHeight="1">
      <c r="A175" s="192"/>
      <c r="B175" s="192"/>
      <c r="C175" s="192"/>
      <c r="D175" s="192"/>
      <c r="E175" s="192"/>
      <c r="F175" s="192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2"/>
      <c r="V175" s="192"/>
      <c r="W175" s="192"/>
      <c r="X175" s="192"/>
      <c r="Y175" s="192"/>
      <c r="Z175" s="192"/>
      <c r="AA175" s="192"/>
      <c r="AB175" s="192"/>
      <c r="AC175" s="192"/>
      <c r="AD175" s="192"/>
      <c r="AE175" s="192"/>
      <c r="AF175" s="192"/>
      <c r="AG175" s="192"/>
      <c r="AH175" s="192"/>
      <c r="AI175" s="192"/>
      <c r="AJ175" s="192"/>
    </row>
    <row r="176" spans="1:36" ht="14.25" customHeight="1">
      <c r="A176" s="192"/>
      <c r="B176" s="192"/>
      <c r="C176" s="192"/>
      <c r="D176" s="192"/>
      <c r="E176" s="192"/>
      <c r="F176" s="192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2"/>
      <c r="V176" s="192"/>
      <c r="W176" s="192"/>
      <c r="X176" s="192"/>
      <c r="Y176" s="192"/>
      <c r="Z176" s="192"/>
      <c r="AA176" s="192"/>
      <c r="AB176" s="192"/>
      <c r="AC176" s="192"/>
      <c r="AD176" s="192"/>
      <c r="AE176" s="192"/>
      <c r="AF176" s="192"/>
      <c r="AG176" s="192"/>
      <c r="AH176" s="192"/>
      <c r="AI176" s="192"/>
      <c r="AJ176" s="192"/>
    </row>
    <row r="177" spans="1:36" ht="14.25" customHeight="1">
      <c r="A177" s="192"/>
      <c r="B177" s="192"/>
      <c r="C177" s="192"/>
      <c r="D177" s="192"/>
      <c r="E177" s="192"/>
      <c r="F177" s="192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2"/>
      <c r="V177" s="192"/>
      <c r="W177" s="192"/>
      <c r="X177" s="192"/>
      <c r="Y177" s="192"/>
      <c r="Z177" s="192"/>
      <c r="AA177" s="192"/>
      <c r="AB177" s="192"/>
      <c r="AC177" s="192"/>
      <c r="AD177" s="192"/>
      <c r="AE177" s="192"/>
      <c r="AF177" s="192"/>
      <c r="AG177" s="192"/>
      <c r="AH177" s="192"/>
      <c r="AI177" s="192"/>
      <c r="AJ177" s="192"/>
    </row>
    <row r="178" spans="1:36" ht="14.25" customHeight="1">
      <c r="A178" s="192"/>
      <c r="B178" s="192"/>
      <c r="C178" s="192"/>
      <c r="D178" s="192"/>
      <c r="E178" s="192"/>
      <c r="F178" s="192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2"/>
      <c r="V178" s="192"/>
      <c r="W178" s="192"/>
      <c r="X178" s="192"/>
      <c r="Y178" s="192"/>
      <c r="Z178" s="192"/>
      <c r="AA178" s="192"/>
      <c r="AB178" s="192"/>
      <c r="AC178" s="192"/>
      <c r="AD178" s="192"/>
      <c r="AE178" s="192"/>
      <c r="AF178" s="192"/>
      <c r="AG178" s="192"/>
      <c r="AH178" s="192"/>
      <c r="AI178" s="192"/>
      <c r="AJ178" s="192"/>
    </row>
    <row r="179" spans="1:36" ht="14.25" customHeight="1">
      <c r="A179" s="192"/>
      <c r="B179" s="192"/>
      <c r="C179" s="192"/>
      <c r="D179" s="192"/>
      <c r="E179" s="192"/>
      <c r="F179" s="192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2"/>
      <c r="V179" s="192"/>
      <c r="W179" s="192"/>
      <c r="X179" s="192"/>
      <c r="Y179" s="192"/>
      <c r="Z179" s="192"/>
      <c r="AA179" s="192"/>
      <c r="AB179" s="192"/>
      <c r="AC179" s="192"/>
      <c r="AD179" s="192"/>
      <c r="AE179" s="192"/>
      <c r="AF179" s="192"/>
      <c r="AG179" s="192"/>
      <c r="AH179" s="192"/>
      <c r="AI179" s="192"/>
      <c r="AJ179" s="192"/>
    </row>
    <row r="180" spans="1:36" ht="14.25" customHeight="1">
      <c r="A180" s="192"/>
      <c r="B180" s="192"/>
      <c r="C180" s="192"/>
      <c r="D180" s="192"/>
      <c r="E180" s="192"/>
      <c r="F180" s="192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2"/>
      <c r="V180" s="192"/>
      <c r="W180" s="192"/>
      <c r="X180" s="192"/>
      <c r="Y180" s="192"/>
      <c r="Z180" s="192"/>
      <c r="AA180" s="192"/>
      <c r="AB180" s="192"/>
      <c r="AC180" s="192"/>
      <c r="AD180" s="192"/>
      <c r="AE180" s="192"/>
      <c r="AF180" s="192"/>
      <c r="AG180" s="192"/>
      <c r="AH180" s="192"/>
      <c r="AI180" s="192"/>
      <c r="AJ180" s="192"/>
    </row>
    <row r="181" spans="1:36" ht="14.25" customHeight="1">
      <c r="A181" s="192"/>
      <c r="B181" s="192"/>
      <c r="C181" s="192"/>
      <c r="D181" s="192"/>
      <c r="E181" s="192"/>
      <c r="F181" s="192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2"/>
      <c r="V181" s="192"/>
      <c r="W181" s="192"/>
      <c r="X181" s="192"/>
      <c r="Y181" s="192"/>
      <c r="Z181" s="192"/>
      <c r="AA181" s="192"/>
      <c r="AB181" s="192"/>
      <c r="AC181" s="192"/>
      <c r="AD181" s="192"/>
      <c r="AE181" s="192"/>
      <c r="AF181" s="192"/>
      <c r="AG181" s="192"/>
      <c r="AH181" s="192"/>
      <c r="AI181" s="192"/>
      <c r="AJ181" s="192"/>
    </row>
    <row r="182" spans="1:36" ht="14.25" customHeight="1">
      <c r="A182" s="192"/>
      <c r="B182" s="192"/>
      <c r="C182" s="192"/>
      <c r="D182" s="192"/>
      <c r="E182" s="192"/>
      <c r="F182" s="192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2"/>
      <c r="V182" s="192"/>
      <c r="W182" s="192"/>
      <c r="X182" s="192"/>
      <c r="Y182" s="192"/>
      <c r="Z182" s="192"/>
      <c r="AA182" s="192"/>
      <c r="AB182" s="192"/>
      <c r="AC182" s="192"/>
      <c r="AD182" s="192"/>
      <c r="AE182" s="192"/>
      <c r="AF182" s="192"/>
      <c r="AG182" s="192"/>
      <c r="AH182" s="192"/>
      <c r="AI182" s="192"/>
      <c r="AJ182" s="192"/>
    </row>
    <row r="183" spans="1:36" ht="14.25" customHeight="1">
      <c r="A183" s="192"/>
      <c r="B183" s="192"/>
      <c r="C183" s="192"/>
      <c r="D183" s="192"/>
      <c r="E183" s="192"/>
      <c r="F183" s="192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2"/>
      <c r="V183" s="192"/>
      <c r="W183" s="192"/>
      <c r="X183" s="192"/>
      <c r="Y183" s="192"/>
      <c r="Z183" s="192"/>
      <c r="AA183" s="192"/>
      <c r="AB183" s="192"/>
      <c r="AC183" s="192"/>
      <c r="AD183" s="192"/>
      <c r="AE183" s="192"/>
      <c r="AF183" s="192"/>
      <c r="AG183" s="192"/>
      <c r="AH183" s="192"/>
      <c r="AI183" s="192"/>
      <c r="AJ183" s="192"/>
    </row>
    <row r="184" spans="1:36" ht="14.25" customHeight="1">
      <c r="A184" s="192"/>
      <c r="B184" s="192"/>
      <c r="C184" s="192"/>
      <c r="D184" s="192"/>
      <c r="E184" s="192"/>
      <c r="F184" s="192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2"/>
      <c r="V184" s="192"/>
      <c r="W184" s="192"/>
      <c r="X184" s="192"/>
      <c r="Y184" s="192"/>
      <c r="Z184" s="192"/>
      <c r="AA184" s="192"/>
      <c r="AB184" s="192"/>
      <c r="AC184" s="192"/>
      <c r="AD184" s="192"/>
      <c r="AE184" s="192"/>
      <c r="AF184" s="192"/>
      <c r="AG184" s="192"/>
      <c r="AH184" s="192"/>
      <c r="AI184" s="192"/>
      <c r="AJ184" s="192"/>
    </row>
    <row r="185" spans="1:36" ht="14.25" customHeight="1">
      <c r="A185" s="192"/>
      <c r="B185" s="192"/>
      <c r="C185" s="192"/>
      <c r="D185" s="192"/>
      <c r="E185" s="192"/>
      <c r="F185" s="192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2"/>
      <c r="V185" s="192"/>
      <c r="W185" s="192"/>
      <c r="X185" s="192"/>
      <c r="Y185" s="192"/>
      <c r="Z185" s="192"/>
      <c r="AA185" s="192"/>
      <c r="AB185" s="192"/>
      <c r="AC185" s="192"/>
      <c r="AD185" s="192"/>
      <c r="AE185" s="192"/>
      <c r="AF185" s="192"/>
      <c r="AG185" s="192"/>
      <c r="AH185" s="192"/>
      <c r="AI185" s="192"/>
      <c r="AJ185" s="192"/>
    </row>
    <row r="186" spans="1:36" ht="14.25" customHeight="1">
      <c r="A186" s="192"/>
      <c r="B186" s="192"/>
      <c r="C186" s="192"/>
      <c r="D186" s="192"/>
      <c r="E186" s="192"/>
      <c r="F186" s="192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2"/>
      <c r="V186" s="192"/>
      <c r="W186" s="192"/>
      <c r="X186" s="192"/>
      <c r="Y186" s="192"/>
      <c r="Z186" s="192"/>
      <c r="AA186" s="192"/>
      <c r="AB186" s="192"/>
      <c r="AC186" s="192"/>
      <c r="AD186" s="192"/>
      <c r="AE186" s="192"/>
      <c r="AF186" s="192"/>
      <c r="AG186" s="192"/>
      <c r="AH186" s="192"/>
      <c r="AI186" s="192"/>
      <c r="AJ186" s="192"/>
    </row>
    <row r="187" spans="1:36" ht="14.25" customHeight="1">
      <c r="A187" s="192"/>
      <c r="B187" s="192"/>
      <c r="C187" s="192"/>
      <c r="D187" s="192"/>
      <c r="E187" s="192"/>
      <c r="F187" s="192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2"/>
      <c r="V187" s="192"/>
      <c r="W187" s="192"/>
      <c r="X187" s="192"/>
      <c r="Y187" s="192"/>
      <c r="Z187" s="192"/>
      <c r="AA187" s="192"/>
      <c r="AB187" s="192"/>
      <c r="AC187" s="192"/>
      <c r="AD187" s="192"/>
      <c r="AE187" s="192"/>
      <c r="AF187" s="192"/>
      <c r="AG187" s="192"/>
      <c r="AH187" s="192"/>
      <c r="AI187" s="192"/>
      <c r="AJ187" s="192"/>
    </row>
    <row r="188" spans="1:36" ht="14.25" customHeight="1">
      <c r="A188" s="192"/>
      <c r="B188" s="192"/>
      <c r="C188" s="192"/>
      <c r="D188" s="192"/>
      <c r="E188" s="192"/>
      <c r="F188" s="192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2"/>
      <c r="V188" s="192"/>
      <c r="W188" s="192"/>
      <c r="X188" s="192"/>
      <c r="Y188" s="192"/>
      <c r="Z188" s="192"/>
      <c r="AA188" s="192"/>
      <c r="AB188" s="192"/>
      <c r="AC188" s="192"/>
      <c r="AD188" s="192"/>
      <c r="AE188" s="192"/>
      <c r="AF188" s="192"/>
      <c r="AG188" s="192"/>
      <c r="AH188" s="192"/>
      <c r="AI188" s="192"/>
      <c r="AJ188" s="192"/>
    </row>
    <row r="189" spans="1:36" ht="14.25" customHeight="1">
      <c r="A189" s="192"/>
      <c r="B189" s="192"/>
      <c r="C189" s="192"/>
      <c r="D189" s="192"/>
      <c r="E189" s="192"/>
      <c r="F189" s="192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2"/>
      <c r="V189" s="192"/>
      <c r="W189" s="192"/>
      <c r="X189" s="192"/>
      <c r="Y189" s="192"/>
      <c r="Z189" s="192"/>
      <c r="AA189" s="192"/>
      <c r="AB189" s="192"/>
      <c r="AC189" s="192"/>
      <c r="AD189" s="192"/>
      <c r="AE189" s="192"/>
      <c r="AF189" s="192"/>
      <c r="AG189" s="192"/>
      <c r="AH189" s="192"/>
      <c r="AI189" s="192"/>
      <c r="AJ189" s="192"/>
    </row>
    <row r="190" spans="1:36" ht="14.25" customHeight="1">
      <c r="A190" s="192"/>
      <c r="B190" s="192"/>
      <c r="C190" s="192"/>
      <c r="D190" s="192"/>
      <c r="E190" s="192"/>
      <c r="F190" s="192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2"/>
      <c r="V190" s="192"/>
      <c r="W190" s="192"/>
      <c r="X190" s="192"/>
      <c r="Y190" s="192"/>
      <c r="Z190" s="192"/>
      <c r="AA190" s="192"/>
      <c r="AB190" s="192"/>
      <c r="AC190" s="192"/>
      <c r="AD190" s="192"/>
      <c r="AE190" s="192"/>
      <c r="AF190" s="192"/>
      <c r="AG190" s="192"/>
      <c r="AH190" s="192"/>
      <c r="AI190" s="192"/>
      <c r="AJ190" s="192"/>
    </row>
    <row r="191" spans="1:36" ht="14.25" customHeight="1">
      <c r="A191" s="192"/>
      <c r="B191" s="192"/>
      <c r="C191" s="192"/>
      <c r="D191" s="192"/>
      <c r="E191" s="192"/>
      <c r="F191" s="192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2"/>
      <c r="V191" s="192"/>
      <c r="W191" s="192"/>
      <c r="X191" s="192"/>
      <c r="Y191" s="192"/>
      <c r="Z191" s="192"/>
      <c r="AA191" s="192"/>
      <c r="AB191" s="192"/>
      <c r="AC191" s="192"/>
      <c r="AD191" s="192"/>
      <c r="AE191" s="192"/>
      <c r="AF191" s="192"/>
      <c r="AG191" s="192"/>
      <c r="AH191" s="192"/>
      <c r="AI191" s="192"/>
      <c r="AJ191" s="192"/>
    </row>
    <row r="192" spans="1:36" ht="14.25" customHeight="1">
      <c r="A192" s="192"/>
      <c r="B192" s="192"/>
      <c r="C192" s="192"/>
      <c r="D192" s="192"/>
      <c r="E192" s="192"/>
      <c r="F192" s="192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  <c r="AA192" s="192"/>
      <c r="AB192" s="192"/>
      <c r="AC192" s="192"/>
      <c r="AD192" s="192"/>
      <c r="AE192" s="192"/>
      <c r="AF192" s="192"/>
      <c r="AG192" s="192"/>
      <c r="AH192" s="192"/>
      <c r="AI192" s="192"/>
      <c r="AJ192" s="192"/>
    </row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2:V2"/>
    <mergeCell ref="W2:Y2"/>
    <mergeCell ref="N3:O3"/>
    <mergeCell ref="N4:O4"/>
  </mergeCells>
  <pageMargins left="0.35433070866141736" right="0.35433070866141736" top="0.39370078740157483" bottom="0.59055118110236227" header="0" footer="0"/>
  <pageSetup paperSize="9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  <pageSetUpPr fitToPage="1"/>
  </sheetPr>
  <dimension ref="B1:AE1000"/>
  <sheetViews>
    <sheetView topLeftCell="A4" workbookViewId="0"/>
  </sheetViews>
  <sheetFormatPr defaultColWidth="14.42578125" defaultRowHeight="15" customHeight="1"/>
  <cols>
    <col min="1" max="1" width="10.7109375" customWidth="1"/>
    <col min="2" max="2" width="42.85546875" customWidth="1"/>
    <col min="3" max="3" width="38.85546875" customWidth="1"/>
    <col min="4" max="4" width="31.5703125" customWidth="1"/>
    <col min="5" max="5" width="31.28515625" customWidth="1"/>
    <col min="6" max="6" width="37.5703125" customWidth="1"/>
    <col min="7" max="7" width="38" customWidth="1"/>
    <col min="8" max="8" width="50.140625" customWidth="1"/>
    <col min="9" max="9" width="26.140625" customWidth="1"/>
    <col min="10" max="10" width="30" customWidth="1"/>
    <col min="11" max="11" width="27.5703125" customWidth="1"/>
    <col min="12" max="12" width="28.140625" customWidth="1"/>
    <col min="13" max="13" width="30" customWidth="1"/>
    <col min="14" max="14" width="44.7109375" customWidth="1"/>
    <col min="15" max="15" width="30.140625" customWidth="1"/>
    <col min="16" max="16" width="45.7109375" customWidth="1"/>
    <col min="17" max="17" width="48" customWidth="1"/>
    <col min="18" max="18" width="30.140625" customWidth="1"/>
    <col min="19" max="19" width="34" customWidth="1"/>
    <col min="20" max="20" width="18.42578125" customWidth="1"/>
    <col min="21" max="21" width="26" customWidth="1"/>
    <col min="22" max="22" width="22" customWidth="1"/>
    <col min="23" max="24" width="19.7109375" customWidth="1"/>
    <col min="25" max="25" width="16.85546875" customWidth="1"/>
    <col min="26" max="26" width="12.42578125" customWidth="1"/>
    <col min="27" max="27" width="18.85546875" customWidth="1"/>
    <col min="28" max="28" width="40.85546875" customWidth="1"/>
    <col min="29" max="30" width="5.42578125" customWidth="1"/>
    <col min="31" max="31" width="28.28515625" customWidth="1"/>
  </cols>
  <sheetData>
    <row r="1" spans="2:31" ht="81.75" customHeight="1">
      <c r="S1" s="210"/>
      <c r="AE1" s="745" t="s">
        <v>5122</v>
      </c>
    </row>
    <row r="2" spans="2:31" ht="27" customHeight="1">
      <c r="B2" s="103" t="s">
        <v>5123</v>
      </c>
      <c r="C2" s="211" t="s">
        <v>5124</v>
      </c>
      <c r="D2" s="104" t="s">
        <v>5125</v>
      </c>
      <c r="E2" s="105">
        <v>400000000</v>
      </c>
      <c r="F2" s="106"/>
      <c r="G2" s="103" t="s">
        <v>5126</v>
      </c>
      <c r="H2" s="107">
        <f>E2/12</f>
        <v>33333333.333333332</v>
      </c>
      <c r="J2" s="758" t="s">
        <v>5127</v>
      </c>
      <c r="K2" s="759"/>
      <c r="L2" s="760"/>
      <c r="M2" s="6"/>
      <c r="N2" s="761" t="s">
        <v>5128</v>
      </c>
      <c r="O2" s="760"/>
      <c r="Q2" s="761" t="s">
        <v>5129</v>
      </c>
      <c r="R2" s="760"/>
      <c r="AE2" s="745" t="s">
        <v>5130</v>
      </c>
    </row>
    <row r="3" spans="2:31" ht="30" customHeight="1">
      <c r="B3" s="108" t="s">
        <v>5131</v>
      </c>
      <c r="C3" s="108" t="s">
        <v>5132</v>
      </c>
      <c r="D3" s="108" t="s">
        <v>5133</v>
      </c>
      <c r="E3" s="108" t="s">
        <v>5134</v>
      </c>
      <c r="F3" s="108" t="s">
        <v>5135</v>
      </c>
      <c r="G3" s="108" t="s">
        <v>5136</v>
      </c>
      <c r="H3" s="109" t="s">
        <v>5137</v>
      </c>
      <c r="I3" s="6"/>
      <c r="J3" s="110" t="s">
        <v>5138</v>
      </c>
      <c r="K3" s="111" t="s">
        <v>5139</v>
      </c>
      <c r="L3" s="112" t="s">
        <v>5140</v>
      </c>
      <c r="N3" s="113"/>
      <c r="O3" s="114"/>
      <c r="Q3" s="212"/>
      <c r="R3" s="115"/>
    </row>
    <row r="4" spans="2:31" ht="30" customHeight="1">
      <c r="B4" s="116">
        <v>46113</v>
      </c>
      <c r="C4" s="213" t="s">
        <v>5124</v>
      </c>
      <c r="D4" s="117" t="s">
        <v>5124</v>
      </c>
      <c r="E4" s="213" t="s">
        <v>5124</v>
      </c>
      <c r="F4" s="118" t="e">
        <f t="shared" ref="F4:F15" si="0">D4-E4</f>
        <v>#VALUE!</v>
      </c>
      <c r="G4" s="213" t="e">
        <f t="shared" ref="G4:G15" si="1">ABS($H$2-C4)</f>
        <v>#VALUE!</v>
      </c>
      <c r="H4" s="119" t="str">
        <f t="shared" ref="H4:H15" si="2">IF(C4&lt;$H$2,"MORE ORDER REQUIRED",
IF(C4&gt;$H$2,"OVER ORDER",
"TARGET MATCHED"))</f>
        <v>OVER ORDER</v>
      </c>
      <c r="I4" s="745">
        <v>1</v>
      </c>
      <c r="J4" s="120" t="s">
        <v>5141</v>
      </c>
      <c r="K4" s="121" t="s">
        <v>5124</v>
      </c>
      <c r="L4" s="214" t="s">
        <v>5124</v>
      </c>
      <c r="N4" s="122" t="s">
        <v>5142</v>
      </c>
      <c r="O4" s="123">
        <f>COUNTIF(M17:M927,"HOLD")</f>
        <v>0</v>
      </c>
      <c r="Q4" s="124" t="s">
        <v>5143</v>
      </c>
      <c r="R4" s="125" t="e">
        <f t="array" ref="R4">SUMPRODUCT((TEXT(K17:K19, "mmmm") = "August") * (M17:M19 = "DISPATCHED") * E17:E18)</f>
        <v>#N/A</v>
      </c>
      <c r="AE4" s="745" t="s">
        <v>5144</v>
      </c>
    </row>
    <row r="5" spans="2:31" ht="30" customHeight="1">
      <c r="B5" s="116">
        <v>46143</v>
      </c>
      <c r="C5" s="213" t="s">
        <v>5124</v>
      </c>
      <c r="D5" s="117" t="s">
        <v>5124</v>
      </c>
      <c r="E5" s="213" t="s">
        <v>5124</v>
      </c>
      <c r="F5" s="118" t="e">
        <f t="shared" si="0"/>
        <v>#VALUE!</v>
      </c>
      <c r="G5" s="213" t="e">
        <f t="shared" si="1"/>
        <v>#VALUE!</v>
      </c>
      <c r="H5" s="119" t="str">
        <f t="shared" si="2"/>
        <v>OVER ORDER</v>
      </c>
      <c r="I5" s="745">
        <v>2</v>
      </c>
      <c r="J5" s="120" t="s">
        <v>5145</v>
      </c>
      <c r="K5" s="121" t="s">
        <v>5124</v>
      </c>
      <c r="L5" s="214" t="s">
        <v>5124</v>
      </c>
      <c r="N5" s="122"/>
      <c r="O5" s="123"/>
      <c r="Q5" s="126"/>
      <c r="R5" s="127"/>
      <c r="AE5" s="745" t="s">
        <v>5146</v>
      </c>
    </row>
    <row r="6" spans="2:31" ht="30" customHeight="1">
      <c r="B6" s="116">
        <v>46174</v>
      </c>
      <c r="C6" s="213" t="s">
        <v>5124</v>
      </c>
      <c r="D6" s="117" t="s">
        <v>5124</v>
      </c>
      <c r="E6" s="213" t="s">
        <v>5124</v>
      </c>
      <c r="F6" s="118" t="e">
        <f t="shared" si="0"/>
        <v>#VALUE!</v>
      </c>
      <c r="G6" s="213" t="e">
        <f t="shared" si="1"/>
        <v>#VALUE!</v>
      </c>
      <c r="H6" s="119" t="str">
        <f t="shared" si="2"/>
        <v>OVER ORDER</v>
      </c>
      <c r="I6" s="745">
        <v>3</v>
      </c>
      <c r="J6" s="120" t="s">
        <v>5134</v>
      </c>
      <c r="K6" s="121" t="s">
        <v>5124</v>
      </c>
      <c r="L6" s="214" t="s">
        <v>5124</v>
      </c>
      <c r="N6" s="122"/>
      <c r="O6" s="123"/>
      <c r="Q6" s="126"/>
      <c r="R6" s="127"/>
      <c r="AE6" s="745" t="s">
        <v>5147</v>
      </c>
    </row>
    <row r="7" spans="2:31" ht="30" customHeight="1">
      <c r="B7" s="116">
        <v>46204</v>
      </c>
      <c r="C7" s="213" t="s">
        <v>5124</v>
      </c>
      <c r="D7" s="117" t="s">
        <v>5124</v>
      </c>
      <c r="E7" s="213" t="s">
        <v>5124</v>
      </c>
      <c r="F7" s="118" t="e">
        <f t="shared" si="0"/>
        <v>#VALUE!</v>
      </c>
      <c r="G7" s="213" t="e">
        <f t="shared" si="1"/>
        <v>#VALUE!</v>
      </c>
      <c r="H7" s="119" t="str">
        <f t="shared" si="2"/>
        <v>OVER ORDER</v>
      </c>
      <c r="I7" s="745">
        <v>4</v>
      </c>
      <c r="J7" s="120" t="s">
        <v>5148</v>
      </c>
      <c r="K7" s="121" t="s">
        <v>5124</v>
      </c>
      <c r="L7" s="214" t="s">
        <v>5124</v>
      </c>
      <c r="N7" s="122"/>
      <c r="O7" s="123"/>
      <c r="Q7" s="126"/>
      <c r="R7" s="127"/>
      <c r="AE7" s="745" t="s">
        <v>5149</v>
      </c>
    </row>
    <row r="8" spans="2:31" ht="30" customHeight="1">
      <c r="B8" s="116">
        <v>46235</v>
      </c>
      <c r="C8" s="213" t="s">
        <v>5124</v>
      </c>
      <c r="D8" s="117" t="s">
        <v>5124</v>
      </c>
      <c r="E8" s="213" t="s">
        <v>5124</v>
      </c>
      <c r="F8" s="118" t="e">
        <f t="shared" si="0"/>
        <v>#VALUE!</v>
      </c>
      <c r="G8" s="213" t="e">
        <f t="shared" si="1"/>
        <v>#VALUE!</v>
      </c>
      <c r="H8" s="119" t="str">
        <f t="shared" si="2"/>
        <v>OVER ORDER</v>
      </c>
      <c r="I8" s="745">
        <v>5</v>
      </c>
      <c r="J8" s="120" t="s">
        <v>5150</v>
      </c>
      <c r="K8" s="121" t="s">
        <v>5124</v>
      </c>
      <c r="L8" s="214" t="s">
        <v>5124</v>
      </c>
      <c r="N8" s="122"/>
      <c r="O8" s="123"/>
      <c r="Q8" s="126"/>
      <c r="R8" s="127"/>
      <c r="AE8" s="745" t="s">
        <v>5151</v>
      </c>
    </row>
    <row r="9" spans="2:31" ht="30" customHeight="1">
      <c r="B9" s="116">
        <v>46266</v>
      </c>
      <c r="C9" s="213" t="s">
        <v>5124</v>
      </c>
      <c r="D9" s="117" t="s">
        <v>5124</v>
      </c>
      <c r="E9" s="213" t="s">
        <v>5124</v>
      </c>
      <c r="F9" s="118" t="e">
        <f t="shared" si="0"/>
        <v>#VALUE!</v>
      </c>
      <c r="G9" s="213" t="e">
        <f t="shared" si="1"/>
        <v>#VALUE!</v>
      </c>
      <c r="H9" s="119" t="str">
        <f t="shared" si="2"/>
        <v>OVER ORDER</v>
      </c>
      <c r="I9" s="745">
        <v>6</v>
      </c>
      <c r="J9" s="120" t="s">
        <v>5152</v>
      </c>
      <c r="K9" s="121" t="s">
        <v>5124</v>
      </c>
      <c r="L9" s="214" t="s">
        <v>5124</v>
      </c>
      <c r="N9" s="122"/>
      <c r="O9" s="123"/>
      <c r="Q9" s="126"/>
      <c r="R9" s="127"/>
      <c r="AE9" s="745" t="s">
        <v>5153</v>
      </c>
    </row>
    <row r="10" spans="2:31" ht="30" customHeight="1">
      <c r="B10" s="116">
        <v>46296</v>
      </c>
      <c r="C10" s="213" t="s">
        <v>5124</v>
      </c>
      <c r="D10" s="117" t="s">
        <v>5124</v>
      </c>
      <c r="E10" s="213" t="s">
        <v>5124</v>
      </c>
      <c r="F10" s="118" t="e">
        <f t="shared" si="0"/>
        <v>#VALUE!</v>
      </c>
      <c r="G10" s="213" t="e">
        <f t="shared" si="1"/>
        <v>#VALUE!</v>
      </c>
      <c r="H10" s="119" t="str">
        <f t="shared" si="2"/>
        <v>OVER ORDER</v>
      </c>
      <c r="I10" s="745">
        <v>7</v>
      </c>
      <c r="J10" s="120" t="s">
        <v>5142</v>
      </c>
      <c r="K10" s="121" t="s">
        <v>5124</v>
      </c>
      <c r="L10" s="214" t="s">
        <v>5124</v>
      </c>
      <c r="N10" s="122"/>
      <c r="O10" s="123"/>
      <c r="Q10" s="126"/>
      <c r="R10" s="127"/>
      <c r="AE10" s="745" t="s">
        <v>5154</v>
      </c>
    </row>
    <row r="11" spans="2:31" ht="30" customHeight="1">
      <c r="B11" s="116">
        <v>46327</v>
      </c>
      <c r="C11" s="213" t="s">
        <v>5124</v>
      </c>
      <c r="D11" s="117" t="s">
        <v>5124</v>
      </c>
      <c r="E11" s="213" t="s">
        <v>5124</v>
      </c>
      <c r="F11" s="118" t="e">
        <f t="shared" si="0"/>
        <v>#VALUE!</v>
      </c>
      <c r="G11" s="213" t="e">
        <f t="shared" si="1"/>
        <v>#VALUE!</v>
      </c>
      <c r="H11" s="119" t="str">
        <f t="shared" si="2"/>
        <v>OVER ORDER</v>
      </c>
      <c r="I11" s="745">
        <v>8</v>
      </c>
      <c r="J11" s="120" t="s">
        <v>5155</v>
      </c>
      <c r="K11" s="121" t="s">
        <v>5124</v>
      </c>
      <c r="L11" s="214" t="s">
        <v>5124</v>
      </c>
      <c r="N11" s="122"/>
      <c r="O11" s="123"/>
      <c r="Q11" s="126"/>
      <c r="R11" s="127"/>
      <c r="AE11" s="745" t="s">
        <v>5156</v>
      </c>
    </row>
    <row r="12" spans="2:31" ht="30" customHeight="1">
      <c r="B12" s="116">
        <v>46357</v>
      </c>
      <c r="C12" s="213" t="s">
        <v>5124</v>
      </c>
      <c r="D12" s="117" t="s">
        <v>5124</v>
      </c>
      <c r="E12" s="213" t="s">
        <v>5124</v>
      </c>
      <c r="F12" s="118" t="e">
        <f t="shared" si="0"/>
        <v>#VALUE!</v>
      </c>
      <c r="G12" s="213" t="e">
        <f t="shared" si="1"/>
        <v>#VALUE!</v>
      </c>
      <c r="H12" s="119" t="str">
        <f t="shared" si="2"/>
        <v>OVER ORDER</v>
      </c>
      <c r="I12" s="745">
        <v>9</v>
      </c>
      <c r="J12" s="128" t="s">
        <v>5157</v>
      </c>
      <c r="K12" s="129" t="s">
        <v>5124</v>
      </c>
      <c r="L12" s="130" t="s">
        <v>5124</v>
      </c>
      <c r="N12" s="122"/>
      <c r="O12" s="123"/>
      <c r="Q12" s="126"/>
      <c r="R12" s="127"/>
      <c r="AE12" s="745" t="s">
        <v>5158</v>
      </c>
    </row>
    <row r="13" spans="2:31" ht="30" customHeight="1">
      <c r="B13" s="116">
        <v>46388</v>
      </c>
      <c r="C13" s="213" t="s">
        <v>5124</v>
      </c>
      <c r="D13" s="117" t="s">
        <v>5124</v>
      </c>
      <c r="E13" s="213" t="s">
        <v>5124</v>
      </c>
      <c r="F13" s="118" t="e">
        <f t="shared" si="0"/>
        <v>#VALUE!</v>
      </c>
      <c r="G13" s="213" t="e">
        <f t="shared" si="1"/>
        <v>#VALUE!</v>
      </c>
      <c r="H13" s="119" t="str">
        <f t="shared" si="2"/>
        <v>OVER ORDER</v>
      </c>
      <c r="I13" s="745">
        <v>10</v>
      </c>
      <c r="J13" s="131"/>
      <c r="K13" s="132"/>
      <c r="L13" s="133"/>
      <c r="N13" s="122"/>
      <c r="O13" s="123"/>
      <c r="Q13" s="126"/>
      <c r="R13" s="127"/>
    </row>
    <row r="14" spans="2:31" ht="30" customHeight="1">
      <c r="B14" s="116">
        <v>46419</v>
      </c>
      <c r="C14" s="213" t="s">
        <v>5124</v>
      </c>
      <c r="D14" s="117" t="s">
        <v>5124</v>
      </c>
      <c r="E14" s="213" t="s">
        <v>5124</v>
      </c>
      <c r="F14" s="118" t="e">
        <f t="shared" si="0"/>
        <v>#VALUE!</v>
      </c>
      <c r="G14" s="213" t="e">
        <f t="shared" si="1"/>
        <v>#VALUE!</v>
      </c>
      <c r="H14" s="119" t="str">
        <f t="shared" si="2"/>
        <v>OVER ORDER</v>
      </c>
      <c r="I14" s="745">
        <v>11</v>
      </c>
      <c r="J14" s="215"/>
      <c r="K14" s="134" t="s">
        <v>5159</v>
      </c>
      <c r="L14" s="135" t="e">
        <f>L12+L11+L10+L9+L8+L7+L5</f>
        <v>#VALUE!</v>
      </c>
      <c r="N14" s="122"/>
      <c r="O14" s="123"/>
      <c r="Q14" s="126"/>
      <c r="R14" s="127"/>
    </row>
    <row r="15" spans="2:31" ht="30" customHeight="1">
      <c r="B15" s="116">
        <v>46447</v>
      </c>
      <c r="C15" s="117" t="s">
        <v>5124</v>
      </c>
      <c r="D15" s="117" t="s">
        <v>5124</v>
      </c>
      <c r="E15" s="117" t="s">
        <v>5124</v>
      </c>
      <c r="F15" s="118" t="e">
        <f t="shared" si="0"/>
        <v>#VALUE!</v>
      </c>
      <c r="G15" s="117" t="e">
        <f t="shared" si="1"/>
        <v>#VALUE!</v>
      </c>
      <c r="H15" s="118" t="str">
        <f t="shared" si="2"/>
        <v>OVER ORDER</v>
      </c>
      <c r="J15" s="216"/>
      <c r="K15" s="136"/>
      <c r="L15" s="137"/>
      <c r="N15" s="122"/>
      <c r="O15" s="123"/>
      <c r="Q15" s="126"/>
      <c r="R15" s="127"/>
    </row>
    <row r="16" spans="2:31" ht="27" customHeight="1">
      <c r="B16" s="138" t="s">
        <v>5160</v>
      </c>
      <c r="C16" s="139">
        <f t="shared" ref="C16:G16" si="3">SUM(C4:C15)</f>
        <v>0</v>
      </c>
      <c r="D16" s="139">
        <f t="shared" si="3"/>
        <v>0</v>
      </c>
      <c r="E16" s="139">
        <f t="shared" si="3"/>
        <v>0</v>
      </c>
      <c r="F16" s="140" t="e">
        <f t="shared" si="3"/>
        <v>#VALUE!</v>
      </c>
      <c r="G16" s="140" t="e">
        <f t="shared" si="3"/>
        <v>#VALUE!</v>
      </c>
      <c r="H16" s="140"/>
      <c r="L16" s="89">
        <f>SUM('DASHBOARD (2)'!$L$4:$L$12)</f>
        <v>0</v>
      </c>
      <c r="N16" s="141" t="s">
        <v>5161</v>
      </c>
      <c r="O16" s="142">
        <f>SUBTOTAL(103, A17:A920)</f>
        <v>0</v>
      </c>
      <c r="Q16" s="143" t="s">
        <v>5143</v>
      </c>
      <c r="R16" s="144" t="e">
        <f t="array" ref="R16">SUMPRODUCT((TEXT(K17:K19, "mmmm") = "September") * (M17:M19 = "DISPATCHED") * E17:E18)</f>
        <v>#N/A</v>
      </c>
    </row>
    <row r="17" spans="3:12" ht="30" customHeight="1"/>
    <row r="18" spans="3:12" ht="30" customHeight="1"/>
    <row r="19" spans="3:12" ht="30" customHeight="1"/>
    <row r="20" spans="3:12" ht="30" customHeight="1">
      <c r="C20" s="145" t="s">
        <v>1624</v>
      </c>
      <c r="D20" s="85" t="s">
        <v>25</v>
      </c>
      <c r="E20" s="146" t="s">
        <v>56</v>
      </c>
      <c r="F20" s="85" t="s">
        <v>1113</v>
      </c>
      <c r="G20" s="146" t="s">
        <v>63</v>
      </c>
      <c r="H20" s="85" t="s">
        <v>1438</v>
      </c>
      <c r="I20" s="146" t="s">
        <v>1698</v>
      </c>
      <c r="J20" s="146" t="s">
        <v>567</v>
      </c>
      <c r="K20" s="85" t="s">
        <v>122</v>
      </c>
      <c r="L20" s="76" t="s">
        <v>171</v>
      </c>
    </row>
    <row r="21" spans="3:12" ht="30" customHeight="1"/>
    <row r="22" spans="3:12" ht="30" customHeight="1"/>
    <row r="23" spans="3:12" ht="30" customHeight="1"/>
    <row r="24" spans="3:12" ht="30" customHeight="1"/>
    <row r="25" spans="3:12" ht="30" customHeight="1"/>
    <row r="26" spans="3:12" ht="30" customHeight="1"/>
    <row r="27" spans="3:12" ht="30" customHeight="1"/>
    <row r="28" spans="3:12" ht="30" customHeight="1"/>
    <row r="29" spans="3:12" ht="30" customHeight="1"/>
    <row r="30" spans="3:12" ht="30" customHeight="1"/>
    <row r="31" spans="3:12" ht="30" customHeight="1"/>
    <row r="32" spans="3:1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  <row r="588" ht="30" customHeight="1"/>
    <row r="589" ht="30" customHeight="1"/>
    <row r="590" ht="30" customHeight="1"/>
    <row r="591" ht="30" customHeight="1"/>
    <row r="592" ht="30" customHeight="1"/>
    <row r="593" ht="30" customHeight="1"/>
    <row r="594" ht="30" customHeight="1"/>
    <row r="595" ht="30" customHeight="1"/>
    <row r="596" ht="30" customHeight="1"/>
    <row r="597" ht="30" customHeight="1"/>
    <row r="598" ht="30" customHeight="1"/>
    <row r="599" ht="30" customHeight="1"/>
    <row r="600" ht="30" customHeight="1"/>
    <row r="601" ht="30" customHeight="1"/>
    <row r="602" ht="30" customHeight="1"/>
    <row r="603" ht="30" customHeight="1"/>
    <row r="604" ht="30" customHeight="1"/>
    <row r="605" ht="30" customHeight="1"/>
    <row r="606" ht="30" customHeight="1"/>
    <row r="607" ht="30" customHeight="1"/>
    <row r="608" ht="30" customHeight="1"/>
    <row r="609" ht="30" customHeight="1"/>
    <row r="610" ht="30" customHeight="1"/>
    <row r="611" ht="30" customHeight="1"/>
    <row r="612" ht="30" customHeight="1"/>
    <row r="613" ht="30" customHeight="1"/>
    <row r="614" ht="30" customHeight="1"/>
    <row r="615" ht="30" customHeight="1"/>
    <row r="616" ht="30" customHeight="1"/>
    <row r="617" ht="30" customHeight="1"/>
    <row r="618" ht="30" customHeight="1"/>
    <row r="619" ht="30" customHeight="1"/>
    <row r="620" ht="30" customHeight="1"/>
    <row r="621" ht="30" customHeight="1"/>
    <row r="622" ht="30" customHeight="1"/>
    <row r="623" ht="30" customHeight="1"/>
    <row r="624" ht="30" customHeight="1"/>
    <row r="625" ht="30" customHeight="1"/>
    <row r="626" ht="30" customHeight="1"/>
    <row r="627" ht="30" customHeight="1"/>
    <row r="628" ht="30" customHeight="1"/>
    <row r="629" ht="30" customHeight="1"/>
    <row r="630" ht="30" customHeight="1"/>
    <row r="631" ht="30" customHeight="1"/>
    <row r="632" ht="30" customHeight="1"/>
    <row r="633" ht="30" customHeight="1"/>
    <row r="634" ht="30" customHeight="1"/>
    <row r="635" ht="30" customHeight="1"/>
    <row r="636" ht="30" customHeight="1"/>
    <row r="637" ht="30" customHeight="1"/>
    <row r="638" ht="30" customHeight="1"/>
    <row r="639" ht="30" customHeight="1"/>
    <row r="640" ht="30" customHeight="1"/>
    <row r="641" ht="30" customHeight="1"/>
    <row r="642" ht="30" customHeight="1"/>
    <row r="643" ht="30" customHeight="1"/>
    <row r="644" ht="30" customHeight="1"/>
    <row r="645" ht="30" customHeight="1"/>
    <row r="646" ht="30" customHeight="1"/>
    <row r="647" ht="30" customHeight="1"/>
    <row r="648" ht="30" customHeight="1"/>
    <row r="649" ht="30" customHeight="1"/>
    <row r="650" ht="30" customHeight="1"/>
    <row r="651" ht="30" customHeight="1"/>
    <row r="652" ht="30" customHeight="1"/>
    <row r="653" ht="30" customHeight="1"/>
    <row r="654" ht="30" customHeight="1"/>
    <row r="655" ht="30" customHeight="1"/>
    <row r="656" ht="30" customHeight="1"/>
    <row r="657" ht="30" customHeight="1"/>
    <row r="658" ht="30" customHeight="1"/>
    <row r="659" ht="30" customHeight="1"/>
    <row r="660" ht="30" customHeight="1"/>
    <row r="661" ht="30" customHeight="1"/>
    <row r="662" ht="30" customHeight="1"/>
    <row r="663" ht="30" customHeight="1"/>
    <row r="664" ht="30" customHeight="1"/>
    <row r="665" ht="30" customHeight="1"/>
    <row r="666" ht="30" customHeight="1"/>
    <row r="667" ht="30" customHeight="1"/>
    <row r="668" ht="30" customHeight="1"/>
    <row r="669" ht="30" customHeight="1"/>
    <row r="670" ht="30" customHeight="1"/>
    <row r="671" ht="30" customHeight="1"/>
    <row r="672" ht="30" customHeight="1"/>
    <row r="673" ht="30" customHeight="1"/>
    <row r="674" ht="30" customHeight="1"/>
    <row r="675" ht="30" customHeight="1"/>
    <row r="676" ht="30" customHeight="1"/>
    <row r="677" ht="30" customHeight="1"/>
    <row r="678" ht="30" customHeight="1"/>
    <row r="679" ht="30" customHeight="1"/>
    <row r="680" ht="30" customHeight="1"/>
    <row r="681" ht="30" customHeight="1"/>
    <row r="682" ht="30" customHeight="1"/>
    <row r="683" ht="30" customHeight="1"/>
    <row r="684" ht="30" customHeight="1"/>
    <row r="685" ht="30" customHeight="1"/>
    <row r="686" ht="30" customHeight="1"/>
    <row r="687" ht="30" customHeight="1"/>
    <row r="688" ht="30" customHeight="1"/>
    <row r="689" ht="30" customHeight="1"/>
    <row r="690" ht="30" customHeight="1"/>
    <row r="691" ht="30" customHeight="1"/>
    <row r="692" ht="30" customHeight="1"/>
    <row r="693" ht="30" customHeight="1"/>
    <row r="694" ht="30" customHeight="1"/>
    <row r="695" ht="30" customHeight="1"/>
    <row r="696" ht="30" customHeight="1"/>
    <row r="697" ht="30" customHeight="1"/>
    <row r="698" ht="30" customHeight="1"/>
    <row r="699" ht="30" customHeight="1"/>
    <row r="700" ht="30" customHeight="1"/>
    <row r="701" ht="30" customHeight="1"/>
    <row r="702" ht="30" customHeight="1"/>
    <row r="703" ht="30" customHeight="1"/>
    <row r="704" ht="30" customHeight="1"/>
    <row r="705" ht="30" customHeight="1"/>
    <row r="706" ht="30" customHeight="1"/>
    <row r="707" ht="30" customHeight="1"/>
    <row r="708" ht="30" customHeight="1"/>
    <row r="709" ht="30" customHeight="1"/>
    <row r="710" ht="30" customHeight="1"/>
    <row r="711" ht="30" customHeight="1"/>
    <row r="712" ht="30" customHeight="1"/>
    <row r="713" ht="30" customHeight="1"/>
    <row r="714" ht="30" customHeight="1"/>
    <row r="715" ht="30" customHeight="1"/>
    <row r="716" ht="30" customHeight="1"/>
    <row r="717" ht="30" customHeight="1"/>
    <row r="718" ht="30" customHeight="1"/>
    <row r="719" ht="30" customHeight="1"/>
    <row r="720" ht="30" customHeight="1"/>
    <row r="721" ht="30" customHeight="1"/>
    <row r="722" ht="30" customHeight="1"/>
    <row r="723" ht="30" customHeight="1"/>
    <row r="724" ht="30" customHeight="1"/>
    <row r="725" ht="30" customHeight="1"/>
    <row r="726" ht="30" customHeight="1"/>
    <row r="727" ht="30" customHeight="1"/>
    <row r="728" ht="30" customHeight="1"/>
    <row r="729" ht="30" customHeight="1"/>
    <row r="730" ht="30" customHeight="1"/>
    <row r="731" ht="30" customHeight="1"/>
    <row r="732" ht="30" customHeight="1"/>
    <row r="733" ht="30" customHeight="1"/>
    <row r="734" ht="30" customHeight="1"/>
    <row r="735" ht="30" customHeight="1"/>
    <row r="736" ht="30" customHeight="1"/>
    <row r="737" ht="30" customHeight="1"/>
    <row r="738" ht="30" customHeight="1"/>
    <row r="739" ht="30" customHeight="1"/>
    <row r="740" ht="30" customHeight="1"/>
    <row r="741" ht="30" customHeight="1"/>
    <row r="742" ht="30" customHeight="1"/>
    <row r="743" ht="30" customHeight="1"/>
    <row r="744" ht="30" customHeight="1"/>
    <row r="745" ht="30" customHeight="1"/>
    <row r="746" ht="30" customHeight="1"/>
    <row r="747" ht="30" customHeight="1"/>
    <row r="748" ht="30" customHeight="1"/>
    <row r="749" ht="30" customHeight="1"/>
    <row r="750" ht="30" customHeight="1"/>
    <row r="751" ht="30" customHeight="1"/>
    <row r="752" ht="30" customHeight="1"/>
    <row r="753" ht="30" customHeight="1"/>
    <row r="754" ht="30" customHeight="1"/>
    <row r="755" ht="30" customHeight="1"/>
    <row r="756" ht="30" customHeight="1"/>
    <row r="757" ht="30" customHeight="1"/>
    <row r="758" ht="30" customHeight="1"/>
    <row r="759" ht="30" customHeight="1"/>
    <row r="760" ht="30" customHeight="1"/>
    <row r="761" ht="30" customHeight="1"/>
    <row r="762" ht="30" customHeight="1"/>
    <row r="763" ht="30" customHeight="1"/>
    <row r="764" ht="30" customHeight="1"/>
    <row r="765" ht="30" customHeight="1"/>
    <row r="766" ht="30" customHeight="1"/>
    <row r="767" ht="30" customHeight="1"/>
    <row r="768" ht="30" customHeight="1"/>
    <row r="769" ht="30" customHeight="1"/>
    <row r="770" ht="30" customHeight="1"/>
    <row r="771" ht="30" customHeight="1"/>
    <row r="772" ht="30" customHeight="1"/>
    <row r="773" ht="30" customHeight="1"/>
    <row r="774" ht="30" customHeight="1"/>
    <row r="775" ht="30" customHeight="1"/>
    <row r="776" ht="30" customHeight="1"/>
    <row r="777" ht="30" customHeight="1"/>
    <row r="778" ht="30" customHeight="1"/>
    <row r="779" ht="30" customHeight="1"/>
    <row r="780" ht="30" customHeight="1"/>
    <row r="781" ht="30" customHeight="1"/>
    <row r="782" ht="30" customHeight="1"/>
    <row r="783" ht="30" customHeight="1"/>
    <row r="784" ht="30" customHeight="1"/>
    <row r="785" ht="30" customHeight="1"/>
    <row r="786" ht="30" customHeight="1"/>
    <row r="787" ht="30" customHeight="1"/>
    <row r="788" ht="30" customHeight="1"/>
    <row r="789" ht="30" customHeight="1"/>
    <row r="790" ht="30" customHeight="1"/>
    <row r="791" ht="30" customHeight="1"/>
    <row r="792" ht="30" customHeight="1"/>
    <row r="793" ht="30" customHeight="1"/>
    <row r="794" ht="30" customHeight="1"/>
    <row r="795" ht="30" customHeight="1"/>
    <row r="796" ht="30" customHeight="1"/>
    <row r="797" ht="30" customHeight="1"/>
    <row r="798" ht="30" customHeight="1"/>
    <row r="799" ht="30" customHeight="1"/>
    <row r="800" ht="30" customHeight="1"/>
    <row r="801" ht="30" customHeight="1"/>
    <row r="802" ht="30" customHeight="1"/>
    <row r="803" ht="30" customHeight="1"/>
    <row r="804" ht="30" customHeight="1"/>
    <row r="805" ht="30" customHeight="1"/>
    <row r="806" ht="30" customHeight="1"/>
    <row r="807" ht="30" customHeight="1"/>
    <row r="808" ht="30" customHeight="1"/>
    <row r="809" ht="30" customHeight="1"/>
    <row r="810" ht="30" customHeight="1"/>
    <row r="811" ht="30" customHeight="1"/>
    <row r="812" ht="30" customHeight="1"/>
    <row r="813" ht="30" customHeight="1"/>
    <row r="814" ht="30" customHeight="1"/>
    <row r="815" ht="30" customHeight="1"/>
    <row r="816" ht="30" customHeight="1"/>
    <row r="817" ht="30" customHeight="1"/>
    <row r="818" ht="30" customHeight="1"/>
    <row r="819" ht="30" customHeight="1"/>
    <row r="820" ht="30" customHeight="1"/>
    <row r="821" ht="30" customHeight="1"/>
    <row r="822" ht="30" customHeight="1"/>
    <row r="823" ht="30" customHeight="1"/>
    <row r="824" ht="30" customHeight="1"/>
    <row r="825" ht="30" customHeight="1"/>
    <row r="826" ht="30" customHeight="1"/>
    <row r="827" ht="30" customHeight="1"/>
    <row r="828" ht="30" customHeight="1"/>
    <row r="829" ht="30" customHeight="1"/>
    <row r="830" ht="30" customHeight="1"/>
    <row r="831" ht="30" customHeight="1"/>
    <row r="832" ht="30" customHeight="1"/>
    <row r="833" ht="30" customHeight="1"/>
    <row r="834" ht="30" customHeight="1"/>
    <row r="835" ht="30" customHeight="1"/>
    <row r="836" ht="30" customHeight="1"/>
    <row r="837" ht="30" customHeight="1"/>
    <row r="838" ht="30" customHeight="1"/>
    <row r="839" ht="30" customHeight="1"/>
    <row r="840" ht="30" customHeight="1"/>
    <row r="841" ht="30" customHeight="1"/>
    <row r="842" ht="30" customHeight="1"/>
    <row r="843" ht="30" customHeight="1"/>
    <row r="844" ht="30" customHeight="1"/>
    <row r="845" ht="30" customHeight="1"/>
    <row r="846" ht="30" customHeight="1"/>
    <row r="847" ht="30" customHeight="1"/>
    <row r="848" ht="30" customHeight="1"/>
    <row r="849" ht="30" customHeight="1"/>
    <row r="850" ht="30" customHeight="1"/>
    <row r="851" ht="30" customHeight="1"/>
    <row r="852" ht="30" customHeight="1"/>
    <row r="853" ht="30" customHeight="1"/>
    <row r="854" ht="30" customHeight="1"/>
    <row r="855" ht="30" customHeight="1"/>
    <row r="856" ht="30" customHeight="1"/>
    <row r="857" ht="30" customHeight="1"/>
    <row r="858" ht="30" customHeight="1"/>
    <row r="859" ht="30" customHeight="1"/>
    <row r="860" ht="30" customHeight="1"/>
    <row r="861" ht="30" customHeight="1"/>
    <row r="862" ht="30" customHeight="1"/>
    <row r="863" ht="30" customHeight="1"/>
    <row r="864" ht="30" customHeight="1"/>
    <row r="865" ht="30" customHeight="1"/>
    <row r="866" ht="30" customHeight="1"/>
    <row r="867" ht="30" customHeight="1"/>
    <row r="868" ht="30" customHeight="1"/>
    <row r="869" ht="30" customHeight="1"/>
    <row r="870" ht="30" customHeight="1"/>
    <row r="871" ht="30" customHeight="1"/>
    <row r="872" ht="30" customHeight="1"/>
    <row r="873" ht="30" customHeight="1"/>
    <row r="874" ht="30" customHeight="1"/>
    <row r="875" ht="30" customHeight="1"/>
    <row r="876" ht="30" customHeight="1"/>
    <row r="877" ht="30" customHeight="1"/>
    <row r="878" ht="30" customHeight="1"/>
    <row r="879" ht="30" customHeight="1"/>
    <row r="880" ht="30" customHeight="1"/>
    <row r="881" ht="30" customHeight="1"/>
    <row r="882" ht="30" customHeight="1"/>
    <row r="883" ht="30" customHeight="1"/>
    <row r="884" ht="30" customHeight="1"/>
    <row r="885" ht="30" customHeight="1"/>
    <row r="886" ht="30" customHeight="1"/>
    <row r="887" ht="30" customHeight="1"/>
    <row r="888" ht="30" customHeight="1"/>
    <row r="889" ht="30" customHeight="1"/>
    <row r="890" ht="30" customHeight="1"/>
    <row r="891" ht="30" customHeight="1"/>
    <row r="892" ht="30" customHeight="1"/>
    <row r="893" ht="30" customHeight="1"/>
    <row r="894" ht="30" customHeight="1"/>
    <row r="895" ht="30" customHeight="1"/>
    <row r="896" ht="30" customHeight="1"/>
    <row r="897" ht="30" customHeight="1"/>
    <row r="898" ht="30" customHeight="1"/>
    <row r="899" ht="30" customHeight="1"/>
    <row r="900" ht="30" customHeight="1"/>
    <row r="901" ht="30" customHeight="1"/>
    <row r="902" ht="30" customHeight="1"/>
    <row r="903" ht="30" customHeight="1"/>
    <row r="904" ht="30" customHeight="1"/>
    <row r="905" ht="30" customHeight="1"/>
    <row r="906" ht="30" customHeight="1"/>
    <row r="907" ht="30" customHeight="1"/>
    <row r="908" ht="30" customHeight="1"/>
    <row r="909" ht="30" customHeight="1"/>
    <row r="910" ht="30" customHeight="1"/>
    <row r="911" ht="30" customHeight="1"/>
    <row r="912" ht="30" customHeight="1"/>
    <row r="913" ht="30" customHeight="1"/>
    <row r="914" ht="30" customHeight="1"/>
    <row r="915" ht="30" customHeight="1"/>
    <row r="916" ht="30" customHeight="1"/>
    <row r="917" ht="30" customHeight="1"/>
    <row r="918" ht="30" customHeight="1"/>
    <row r="919" ht="30" customHeight="1"/>
    <row r="920" ht="30" customHeight="1"/>
    <row r="921" ht="30" customHeight="1"/>
    <row r="922" ht="30" customHeight="1"/>
    <row r="923" ht="30" customHeight="1"/>
    <row r="924" ht="30" customHeight="1"/>
    <row r="925" ht="30" customHeight="1"/>
    <row r="926" ht="30" customHeight="1"/>
    <row r="927" ht="30" customHeight="1"/>
    <row r="928" ht="30" customHeight="1"/>
    <row r="929" ht="30" customHeight="1"/>
    <row r="930" ht="30" customHeight="1"/>
    <row r="931" ht="30" customHeight="1"/>
    <row r="932" ht="30" customHeight="1"/>
    <row r="933" ht="30" customHeight="1"/>
    <row r="934" ht="30" customHeight="1"/>
    <row r="935" ht="30" customHeight="1"/>
    <row r="936" ht="30" customHeight="1"/>
    <row r="937" ht="30" customHeight="1"/>
    <row r="938" ht="30" customHeight="1"/>
    <row r="939" ht="30" customHeight="1"/>
    <row r="940" ht="30" customHeight="1"/>
    <row r="941" ht="30" customHeight="1"/>
    <row r="942" ht="30" customHeight="1"/>
    <row r="943" ht="30" customHeight="1"/>
    <row r="944" ht="30" customHeight="1"/>
    <row r="945" ht="30" customHeight="1"/>
    <row r="946" ht="30" customHeight="1"/>
    <row r="947" ht="30" customHeight="1"/>
    <row r="948" ht="30" customHeight="1"/>
    <row r="949" ht="30" customHeight="1"/>
    <row r="950" ht="30" customHeight="1"/>
    <row r="951" ht="30" customHeight="1"/>
    <row r="952" ht="30" customHeight="1"/>
    <row r="953" ht="30" customHeight="1"/>
    <row r="954" ht="30" customHeight="1"/>
    <row r="955" ht="30" customHeight="1"/>
    <row r="956" ht="30" customHeight="1"/>
    <row r="957" ht="30" customHeight="1"/>
    <row r="958" ht="30" customHeight="1"/>
    <row r="959" ht="30" customHeight="1"/>
    <row r="960" ht="30" customHeight="1"/>
    <row r="961" ht="30" customHeight="1"/>
    <row r="962" ht="30" customHeight="1"/>
    <row r="963" ht="30" customHeight="1"/>
    <row r="964" ht="30" customHeight="1"/>
    <row r="965" ht="30" customHeight="1"/>
    <row r="966" ht="30" customHeight="1"/>
    <row r="967" ht="30" customHeight="1"/>
    <row r="968" ht="30" customHeight="1"/>
    <row r="969" ht="30" customHeight="1"/>
    <row r="970" ht="30" customHeight="1"/>
    <row r="971" ht="30" customHeight="1"/>
    <row r="972" ht="30" customHeight="1"/>
    <row r="973" ht="30" customHeight="1"/>
    <row r="974" ht="30" customHeight="1"/>
    <row r="975" ht="30" customHeight="1"/>
    <row r="976" ht="30" customHeight="1"/>
    <row r="977" ht="30" customHeight="1"/>
    <row r="978" ht="30" customHeight="1"/>
    <row r="979" ht="30" customHeight="1"/>
    <row r="980" ht="30" customHeight="1"/>
    <row r="981" ht="30" customHeight="1"/>
    <row r="982" ht="30" customHeight="1"/>
    <row r="983" ht="30" customHeight="1"/>
    <row r="984" ht="30" customHeight="1"/>
    <row r="985" ht="30" customHeight="1"/>
    <row r="986" ht="30" customHeight="1"/>
    <row r="987" ht="30" customHeight="1"/>
    <row r="988" ht="30" customHeight="1"/>
    <row r="989" ht="30" customHeight="1"/>
    <row r="990" ht="30" customHeight="1"/>
    <row r="991" ht="30" customHeight="1"/>
    <row r="992" ht="30" customHeight="1"/>
    <row r="993" ht="30" customHeight="1"/>
    <row r="994" ht="30" customHeight="1"/>
    <row r="995" ht="30" customHeight="1"/>
    <row r="996" ht="30" customHeight="1"/>
    <row r="997" ht="30" customHeight="1"/>
    <row r="998" ht="30" customHeight="1"/>
    <row r="999" ht="30" customHeight="1"/>
    <row r="1000" ht="30" customHeight="1"/>
  </sheetData>
  <mergeCells count="3">
    <mergeCell ref="J2:L2"/>
    <mergeCell ref="N2:O2"/>
    <mergeCell ref="Q2:R2"/>
  </mergeCells>
  <conditionalFormatting sqref="M17:M1000">
    <cfRule type="expression" dxfId="7" priority="1">
      <formula>M17="UPDATE IT"</formula>
    </cfRule>
    <cfRule type="expression" dxfId="6" priority="2">
      <formula>M17="BILL PENDING"</formula>
    </cfRule>
    <cfRule type="expression" dxfId="5" priority="3">
      <formula>M17="IN DESIGN"</formula>
    </cfRule>
    <cfRule type="expression" dxfId="4" priority="4">
      <formula>M17="HOLD"</formula>
    </cfRule>
    <cfRule type="expression" dxfId="3" priority="5">
      <formula>M17="IN PRODUCTION"</formula>
    </cfRule>
    <cfRule type="expression" dxfId="2" priority="6">
      <formula>M17="PO PENDING"</formula>
    </cfRule>
    <cfRule type="expression" dxfId="1" priority="7">
      <formula>M17="DISPATCHED"</formula>
    </cfRule>
    <cfRule type="expression" dxfId="0" priority="8">
      <formula>M17="UNDER APPROVAL"</formula>
    </cfRule>
  </conditionalFormatting>
  <dataValidations count="1">
    <dataValidation type="list" allowBlank="1" showErrorMessage="1" sqref="J4:J15" xr:uid="{00000000-0002-0000-0400-000000000000}">
      <formula1>"PO PENDING,IN DESIGN,DISPATCHED,IN PRODUCTION,BILLED,BILL PENDING,UNDER APPROVAL,HOLD,UPDATE IT,ORDERED"</formula1>
    </dataValidation>
  </dataValidations>
  <pageMargins left="0.31496062992125984" right="0.31496062992125984" top="0.55118110236220474" bottom="0" header="0" footer="0"/>
  <pageSetup paperSize="9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C1:V1000"/>
  <sheetViews>
    <sheetView topLeftCell="C1" workbookViewId="0">
      <selection activeCell="G24" sqref="G24"/>
    </sheetView>
  </sheetViews>
  <sheetFormatPr defaultColWidth="14.42578125" defaultRowHeight="15" customHeight="1"/>
  <cols>
    <col min="1" max="2" width="8.7109375" customWidth="1"/>
    <col min="3" max="3" width="23.42578125" customWidth="1"/>
    <col min="4" max="4" width="11" customWidth="1"/>
    <col min="5" max="6" width="8.7109375" customWidth="1"/>
    <col min="7" max="7" width="22" customWidth="1"/>
    <col min="8" max="8" width="11" customWidth="1"/>
    <col min="9" max="10" width="8.7109375" customWidth="1"/>
    <col min="11" max="11" width="23.5703125" customWidth="1"/>
    <col min="12" max="12" width="18.5703125" customWidth="1"/>
    <col min="13" max="13" width="8.7109375" customWidth="1"/>
    <col min="14" max="14" width="16.85546875" customWidth="1"/>
    <col min="15" max="15" width="13.5703125" customWidth="1"/>
    <col min="16" max="16" width="17.7109375" customWidth="1"/>
    <col min="17" max="17" width="14.28515625" customWidth="1"/>
    <col min="18" max="18" width="18.85546875" customWidth="1"/>
    <col min="19" max="19" width="14.7109375" customWidth="1"/>
    <col min="20" max="20" width="17.5703125" customWidth="1"/>
    <col min="21" max="21" width="14.140625" customWidth="1"/>
    <col min="22" max="22" width="25" customWidth="1"/>
    <col min="23" max="26" width="8.7109375" customWidth="1"/>
  </cols>
  <sheetData>
    <row r="1" spans="3:20" ht="14.25" customHeight="1"/>
    <row r="2" spans="3:20" ht="22.5" customHeight="1">
      <c r="C2" s="197" t="s">
        <v>5162</v>
      </c>
      <c r="D2" s="50" t="s">
        <v>5163</v>
      </c>
      <c r="G2" s="198" t="s">
        <v>5164</v>
      </c>
      <c r="H2" s="51"/>
      <c r="I2" s="192"/>
      <c r="K2" s="52" t="s">
        <v>5165</v>
      </c>
      <c r="L2" s="53" t="s">
        <v>5166</v>
      </c>
      <c r="N2" s="762" t="s">
        <v>5167</v>
      </c>
      <c r="O2" s="763"/>
      <c r="P2" s="764"/>
      <c r="Q2" s="54"/>
      <c r="R2" s="762" t="s">
        <v>5168</v>
      </c>
      <c r="S2" s="763"/>
      <c r="T2" s="764"/>
    </row>
    <row r="3" spans="3:20" ht="13.5" customHeight="1">
      <c r="C3" s="745" t="s">
        <v>390</v>
      </c>
      <c r="D3" s="745">
        <f>COUNTIF('2026-2027'!E:E,"Andhra Pradesh")</f>
        <v>8</v>
      </c>
      <c r="G3" s="199" t="s">
        <v>117</v>
      </c>
      <c r="H3" s="55">
        <f>COUNTIF('2026-2027'!L:L, G3)</f>
        <v>37</v>
      </c>
      <c r="I3" s="192"/>
      <c r="K3" s="56" t="s">
        <v>77</v>
      </c>
      <c r="L3" s="57">
        <f>COUNTIF('2026-2027'!M:M, K3)</f>
        <v>31</v>
      </c>
      <c r="N3" s="200" t="s">
        <v>5169</v>
      </c>
      <c r="O3" s="201" t="s">
        <v>5170</v>
      </c>
      <c r="P3" s="202" t="s">
        <v>5171</v>
      </c>
      <c r="R3" s="203" t="s">
        <v>5172</v>
      </c>
      <c r="S3" s="204" t="s">
        <v>5170</v>
      </c>
      <c r="T3" s="205" t="s">
        <v>5171</v>
      </c>
    </row>
    <row r="4" spans="3:20" ht="15.75" customHeight="1">
      <c r="C4" s="745" t="s">
        <v>1900</v>
      </c>
      <c r="D4" s="745">
        <f>COUNTIF('2026-2027'!E:E,"Andhra Pradesh")</f>
        <v>8</v>
      </c>
      <c r="G4" s="199" t="s">
        <v>74</v>
      </c>
      <c r="H4" s="55">
        <f>COUNTIF('2026-2027'!L:L, G4)</f>
        <v>22</v>
      </c>
      <c r="I4" s="192"/>
      <c r="K4" s="58" t="s">
        <v>28</v>
      </c>
      <c r="L4" s="57">
        <f>COUNTIF('2026-2027'!M:M, K4)</f>
        <v>128</v>
      </c>
      <c r="N4" s="59" t="s">
        <v>5173</v>
      </c>
      <c r="O4" s="60">
        <f ca="1">COUNTIFS('2026-2027'!B:B, TODAY()-WEEKDAY(TODAY(),2)+1)</f>
        <v>11</v>
      </c>
      <c r="P4" s="61">
        <f ca="1">SUMIFS('2026-2027'!P:P, '2026-2027'!B:B, TODAY()-WEEKDAY(TODAY(),2)+1)</f>
        <v>0</v>
      </c>
      <c r="R4" s="62">
        <v>46113</v>
      </c>
      <c r="S4" s="63">
        <f>COUNTIFS('2026-2027'!B:B,"&gt;="&amp;DATE(2026,4,1),'2026-2027'!B:B,"&lt;="&amp;DATE(2026,4,30))</f>
        <v>270</v>
      </c>
      <c r="T4" s="61">
        <f>SUMIFS('2026-2027'!P:P,'2026-2027'!B:B,"&gt;="&amp;DATE(2026,4,1),'2026-2027'!B:B,"&lt;="&amp;DATE(2026,4,30))</f>
        <v>174497727.56</v>
      </c>
    </row>
    <row r="5" spans="3:20" ht="14.25" customHeight="1">
      <c r="C5" s="745" t="s">
        <v>416</v>
      </c>
      <c r="D5" s="745">
        <f>COUNTIF('2026-2027'!E:E,"Assam")</f>
        <v>8</v>
      </c>
      <c r="G5" s="199" t="s">
        <v>27</v>
      </c>
      <c r="H5" s="55">
        <f>COUNTIF('2026-2027'!L:L, G5)</f>
        <v>149</v>
      </c>
      <c r="I5" s="192"/>
      <c r="K5" s="56" t="s">
        <v>5174</v>
      </c>
      <c r="L5" s="57">
        <f>COUNTIF('2026-2027'!M:M, K5)</f>
        <v>0</v>
      </c>
      <c r="N5" s="59" t="s">
        <v>5175</v>
      </c>
      <c r="O5" s="60">
        <f ca="1">COUNTIFS('2026-2027'!B:B, TODAY()-WEEKDAY(TODAY(),2)+1)</f>
        <v>11</v>
      </c>
      <c r="P5" s="61">
        <f ca="1">SUMIFS('2026-2027'!P:P, '2026-2027'!B:B, TODAY()-WEEKDAY(TODAY(),2)+2)</f>
        <v>0</v>
      </c>
      <c r="R5" s="62">
        <v>46143</v>
      </c>
      <c r="S5" s="63">
        <f>COUNTIFS('2026-2027'!B:B,"&gt;="&amp;DATE(2026,5,1),'2026-2027'!B:B,"&lt;="&amp;DATE(2026,5,31))</f>
        <v>271</v>
      </c>
      <c r="T5" s="61">
        <f>SUMIFS('2026-2027'!P:P,'2026-2027'!B:B,"&gt;="&amp;DATE(2026,5,1),'2026-2027'!B:B,"&lt;="&amp;DATE(2026,5,31))</f>
        <v>139448940.31999999</v>
      </c>
    </row>
    <row r="6" spans="3:20" ht="14.25" customHeight="1">
      <c r="C6" s="745" t="s">
        <v>514</v>
      </c>
      <c r="D6" s="745">
        <f>COUNTIF('2026-2027'!E:E,"Bihar")</f>
        <v>5</v>
      </c>
      <c r="G6" s="199" t="s">
        <v>49</v>
      </c>
      <c r="H6" s="55">
        <f>COUNTIF('2026-2027'!L:L, G6)</f>
        <v>332</v>
      </c>
      <c r="I6" s="192"/>
      <c r="K6" s="58" t="s">
        <v>50</v>
      </c>
      <c r="L6" s="57">
        <f>COUNTIF('2026-2027'!M:M, K6)</f>
        <v>462</v>
      </c>
      <c r="N6" s="59" t="s">
        <v>5176</v>
      </c>
      <c r="O6" s="60">
        <f ca="1">COUNTIFS('2026-2027'!B:B, TODAY()-WEEKDAY(TODAY(),2)+1)</f>
        <v>11</v>
      </c>
      <c r="P6" s="61">
        <f ca="1">SUMIFS('2026-2027'!P:P, '2026-2027'!B:B, TODAY()-WEEKDAY(TODAY(),2)+3)</f>
        <v>0</v>
      </c>
      <c r="R6" s="62">
        <v>46174</v>
      </c>
      <c r="S6" s="63">
        <f>COUNTIFS('2026-2027'!B:B,"&gt;="&amp;DATE(2026,6,1),'2026-2027'!B:B,"&lt;="&amp;DATE(2026,6,30))</f>
        <v>287</v>
      </c>
      <c r="T6" s="61">
        <f>SUMIFS('2026-2027'!P:P,'2026-2027'!B:B,"&gt;="&amp;DATE(2026,6,1),'2026-2027'!B:B,"&lt;="&amp;DATE(2026,6,30))</f>
        <v>196083827.71799999</v>
      </c>
    </row>
    <row r="7" spans="3:20" ht="14.25" customHeight="1">
      <c r="C7" s="745" t="s">
        <v>385</v>
      </c>
      <c r="D7" s="745">
        <f>COUNTIF('2026-2027'!E:E,"Chhattisgarh")</f>
        <v>4</v>
      </c>
      <c r="G7" s="199" t="s">
        <v>1857</v>
      </c>
      <c r="H7" s="55">
        <f>COUNTIF('2026-2027'!L:L, G7)</f>
        <v>1</v>
      </c>
      <c r="I7" s="192"/>
      <c r="K7" s="58" t="s">
        <v>40</v>
      </c>
      <c r="L7" s="57">
        <f>COUNTIF('2026-2027'!M:M, K7)</f>
        <v>202</v>
      </c>
      <c r="N7" s="59" t="s">
        <v>5177</v>
      </c>
      <c r="O7" s="60">
        <f ca="1">COUNTIFS('2026-2027'!B:B, TODAY()-WEEKDAY(TODAY(),2)+1)</f>
        <v>11</v>
      </c>
      <c r="P7" s="61">
        <f ca="1">SUMIFS('2026-2027'!P:P, '2026-2027'!B:B, TODAY()-WEEKDAY(TODAY(),2)+4)</f>
        <v>0</v>
      </c>
      <c r="R7" s="62">
        <v>46204</v>
      </c>
      <c r="S7" s="63">
        <f>COUNTIFS('2026-2027'!B:B,"&gt;="&amp;DATE(2026,7,1),'2026-2027'!B:B,"&lt;="&amp;DATE(2026,7,31))</f>
        <v>0</v>
      </c>
      <c r="T7" s="206">
        <f>SUMIFS('2026-2027'!P:P,'2026-2027'!B:B,"&gt;="&amp;DATE(2026,7,1),'2026-2027'!B:B,"&lt;="&amp;DATE(2026,7,31))</f>
        <v>0</v>
      </c>
    </row>
    <row r="8" spans="3:20" ht="14.25" customHeight="1">
      <c r="C8" s="745" t="s">
        <v>759</v>
      </c>
      <c r="D8" s="745">
        <f>COUNTIF('2026-2027'!E:E,"Goa")</f>
        <v>6</v>
      </c>
      <c r="G8" s="207" t="s">
        <v>58</v>
      </c>
      <c r="H8" s="64">
        <f>COUNTIF('2026-2027'!L:L, G8)</f>
        <v>290</v>
      </c>
      <c r="I8" s="192"/>
      <c r="K8" s="65"/>
      <c r="L8" s="65"/>
      <c r="N8" s="59" t="s">
        <v>5178</v>
      </c>
      <c r="O8" s="60">
        <f ca="1">COUNTIFS('2026-2027'!B:B, TODAY()-WEEKDAY(TODAY(),2)+1)</f>
        <v>11</v>
      </c>
      <c r="P8" s="61">
        <f ca="1">SUMIFS('2026-2027'!P:P, '2026-2027'!B:B, TODAY()-WEEKDAY(TODAY(),2)+5)</f>
        <v>0</v>
      </c>
      <c r="R8" s="62">
        <v>46235</v>
      </c>
      <c r="S8" s="63">
        <f>COUNTIFS('2026-2027'!B:B,"&gt;="&amp;DATE(2026,8,1),'2026-2027'!B:B,"&lt;="&amp;DATE(2026,8,31))</f>
        <v>0</v>
      </c>
      <c r="T8" s="206">
        <f>SUMIFS('2026-2027'!P:P,'2026-2027'!B:B,"&gt;="&amp;DATE(2026,8,1),'2026-2027'!B:B,"&lt;="&amp;DATE(2026,8,31))</f>
        <v>0</v>
      </c>
    </row>
    <row r="9" spans="3:20" ht="14.25" customHeight="1">
      <c r="C9" s="745" t="s">
        <v>193</v>
      </c>
      <c r="D9" s="745">
        <f>COUNTIF('2026-2027'!E:E,"Gujarat")</f>
        <v>36</v>
      </c>
      <c r="I9" s="192"/>
      <c r="K9" s="765" t="s">
        <v>5179</v>
      </c>
      <c r="L9" s="766"/>
      <c r="N9" s="59" t="s">
        <v>5180</v>
      </c>
      <c r="O9" s="60">
        <f ca="1">COUNTIFS('2026-2027'!B:B, TODAY()-WEEKDAY(TODAY(),2)+1)</f>
        <v>11</v>
      </c>
      <c r="P9" s="61">
        <f ca="1">SUMIFS('2026-2027'!P:P, '2026-2027'!B:B, TODAY()-WEEKDAY(TODAY(),2)+6)</f>
        <v>0</v>
      </c>
      <c r="R9" s="62">
        <v>46266</v>
      </c>
      <c r="S9" s="63">
        <f>COUNTIFS('2026-2027'!B:B,"&gt;="&amp;DATE(2026,9,1),'2026-2027'!B:B,"&lt;="&amp;DATE(2026,9,30))</f>
        <v>0</v>
      </c>
      <c r="T9" s="206">
        <f>SUMIFS('2026-2027'!P:P,'2026-2027'!B:B,"&gt;="&amp;DATE(2026,9,1),'2026-2027'!B:B,"&lt;="&amp;DATE(2026,9,30))</f>
        <v>0</v>
      </c>
    </row>
    <row r="10" spans="3:20" ht="19.5" customHeight="1">
      <c r="C10" s="745" t="s">
        <v>126</v>
      </c>
      <c r="D10" s="745">
        <f>COUNTIF('2026-2027'!E:E,"Haryana")</f>
        <v>10</v>
      </c>
      <c r="G10" s="66" t="s">
        <v>5181</v>
      </c>
      <c r="H10" s="51" t="s">
        <v>5170</v>
      </c>
      <c r="K10" s="67" t="s">
        <v>5182</v>
      </c>
      <c r="L10" s="67" t="s">
        <v>5132</v>
      </c>
      <c r="N10" s="68" t="s">
        <v>5183</v>
      </c>
      <c r="O10" s="60">
        <f ca="1">COUNTIFS('2026-2027'!B:B, TODAY()-WEEKDAY(TODAY(),2)+1)</f>
        <v>11</v>
      </c>
      <c r="P10" s="61">
        <f ca="1">SUMIFS('2026-2027'!P:P, '2026-2027'!B:B, TODAY()-WEEKDAY(TODAY(),2)+7)</f>
        <v>0</v>
      </c>
      <c r="R10" s="62">
        <v>46296</v>
      </c>
      <c r="S10" s="63">
        <f>COUNTIFS('2026-2027'!B:B,"&gt;="&amp;DATE(2026,10,1),'2026-2027'!B:B,"&lt;="&amp;DATE(2026,10,31))</f>
        <v>0</v>
      </c>
      <c r="T10" s="206">
        <f>SUMIFS('2026-2027'!P:P,'2026-2027'!B:B,"&gt;="&amp;DATE(2026,10,1),'2026-2027'!B:B,"&lt;="&amp;DATE(2026,10,31))</f>
        <v>0</v>
      </c>
    </row>
    <row r="11" spans="3:20" ht="14.25" customHeight="1">
      <c r="C11" s="745" t="s">
        <v>1290</v>
      </c>
      <c r="D11" s="745">
        <f>COUNTIF('2026-2027'!E:E,"Himachal Pradesh")</f>
        <v>1</v>
      </c>
      <c r="G11" s="69" t="s">
        <v>1624</v>
      </c>
      <c r="H11" s="70">
        <f>COUNTIF('2026-2027'!J:J, G11)</f>
        <v>8</v>
      </c>
      <c r="K11" s="71" t="s">
        <v>5114</v>
      </c>
      <c r="L11" s="71">
        <f ca="1">COUNTIF('2026-2027'!B:B, TODAY())</f>
        <v>0</v>
      </c>
      <c r="N11" s="72">
        <f t="shared" ref="N11:O11" si="0">SUBTOTAL(109,N4:N10)</f>
        <v>0</v>
      </c>
      <c r="O11" s="73">
        <f t="shared" ca="1" si="0"/>
        <v>77</v>
      </c>
      <c r="P11" s="61">
        <f ca="1">SUM(P4:P10)</f>
        <v>0</v>
      </c>
      <c r="R11" s="62">
        <v>46327</v>
      </c>
      <c r="S11" s="63">
        <f>COUNTIFS('2026-2027'!B:B,"&gt;="&amp;DATE(2026,11,1),'2026-2027'!B:B,"&lt;="&amp;DATE(2026,11,30))</f>
        <v>0</v>
      </c>
      <c r="T11" s="206">
        <f>SUMIFS('2026-2027'!P:P,'2026-2027'!B:B,"&gt;="&amp;DATE(2026,11,1),'2026-2027'!B:B,"&lt;="&amp;DATE(2026,11,30))</f>
        <v>0</v>
      </c>
    </row>
    <row r="12" spans="3:20" ht="14.25" customHeight="1">
      <c r="C12" s="745" t="s">
        <v>741</v>
      </c>
      <c r="D12" s="745">
        <f>COUNTIF('2026-2027'!E:E,"Jharkhand")</f>
        <v>3</v>
      </c>
      <c r="G12" s="74" t="s">
        <v>25</v>
      </c>
      <c r="H12" s="75">
        <f>COUNTIF('2026-2027'!J:J, G12)</f>
        <v>28</v>
      </c>
      <c r="K12" s="76" t="s">
        <v>5115</v>
      </c>
      <c r="L12" s="71">
        <f ca="1">COUNTIF('2026-2027'!B:B, TODAY()-1)</f>
        <v>8</v>
      </c>
      <c r="R12" s="62">
        <v>46357</v>
      </c>
      <c r="S12" s="63">
        <f>COUNTIFS('2026-2027'!B:B,"&gt;="&amp;DATE(2026,12,1),'2026-2027'!B:B,"&lt;="&amp;DATE(2026,12,31))</f>
        <v>0</v>
      </c>
      <c r="T12" s="206">
        <f>SUMIFS('2026-2027'!P:P,'2026-2027'!B:B,"&gt;="&amp;DATE(2026,12,1),'2026-2027'!B:B,"&lt;="&amp;DATE(2026,12,31))</f>
        <v>0</v>
      </c>
    </row>
    <row r="13" spans="3:20" ht="14.25" customHeight="1">
      <c r="C13" s="745" t="s">
        <v>214</v>
      </c>
      <c r="D13" s="745">
        <f>COUNTIF('2026-2027'!E:E,"Telangana")</f>
        <v>35</v>
      </c>
      <c r="G13" s="77" t="s">
        <v>56</v>
      </c>
      <c r="H13" s="70">
        <f>COUNTIF('2026-2027'!J:J, G13)</f>
        <v>14</v>
      </c>
      <c r="K13" s="71" t="s">
        <v>5131</v>
      </c>
      <c r="L13" s="71">
        <f ca="1">COUNTIFS('2026-2027'!B:B, "&gt;="&amp;EOMONTH(TODAY(),-1)+1, '2026-2027'!B:B, "&lt;="&amp;EOMONTH(TODAY(),0))</f>
        <v>287</v>
      </c>
      <c r="R13" s="62">
        <v>46388</v>
      </c>
      <c r="S13" s="63">
        <f>COUNTIFS('2026-2027'!B:B,"&gt;="&amp;DATE(2026,12,1),'2026-2027'!B:B,"&lt;="&amp;DATE(2026,12,31))</f>
        <v>0</v>
      </c>
      <c r="T13" s="206">
        <f>SUMIFS('2026-2027'!P:P,'2026-2027'!B:B,"&gt;="&amp;DATE(2026,12,1),'2026-2027'!B:B,"&lt;="&amp;DATE(2026,12,31))</f>
        <v>0</v>
      </c>
    </row>
    <row r="14" spans="3:20" ht="17.25" customHeight="1">
      <c r="C14" s="745" t="s">
        <v>725</v>
      </c>
      <c r="D14" s="745">
        <f>COUNTIF('2026-2027'!E:E,"Kerala")</f>
        <v>3</v>
      </c>
      <c r="G14" s="74" t="s">
        <v>1113</v>
      </c>
      <c r="H14" s="75">
        <f>COUNTIF('2026-2027'!J:J, G14)</f>
        <v>62</v>
      </c>
      <c r="K14" s="76" t="s">
        <v>5159</v>
      </c>
      <c r="L14" s="78">
        <f>SUM(T4:T16)</f>
        <v>510030495.59799999</v>
      </c>
      <c r="R14" s="62">
        <v>46419</v>
      </c>
      <c r="S14" s="63">
        <f>COUNTIFS('2026-2027'!B:B,"&gt;="&amp;DATE(2026,12,1),'2026-2027'!B:B,"&lt;="&amp;DATE(2026,12,31))</f>
        <v>0</v>
      </c>
      <c r="T14" s="206">
        <f>SUMIFS('2026-2027'!P:P,'2026-2027'!B:B,"&gt;="&amp;DATE(2026,12,1),'2026-2027'!B:B,"&lt;="&amp;DATE(2026,12,31))</f>
        <v>0</v>
      </c>
    </row>
    <row r="15" spans="3:20" ht="14.25" customHeight="1">
      <c r="C15" s="745" t="s">
        <v>162</v>
      </c>
      <c r="D15" s="745">
        <f>COUNTIF('2026-2027'!E:E,"Madhya Pradesh")</f>
        <v>17</v>
      </c>
      <c r="G15" s="77" t="s">
        <v>63</v>
      </c>
      <c r="H15" s="75">
        <f>COUNTIF('2026-2027'!J:J, G15)</f>
        <v>119</v>
      </c>
      <c r="K15" s="71" t="s">
        <v>5118</v>
      </c>
      <c r="L15" s="79">
        <f>SUMIFS('2026-2027'!P:P, '2026-2027'!Q:Q, "PO Received")</f>
        <v>33905258</v>
      </c>
      <c r="R15" s="62">
        <v>46447</v>
      </c>
      <c r="S15" s="63">
        <f>COUNTIFS('2026-2027'!B:B,"&gt;="&amp;DATE(2026,12,1),'2026-2027'!B:B,"&lt;="&amp;DATE(2026,12,31))</f>
        <v>0</v>
      </c>
      <c r="T15" s="206">
        <f>SUMIFS('2026-2027'!P:P,'2026-2027'!B:B,"&gt;="&amp;DATE(2026,12,1),'2026-2027'!B:B,"&lt;="&amp;DATE(2026,12,31))</f>
        <v>0</v>
      </c>
    </row>
    <row r="16" spans="3:20" ht="14.25" customHeight="1">
      <c r="C16" s="745" t="s">
        <v>22</v>
      </c>
      <c r="D16" s="745">
        <f>COUNTIF('2026-2027'!E:E,"Maharashtra")</f>
        <v>453</v>
      </c>
      <c r="G16" s="74" t="s">
        <v>1438</v>
      </c>
      <c r="H16" s="75">
        <f>COUNTIF('2026-2027'!J:J, G16)</f>
        <v>3</v>
      </c>
      <c r="K16" s="76" t="s">
        <v>5119</v>
      </c>
      <c r="L16" s="76">
        <f>SUBTOTAL(109,S4:S12)</f>
        <v>828</v>
      </c>
      <c r="R16" s="62">
        <v>46478</v>
      </c>
      <c r="S16" s="63">
        <f>COUNTIFS('2026-2027'!B:B,"&gt;="&amp;DATE(2026,12,1),'2026-2027'!B:B,"&lt;="&amp;DATE(2026,12,31))</f>
        <v>0</v>
      </c>
      <c r="T16" s="206">
        <f>SUMIFS('2026-2027'!P:P,'2026-2027'!B:B,"&gt;="&amp;DATE(2026,12,1),'2026-2027'!B:B,"&lt;="&amp;DATE(2026,12,31))</f>
        <v>0</v>
      </c>
    </row>
    <row r="17" spans="3:22" ht="14.25" customHeight="1">
      <c r="C17" s="745" t="s">
        <v>5184</v>
      </c>
      <c r="D17" s="745">
        <f>COUNTIF('2026-2027'!E:E,"Manipur")</f>
        <v>0</v>
      </c>
      <c r="G17" s="77" t="s">
        <v>1698</v>
      </c>
      <c r="H17" s="75">
        <f>COUNTIF('2026-2027'!J:J, G17)</f>
        <v>23</v>
      </c>
      <c r="K17" s="71" t="s">
        <v>5185</v>
      </c>
      <c r="L17" s="71">
        <f ca="1">COUNTIF('2026-2027'!B:B, TODAY()-2)</f>
        <v>11</v>
      </c>
      <c r="R17" s="72"/>
      <c r="S17" s="80">
        <f t="shared" ref="S17:T17" si="1">SUBTOTAL(109,S4:S16)</f>
        <v>828</v>
      </c>
      <c r="T17" s="81">
        <f t="shared" si="1"/>
        <v>510030495.59799999</v>
      </c>
    </row>
    <row r="18" spans="3:22" ht="18.75" customHeight="1">
      <c r="C18" s="745" t="s">
        <v>5186</v>
      </c>
      <c r="D18" s="745">
        <f>COUNTIF('2026-2027'!E:E,"Meghalaya")</f>
        <v>0</v>
      </c>
      <c r="G18" s="77" t="s">
        <v>567</v>
      </c>
      <c r="H18" s="75">
        <f>COUNTIF('2026-2027'!J:J, G18)</f>
        <v>115</v>
      </c>
    </row>
    <row r="19" spans="3:22" ht="14.25" customHeight="1">
      <c r="C19" s="745" t="s">
        <v>205</v>
      </c>
      <c r="D19" s="745">
        <f>COUNTIF('2026-2027'!E:E,"Karnatka")</f>
        <v>0</v>
      </c>
      <c r="G19" s="74" t="s">
        <v>122</v>
      </c>
      <c r="H19" s="75">
        <f>COUNTIF('2026-2027'!J:J, G19)</f>
        <v>165</v>
      </c>
      <c r="K19" s="767" t="s">
        <v>5187</v>
      </c>
      <c r="L19" s="766"/>
      <c r="N19" s="82" t="s">
        <v>5169</v>
      </c>
      <c r="O19" s="82" t="s">
        <v>5188</v>
      </c>
      <c r="P19" s="82" t="s">
        <v>5189</v>
      </c>
      <c r="Q19" s="82" t="s">
        <v>5190</v>
      </c>
      <c r="R19" s="82" t="s">
        <v>5191</v>
      </c>
      <c r="S19" s="82" t="s">
        <v>5192</v>
      </c>
      <c r="T19" s="82" t="s">
        <v>5193</v>
      </c>
      <c r="U19" s="82" t="s">
        <v>5194</v>
      </c>
      <c r="V19" s="82" t="s">
        <v>5195</v>
      </c>
    </row>
    <row r="20" spans="3:22" ht="14.25" customHeight="1">
      <c r="C20" s="745" t="s">
        <v>5196</v>
      </c>
      <c r="D20" s="745">
        <f>COUNTIF('2026-2027'!E:E,"Mizoram")</f>
        <v>0</v>
      </c>
      <c r="G20" s="83" t="s">
        <v>171</v>
      </c>
      <c r="H20" s="75">
        <f>COUNTIF('2026-2027'!J:J, G20)</f>
        <v>29</v>
      </c>
      <c r="K20" s="84" t="s">
        <v>5197</v>
      </c>
      <c r="L20" s="84" t="s">
        <v>5170</v>
      </c>
      <c r="N20" s="745" t="s">
        <v>5173</v>
      </c>
      <c r="O20" s="745">
        <v>4</v>
      </c>
      <c r="P20" s="745" t="s">
        <v>5198</v>
      </c>
      <c r="Q20" s="745">
        <v>0</v>
      </c>
      <c r="R20" s="745" t="s">
        <v>5198</v>
      </c>
      <c r="S20" s="745">
        <v>0</v>
      </c>
      <c r="T20" s="745" t="s">
        <v>5198</v>
      </c>
      <c r="U20" s="745">
        <v>0</v>
      </c>
      <c r="V20" s="745" t="s">
        <v>5198</v>
      </c>
    </row>
    <row r="21" spans="3:22" ht="14.25" customHeight="1">
      <c r="C21" s="745" t="s">
        <v>5199</v>
      </c>
      <c r="D21" s="745">
        <f>COUNTIF('2026-2027'!E:E,"Nagaland")</f>
        <v>0</v>
      </c>
      <c r="G21" s="85" t="s">
        <v>66</v>
      </c>
      <c r="H21" s="75">
        <f>COUNTIF('2026-2027'!J:J, G21)</f>
        <v>174</v>
      </c>
      <c r="K21" s="86" t="s">
        <v>1239</v>
      </c>
      <c r="L21" s="745">
        <f>COUNTIF('2026-2027'!F:F, K21)</f>
        <v>4</v>
      </c>
      <c r="N21" s="745" t="s">
        <v>5175</v>
      </c>
      <c r="O21" s="745">
        <v>0</v>
      </c>
      <c r="P21" s="745" t="s">
        <v>5198</v>
      </c>
      <c r="Q21" s="745">
        <v>0</v>
      </c>
      <c r="R21" s="745" t="s">
        <v>5198</v>
      </c>
      <c r="S21" s="745">
        <v>0</v>
      </c>
      <c r="T21" s="745" t="s">
        <v>5198</v>
      </c>
      <c r="U21" s="745">
        <v>0</v>
      </c>
      <c r="V21" s="745" t="s">
        <v>5198</v>
      </c>
    </row>
    <row r="22" spans="3:22" ht="14.25" customHeight="1">
      <c r="C22" s="745" t="s">
        <v>1421</v>
      </c>
      <c r="D22" s="745">
        <f>COUNTIF('2026-2027'!E:E,"Odisha")</f>
        <v>3</v>
      </c>
      <c r="G22" s="83" t="s">
        <v>47</v>
      </c>
      <c r="H22" s="75">
        <f>COUNTIF('2026-2027'!J:J, G22)</f>
        <v>67</v>
      </c>
      <c r="K22" s="86" t="s">
        <v>32</v>
      </c>
      <c r="L22" s="745">
        <f>COUNTIF('2026-2027'!F:F, K22)</f>
        <v>40</v>
      </c>
      <c r="N22" s="745" t="s">
        <v>5176</v>
      </c>
      <c r="O22" s="745">
        <v>0</v>
      </c>
      <c r="P22" s="745" t="s">
        <v>5198</v>
      </c>
      <c r="Q22" s="745">
        <v>0</v>
      </c>
      <c r="R22" s="745" t="s">
        <v>5198</v>
      </c>
      <c r="S22" s="745">
        <v>0</v>
      </c>
      <c r="T22" s="745" t="s">
        <v>5198</v>
      </c>
      <c r="U22" s="745">
        <v>0</v>
      </c>
      <c r="V22" s="745" t="s">
        <v>5198</v>
      </c>
    </row>
    <row r="23" spans="3:22" ht="14.25" customHeight="1">
      <c r="C23" s="745" t="s">
        <v>272</v>
      </c>
      <c r="D23" s="745">
        <f>COUNTIF('2026-2027'!E:E,"Punjab")</f>
        <v>12</v>
      </c>
      <c r="G23" s="87" t="s">
        <v>86</v>
      </c>
      <c r="H23" s="75">
        <f>COUNTIF('2026-2027'!J:J, G23)</f>
        <v>23</v>
      </c>
      <c r="K23" s="86" t="s">
        <v>1561</v>
      </c>
      <c r="L23" s="745">
        <f>COUNTIF('2026-2027'!F:F, K23)</f>
        <v>2</v>
      </c>
      <c r="N23" s="745" t="s">
        <v>5177</v>
      </c>
      <c r="O23" s="745">
        <v>0</v>
      </c>
      <c r="P23" s="745" t="s">
        <v>5198</v>
      </c>
      <c r="Q23" s="745">
        <v>0</v>
      </c>
      <c r="R23" s="745" t="s">
        <v>5198</v>
      </c>
      <c r="S23" s="745">
        <v>0</v>
      </c>
      <c r="T23" s="745" t="s">
        <v>5198</v>
      </c>
      <c r="U23" s="745">
        <v>0</v>
      </c>
      <c r="V23" s="745" t="s">
        <v>5198</v>
      </c>
    </row>
    <row r="24" spans="3:22" ht="14.25" customHeight="1">
      <c r="C24" s="745" t="s">
        <v>199</v>
      </c>
      <c r="D24" s="745">
        <f>COUNTIF('2026-2027'!E:E,"Rajasthan")</f>
        <v>14</v>
      </c>
      <c r="K24" s="86" t="s">
        <v>73</v>
      </c>
      <c r="L24" s="745">
        <f>COUNTIF('2026-2027'!F:F, K24)</f>
        <v>226</v>
      </c>
      <c r="N24" s="745" t="s">
        <v>5178</v>
      </c>
      <c r="O24" s="745">
        <v>0</v>
      </c>
      <c r="P24" s="745" t="s">
        <v>5198</v>
      </c>
      <c r="Q24" s="745">
        <v>0</v>
      </c>
      <c r="R24" s="745" t="s">
        <v>5198</v>
      </c>
      <c r="S24" s="745">
        <v>0</v>
      </c>
      <c r="T24" s="745" t="s">
        <v>5198</v>
      </c>
      <c r="U24" s="745">
        <v>0</v>
      </c>
      <c r="V24" s="745" t="s">
        <v>5198</v>
      </c>
    </row>
    <row r="25" spans="3:22" ht="14.25" customHeight="1">
      <c r="C25" s="745" t="s">
        <v>5200</v>
      </c>
      <c r="D25" s="745">
        <f>COUNTIF('2026-2027'!E:E,"Sikkim")</f>
        <v>0</v>
      </c>
      <c r="G25" s="768" t="s">
        <v>5201</v>
      </c>
      <c r="H25" s="755"/>
      <c r="K25" s="86" t="s">
        <v>23</v>
      </c>
      <c r="L25" s="745">
        <f>COUNTIF('2026-2027'!F:F, K25)</f>
        <v>183</v>
      </c>
      <c r="N25" s="745" t="s">
        <v>5180</v>
      </c>
      <c r="O25" s="745">
        <v>0</v>
      </c>
      <c r="P25" s="745" t="s">
        <v>5198</v>
      </c>
      <c r="Q25" s="745">
        <v>0</v>
      </c>
      <c r="R25" s="745" t="s">
        <v>5198</v>
      </c>
      <c r="S25" s="745">
        <v>0</v>
      </c>
      <c r="T25" s="745" t="s">
        <v>5198</v>
      </c>
      <c r="U25" s="745">
        <v>0</v>
      </c>
      <c r="V25" s="745" t="s">
        <v>5198</v>
      </c>
    </row>
    <row r="26" spans="3:22" ht="14.25" customHeight="1">
      <c r="C26" s="745" t="s">
        <v>82</v>
      </c>
      <c r="D26" s="745">
        <f>COUNTIF('2026-2027'!E:E,"Tamil Nadu")</f>
        <v>49</v>
      </c>
      <c r="G26" s="208" t="s">
        <v>16</v>
      </c>
      <c r="H26" s="209" t="s">
        <v>5170</v>
      </c>
      <c r="K26" s="86" t="s">
        <v>60</v>
      </c>
      <c r="L26" s="745">
        <f>COUNTIF('2026-2027'!F:F, K26)</f>
        <v>185</v>
      </c>
      <c r="M26" s="88"/>
      <c r="N26" s="745" t="s">
        <v>5183</v>
      </c>
      <c r="O26" s="745">
        <v>0</v>
      </c>
      <c r="P26" s="745" t="s">
        <v>5198</v>
      </c>
      <c r="Q26" s="745">
        <v>0</v>
      </c>
      <c r="R26" s="745" t="s">
        <v>5198</v>
      </c>
      <c r="S26" s="745">
        <v>0</v>
      </c>
      <c r="T26" s="745" t="s">
        <v>5198</v>
      </c>
      <c r="U26" s="745">
        <v>0</v>
      </c>
      <c r="V26" s="745" t="s">
        <v>5198</v>
      </c>
    </row>
    <row r="27" spans="3:22" ht="14.25" customHeight="1">
      <c r="C27" s="745" t="s">
        <v>5202</v>
      </c>
      <c r="D27" s="745">
        <f>COUNTIF('2026-2027'!E:E,"Tripura")</f>
        <v>0</v>
      </c>
      <c r="G27" s="83" t="s">
        <v>70</v>
      </c>
      <c r="H27" s="55">
        <f>COUNTIF('2026-2027'!Q:Q, G27)</f>
        <v>134</v>
      </c>
      <c r="K27" s="86" t="s">
        <v>44</v>
      </c>
      <c r="L27" s="745">
        <f>COUNTIF('2026-2027'!F:F, K27)</f>
        <v>46</v>
      </c>
      <c r="M27" s="86"/>
      <c r="N27" s="86"/>
      <c r="O27" s="86"/>
    </row>
    <row r="28" spans="3:22" ht="14.25" customHeight="1">
      <c r="C28" s="745" t="s">
        <v>143</v>
      </c>
      <c r="D28" s="745">
        <f>COUNTIF('2026-2027'!E:E,"Uttar Pradesh")</f>
        <v>33</v>
      </c>
      <c r="G28" s="83" t="s">
        <v>119</v>
      </c>
      <c r="H28" s="55">
        <f>COUNTIF('2026-2027'!Q:Q, G28)</f>
        <v>14</v>
      </c>
      <c r="K28" s="86" t="s">
        <v>83</v>
      </c>
      <c r="L28" s="745">
        <f>COUNTIF('2026-2027'!F:F, K28)</f>
        <v>32</v>
      </c>
      <c r="M28" s="86"/>
      <c r="N28" s="86"/>
      <c r="O28" s="86"/>
      <c r="P28" s="89"/>
    </row>
    <row r="29" spans="3:22" ht="14.25" customHeight="1">
      <c r="C29" s="745" t="s">
        <v>1545</v>
      </c>
      <c r="D29" s="745">
        <f>COUNTIF('2026-2027'!E:E,"Uttarakhand")</f>
        <v>1</v>
      </c>
      <c r="G29" s="83" t="s">
        <v>292</v>
      </c>
      <c r="H29" s="55">
        <f>COUNTIF('2026-2027'!Q:Q, G29)</f>
        <v>18</v>
      </c>
      <c r="K29" s="86" t="s">
        <v>5203</v>
      </c>
      <c r="L29" s="745">
        <f>COUNTIF('2026-2027'!F:F, K29)</f>
        <v>2</v>
      </c>
      <c r="M29" s="86"/>
      <c r="N29" s="86"/>
      <c r="O29" s="86"/>
    </row>
    <row r="30" spans="3:22" ht="14.25" customHeight="1">
      <c r="C30" s="745" t="s">
        <v>595</v>
      </c>
      <c r="D30" s="745">
        <f>COUNTIF('2026-2027'!E:E,"West Bengal")</f>
        <v>9</v>
      </c>
      <c r="G30" s="83" t="s">
        <v>302</v>
      </c>
      <c r="H30" s="55">
        <f>COUNTIF('2026-2027'!Q:Q, G30)</f>
        <v>2</v>
      </c>
      <c r="K30" s="86" t="s">
        <v>59</v>
      </c>
      <c r="L30" s="745">
        <f>COUNTIF('2026-2027'!F:F, K30)</f>
        <v>104</v>
      </c>
      <c r="M30" s="86"/>
      <c r="N30" s="86"/>
      <c r="O30" s="86"/>
    </row>
    <row r="31" spans="3:22" ht="14.25" customHeight="1">
      <c r="C31" s="745" t="s">
        <v>621</v>
      </c>
      <c r="D31" s="745">
        <f>COUNTIF('2026-2027'!E:E,"International")</f>
        <v>12</v>
      </c>
      <c r="G31" s="83" t="s">
        <v>30</v>
      </c>
      <c r="H31" s="55">
        <f>COUNTIF('2026-2027'!Q:Q, G31)</f>
        <v>27</v>
      </c>
      <c r="K31" s="86" t="s">
        <v>36</v>
      </c>
      <c r="L31" s="745">
        <f>COUNTIF('2026-2027'!F:F, K31)</f>
        <v>3</v>
      </c>
      <c r="M31" s="86"/>
      <c r="N31" s="86"/>
      <c r="O31" s="86"/>
    </row>
    <row r="32" spans="3:22" ht="14.25" customHeight="1">
      <c r="C32" s="745" t="s">
        <v>59</v>
      </c>
      <c r="D32" s="745">
        <f>COUNTIF('2026-2027'!E:E,"Others")</f>
        <v>14</v>
      </c>
      <c r="G32" s="83" t="s">
        <v>98</v>
      </c>
      <c r="H32" s="55">
        <f>COUNTIF('2026-2027'!Q:Q, G32)</f>
        <v>16</v>
      </c>
      <c r="K32" s="86" t="s">
        <v>53</v>
      </c>
      <c r="L32" s="745">
        <f>COUNTIF('2026-2027'!F:F, K32)</f>
        <v>1</v>
      </c>
      <c r="M32" s="86"/>
      <c r="N32" s="86"/>
      <c r="O32" s="86"/>
    </row>
    <row r="33" spans="3:15" ht="14.25" customHeight="1">
      <c r="C33" s="745" t="s">
        <v>730</v>
      </c>
      <c r="D33" s="745">
        <f>COUNTIF('2026-2027'!E:E,"Delhi")</f>
        <v>10</v>
      </c>
      <c r="G33" s="83" t="s">
        <v>79</v>
      </c>
      <c r="H33" s="55">
        <f>COUNTIF('2026-2027'!Q:Q, G33)</f>
        <v>7</v>
      </c>
      <c r="K33" s="86"/>
      <c r="L33" s="745"/>
      <c r="M33" s="86"/>
      <c r="N33" s="86"/>
      <c r="O33" s="86"/>
    </row>
    <row r="34" spans="3:15" ht="14.25" customHeight="1">
      <c r="C34" s="84" t="s">
        <v>5204</v>
      </c>
      <c r="D34" s="84">
        <f>SUBTOTAL(109,'DATA SHEET'!$D$3:$D$33)</f>
        <v>754</v>
      </c>
      <c r="G34" s="90" t="s">
        <v>139</v>
      </c>
      <c r="H34" s="64">
        <f>COUNTIF('2026-2027'!Q:Q, G34)</f>
        <v>0</v>
      </c>
      <c r="K34" s="86"/>
      <c r="M34" s="86"/>
      <c r="N34" s="86"/>
      <c r="O34" s="86"/>
    </row>
    <row r="35" spans="3:15" ht="14.25" customHeight="1">
      <c r="K35" s="91">
        <f ca="1">G36</f>
        <v>46197</v>
      </c>
      <c r="L35" s="92"/>
      <c r="M35" s="86"/>
      <c r="N35" s="86"/>
      <c r="O35" s="86"/>
    </row>
    <row r="36" spans="3:15" ht="14.25" customHeight="1">
      <c r="G36" s="91">
        <f ca="1">TODAY()</f>
        <v>46197</v>
      </c>
      <c r="H36" s="92"/>
      <c r="K36" s="93" t="s">
        <v>5164</v>
      </c>
      <c r="L36" s="94"/>
      <c r="M36" s="86"/>
      <c r="N36" s="86"/>
      <c r="O36" s="86"/>
    </row>
    <row r="37" spans="3:15" ht="14.25" customHeight="1">
      <c r="G37" s="95" t="s">
        <v>5181</v>
      </c>
      <c r="H37" s="96" t="s">
        <v>5170</v>
      </c>
      <c r="K37" s="97" t="s">
        <v>117</v>
      </c>
      <c r="L37" s="98">
        <f ca="1">COUNTIFS('2026-2027'!L:L, G3, '2026-2027'!B:B, $G$36)</f>
        <v>0</v>
      </c>
      <c r="M37" s="86"/>
      <c r="N37" s="86"/>
      <c r="O37" s="86"/>
    </row>
    <row r="38" spans="3:15" ht="14.25" customHeight="1">
      <c r="G38" s="69" t="s">
        <v>1624</v>
      </c>
      <c r="H38" s="70">
        <f ca="1">COUNTIFS('2026-2027'!J:J, G38, '2026-2027'!B:B, $G$36)</f>
        <v>0</v>
      </c>
      <c r="K38" s="199" t="s">
        <v>74</v>
      </c>
      <c r="L38" s="98">
        <f ca="1">COUNTIFS('2026-2027'!L:L, G4, '2026-2027'!B:B, $G$36)</f>
        <v>0</v>
      </c>
      <c r="M38" s="86"/>
      <c r="N38" s="86"/>
      <c r="O38" s="86"/>
    </row>
    <row r="39" spans="3:15" ht="14.25" customHeight="1">
      <c r="G39" s="74" t="s">
        <v>25</v>
      </c>
      <c r="H39" s="70">
        <f ca="1">COUNTIFS('2026-2027'!J:J, G39, '2026-2027'!B:B, $G$36)</f>
        <v>0</v>
      </c>
      <c r="K39" s="199" t="s">
        <v>27</v>
      </c>
      <c r="L39" s="98">
        <f ca="1">COUNTIFS('2026-2027'!L:L, G5, '2026-2027'!B:B, $G$36)</f>
        <v>0</v>
      </c>
      <c r="M39" s="86"/>
      <c r="N39" s="86"/>
      <c r="O39" s="86"/>
    </row>
    <row r="40" spans="3:15" ht="14.25" customHeight="1">
      <c r="G40" s="77" t="s">
        <v>56</v>
      </c>
      <c r="H40" s="70">
        <f ca="1">COUNTIFS('2026-2027'!J:J, G40, '2026-2027'!B:B, $G$36)</f>
        <v>0</v>
      </c>
      <c r="K40" s="199" t="s">
        <v>49</v>
      </c>
      <c r="L40" s="98">
        <f ca="1">COUNTIFS('2026-2027'!L:L, G6, '2026-2027'!B:B, $G$36)</f>
        <v>0</v>
      </c>
    </row>
    <row r="41" spans="3:15" ht="14.25" customHeight="1">
      <c r="G41" s="74" t="s">
        <v>1113</v>
      </c>
      <c r="H41" s="70">
        <f ca="1">COUNTIFS('2026-2027'!J:J, G41, '2026-2027'!B:B, $G$36)</f>
        <v>0</v>
      </c>
      <c r="K41" s="199" t="s">
        <v>1857</v>
      </c>
      <c r="L41" s="98">
        <f ca="1">COUNTIFS('2026-2027'!L:L, G7, '2026-2027'!B:B, $G$36)</f>
        <v>0</v>
      </c>
    </row>
    <row r="42" spans="3:15" ht="14.25" customHeight="1">
      <c r="G42" s="77" t="s">
        <v>63</v>
      </c>
      <c r="H42" s="70">
        <f ca="1">COUNTIFS('2026-2027'!J:J, G42, '2026-2027'!B:B, $G$36)</f>
        <v>0</v>
      </c>
      <c r="K42" s="207" t="s">
        <v>58</v>
      </c>
      <c r="L42" s="98">
        <f ca="1">COUNTIFS('2026-2027'!L:L, G8, '2026-2027'!B:B, $G$36)</f>
        <v>0</v>
      </c>
    </row>
    <row r="43" spans="3:15" ht="14.25" customHeight="1">
      <c r="G43" s="74" t="s">
        <v>1438</v>
      </c>
      <c r="H43" s="70">
        <f ca="1">COUNTIFS('2026-2027'!J:J, G43, '2026-2027'!B:B, $G$36)</f>
        <v>0</v>
      </c>
    </row>
    <row r="44" spans="3:15" ht="14.25" customHeight="1">
      <c r="G44" s="77" t="s">
        <v>1698</v>
      </c>
      <c r="H44" s="70">
        <f ca="1">COUNTIFS('2026-2027'!J:J, G44, '2026-2027'!B:B, $G$36)</f>
        <v>0</v>
      </c>
      <c r="K44" s="99"/>
    </row>
    <row r="45" spans="3:15" ht="14.25" customHeight="1">
      <c r="G45" s="77" t="s">
        <v>567</v>
      </c>
      <c r="H45" s="70">
        <f ca="1">COUNTIFS('2026-2027'!J:J, G45, '2026-2027'!B:B, $G$36)</f>
        <v>0</v>
      </c>
      <c r="K45" s="100"/>
    </row>
    <row r="46" spans="3:15" ht="14.25" customHeight="1">
      <c r="G46" s="74" t="s">
        <v>122</v>
      </c>
      <c r="H46" s="70">
        <f ca="1">COUNTIFS('2026-2027'!J:J, G46, '2026-2027'!B:B, $G$36)</f>
        <v>0</v>
      </c>
      <c r="K46" s="100"/>
    </row>
    <row r="47" spans="3:15" ht="22.5" customHeight="1">
      <c r="G47" s="83" t="s">
        <v>171</v>
      </c>
      <c r="H47" s="70">
        <f ca="1">COUNTIFS('2026-2027'!J:J, G47, '2026-2027'!B:B, $G$36)</f>
        <v>0</v>
      </c>
      <c r="K47" s="100"/>
    </row>
    <row r="48" spans="3:15" ht="14.25" customHeight="1">
      <c r="G48" s="101" t="s">
        <v>5205</v>
      </c>
      <c r="H48" s="102">
        <f ca="1">SUM(H38:H47)</f>
        <v>0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N2:P2"/>
    <mergeCell ref="R2:T2"/>
    <mergeCell ref="K9:L9"/>
    <mergeCell ref="K19:L19"/>
    <mergeCell ref="G25:H25"/>
  </mergeCells>
  <dataValidations count="1">
    <dataValidation type="list" allowBlank="1" showErrorMessage="1" sqref="G3:G7 K37:K41" xr:uid="{00000000-0002-0000-0300-000000000000}">
      <formula1>"INDIAMART,TRADE INDIA,REFRENCE,OUT SOURCE,MAIL,VERBAL,EXISTING CUS."</formula1>
    </dataValidation>
  </dataValidations>
  <pageMargins left="0.7" right="0.7" top="0.75" bottom="0.75" header="0" footer="0"/>
  <pageSetup orientation="portrait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V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3" width="8.7109375" customWidth="1"/>
    <col min="4" max="4" width="13.42578125" customWidth="1"/>
    <col min="5" max="5" width="16.5703125" customWidth="1"/>
    <col min="6" max="6" width="7" customWidth="1"/>
    <col min="7" max="7" width="16.42578125" customWidth="1"/>
    <col min="8" max="8" width="6.85546875" customWidth="1"/>
    <col min="9" max="9" width="12.42578125" customWidth="1"/>
    <col min="10" max="10" width="16.140625" customWidth="1"/>
    <col min="11" max="11" width="15.85546875" customWidth="1"/>
    <col min="12" max="12" width="17" customWidth="1"/>
    <col min="13" max="13" width="14.42578125" customWidth="1"/>
    <col min="14" max="15" width="7.140625" customWidth="1"/>
    <col min="16" max="16" width="11" customWidth="1"/>
    <col min="17" max="17" width="23.140625" customWidth="1"/>
    <col min="18" max="27" width="8.7109375" customWidth="1"/>
  </cols>
  <sheetData>
    <row r="2" spans="2:22" ht="15.75">
      <c r="D2" s="771" t="s">
        <v>5127</v>
      </c>
      <c r="E2" s="763"/>
      <c r="F2" s="763"/>
      <c r="G2" s="763"/>
      <c r="H2" s="763"/>
      <c r="I2" s="763"/>
      <c r="J2" s="763"/>
      <c r="K2" s="763"/>
      <c r="L2" s="763"/>
      <c r="M2" s="763"/>
      <c r="N2" s="763"/>
      <c r="O2" s="763"/>
      <c r="P2" s="763"/>
      <c r="Q2" s="764"/>
    </row>
    <row r="3" spans="2:22">
      <c r="B3" s="147"/>
      <c r="D3" s="772" t="s">
        <v>5206</v>
      </c>
      <c r="E3" s="759"/>
      <c r="F3" s="148" t="s">
        <v>1624</v>
      </c>
      <c r="G3" s="149" t="s">
        <v>25</v>
      </c>
      <c r="H3" s="149" t="s">
        <v>56</v>
      </c>
      <c r="I3" s="149" t="s">
        <v>1113</v>
      </c>
      <c r="J3" s="149" t="s">
        <v>63</v>
      </c>
      <c r="K3" s="149" t="s">
        <v>1438</v>
      </c>
      <c r="L3" s="149" t="s">
        <v>1698</v>
      </c>
      <c r="M3" s="149" t="s">
        <v>567</v>
      </c>
      <c r="N3" s="149" t="s">
        <v>47</v>
      </c>
      <c r="O3" s="149" t="s">
        <v>122</v>
      </c>
      <c r="P3" s="148" t="s">
        <v>171</v>
      </c>
      <c r="Q3" s="150" t="s">
        <v>66</v>
      </c>
    </row>
    <row r="4" spans="2:22">
      <c r="D4" s="151" t="s">
        <v>5207</v>
      </c>
      <c r="E4" s="152">
        <f>'DATA SHEET'!$S$17</f>
        <v>828</v>
      </c>
      <c r="F4" s="153">
        <f>COUNTIF('2026-2027'!$J:$J,F3)</f>
        <v>8</v>
      </c>
      <c r="G4" s="153">
        <f>COUNTIF('2026-2027'!$J:$J,G3)</f>
        <v>28</v>
      </c>
      <c r="H4" s="153">
        <f>COUNTIF('2026-2027'!$J:$J,H3)</f>
        <v>14</v>
      </c>
      <c r="I4" s="153">
        <f>COUNTIF('2026-2027'!$J:$J,I3)</f>
        <v>62</v>
      </c>
      <c r="J4" s="153">
        <f>COUNTIF('2026-2027'!$J:$J,J3)</f>
        <v>119</v>
      </c>
      <c r="K4" s="153">
        <f>COUNTIF('2026-2027'!$J:$J,K3)</f>
        <v>3</v>
      </c>
      <c r="L4" s="153">
        <f>COUNTIF('2026-2027'!$J:$J,L3)</f>
        <v>23</v>
      </c>
      <c r="M4" s="153">
        <f>COUNTIF('2026-2027'!$J:$J,M3)</f>
        <v>115</v>
      </c>
      <c r="N4" s="153">
        <f>COUNTIF('2026-2027'!$J:$J,N3)</f>
        <v>67</v>
      </c>
      <c r="O4" s="153">
        <f>COUNTIF('2026-2027'!$J:$J,O3)</f>
        <v>165</v>
      </c>
      <c r="P4" s="153">
        <f>COUNTIF('2026-2027'!$J:$J,P3)</f>
        <v>29</v>
      </c>
      <c r="Q4" s="154">
        <f>COUNTIF('2026-2027'!$J:$J,Q3)</f>
        <v>174</v>
      </c>
    </row>
    <row r="5" spans="2:22">
      <c r="D5" s="155" t="s">
        <v>117</v>
      </c>
      <c r="E5" s="217">
        <f>COUNTIF('2026-2027'!L:L, D5)</f>
        <v>37</v>
      </c>
      <c r="F5" s="153">
        <f>COUNTIF('2026-2027'!$J:$J,F4)</f>
        <v>0</v>
      </c>
      <c r="G5" s="156">
        <f>COUNTIF('2026-2027'!$J:$J,G4)</f>
        <v>0</v>
      </c>
      <c r="H5" s="156">
        <f>COUNTIFS('2026-2027'!$L:$L,D5,'2026-2027'!$J:$J,$H$3)</f>
        <v>0</v>
      </c>
      <c r="I5" s="156">
        <f>COUNTIFS('2026-2027'!$L:$L,D5,'2026-2027'!$J:$J,$I$3)</f>
        <v>1</v>
      </c>
      <c r="J5" s="156">
        <f>COUNTIFS('2026-2027'!$L:$L,D5,'2026-2027'!$J:$J,$J$3)</f>
        <v>1</v>
      </c>
      <c r="K5" s="156">
        <f>COUNTIFS('2026-2027'!$L:$L,D5,'2026-2027'!$J:$J,$K$3)</f>
        <v>0</v>
      </c>
      <c r="L5" s="156">
        <f>COUNTIFS('2026-2027'!$L:$L,D5,'2026-2027'!$J:$J,$L$3)</f>
        <v>0</v>
      </c>
      <c r="M5" s="156">
        <f>COUNTIFS('2026-2027'!$L:$L,D5,'2026-2027'!$J:$J,$M$3)</f>
        <v>0</v>
      </c>
      <c r="N5" s="153">
        <f>COUNTIF('2026-2027'!$J:$J,N4)</f>
        <v>0</v>
      </c>
      <c r="O5" s="156">
        <f>COUNTIFS('2026-2027'!$L:$L,D5,'2026-2027'!$J:$J,$O$3)</f>
        <v>1</v>
      </c>
      <c r="P5" s="156">
        <f>COUNTIFS('2026-2027'!$L:$L,D5,'2026-2027'!$J:$J,$P$3)</f>
        <v>0</v>
      </c>
      <c r="Q5" s="157">
        <f>COUNTIFS('2026-2027'!$L:$L,D5,'2026-2027'!$J:$J,$Q$3)</f>
        <v>23</v>
      </c>
    </row>
    <row r="6" spans="2:22">
      <c r="D6" s="158" t="s">
        <v>74</v>
      </c>
      <c r="E6" s="217">
        <f>COUNTIF('2026-2027'!L:L, D6)</f>
        <v>22</v>
      </c>
      <c r="F6" s="153">
        <f>COUNTIF('2026-2027'!$J:$J,F5)</f>
        <v>0</v>
      </c>
      <c r="G6" s="156">
        <f>COUNTIF('2026-2027'!$J:$J,G5)</f>
        <v>0</v>
      </c>
      <c r="H6" s="156">
        <f>COUNTIFS('2026-2027'!$L:$L,D6,'2026-2027'!$J:$J,$H$3)</f>
        <v>0</v>
      </c>
      <c r="I6" s="156">
        <f>COUNTIFS('2026-2027'!$L:$L,D6,'2026-2027'!$J:$J,$I$3)</f>
        <v>0</v>
      </c>
      <c r="J6" s="156">
        <f>COUNTIFS('2026-2027'!$L:$L,D6,'2026-2027'!$J:$J,$J$3)</f>
        <v>0</v>
      </c>
      <c r="K6" s="156">
        <f>COUNTIFS('2026-2027'!$L:$L,D6,'2026-2027'!$J:$J,$K$3)</f>
        <v>0</v>
      </c>
      <c r="L6" s="156">
        <f>COUNTIFS('2026-2027'!$L:$L,D6,'2026-2027'!$J:$J,$L$3)</f>
        <v>0</v>
      </c>
      <c r="M6" s="156">
        <f>COUNTIFS('2026-2027'!$L:$L,D6,'2026-2027'!$J:$J,$M$3)</f>
        <v>0</v>
      </c>
      <c r="N6" s="153">
        <f>COUNTIF('2026-2027'!$J:$J,N5)</f>
        <v>0</v>
      </c>
      <c r="O6" s="156">
        <f>COUNTIFS('2026-2027'!$L:$L,D6,'2026-2027'!$J:$J,$O$3)</f>
        <v>0</v>
      </c>
      <c r="P6" s="156">
        <f>COUNTIFS('2026-2027'!$L:$L,D6,'2026-2027'!$J:$J,$P$3)</f>
        <v>0</v>
      </c>
      <c r="Q6" s="157">
        <f>COUNTIFS('2026-2027'!$L:$L,D6,'2026-2027'!$J:$J,$Q$3)</f>
        <v>13</v>
      </c>
    </row>
    <row r="7" spans="2:22">
      <c r="D7" s="155" t="s">
        <v>27</v>
      </c>
      <c r="E7" s="217">
        <f>COUNTIF('2026-2027'!L:L, D7)</f>
        <v>149</v>
      </c>
      <c r="F7" s="153">
        <f>COUNTIF('2026-2027'!$J:$J,F6)</f>
        <v>0</v>
      </c>
      <c r="G7" s="156">
        <f>COUNTIF('2026-2027'!$J:$J,G6)</f>
        <v>0</v>
      </c>
      <c r="H7" s="156">
        <f>COUNTIFS('2026-2027'!$L:$L,D7,'2026-2027'!$J:$J,$H$3)</f>
        <v>1</v>
      </c>
      <c r="I7" s="156">
        <f>COUNTIFS('2026-2027'!$L:$L,D7,'2026-2027'!$J:$J,$I$3)</f>
        <v>0</v>
      </c>
      <c r="J7" s="156">
        <f>COUNTIFS('2026-2027'!$L:$L,D7,'2026-2027'!$J:$J,$J$3)</f>
        <v>3</v>
      </c>
      <c r="K7" s="156">
        <f>COUNTIFS('2026-2027'!$L:$L,D7,'2026-2027'!$J:$J,$K$3)</f>
        <v>0</v>
      </c>
      <c r="L7" s="156">
        <f>COUNTIFS('2026-2027'!$L:$L,D7,'2026-2027'!$J:$J,$L$3)</f>
        <v>3</v>
      </c>
      <c r="M7" s="156">
        <f>COUNTIFS('2026-2027'!$L:$L,D7,'2026-2027'!$J:$J,$M$3)</f>
        <v>0</v>
      </c>
      <c r="N7" s="153">
        <f>COUNTIF('2026-2027'!$J:$J,N6)</f>
        <v>0</v>
      </c>
      <c r="O7" s="156">
        <f>COUNTIFS('2026-2027'!$L:$L,D7,'2026-2027'!$J:$J,$O$3)</f>
        <v>0</v>
      </c>
      <c r="P7" s="156">
        <f>COUNTIFS('2026-2027'!$L:$L,D7,'2026-2027'!$J:$J,$P$3)</f>
        <v>1</v>
      </c>
      <c r="Q7" s="157">
        <f>COUNTIFS('2026-2027'!$L:$L,D7,'2026-2027'!$J:$J,$Q$3)</f>
        <v>100</v>
      </c>
    </row>
    <row r="8" spans="2:22">
      <c r="D8" s="158" t="s">
        <v>49</v>
      </c>
      <c r="E8" s="217">
        <f>COUNTIF('2026-2027'!L:L, D8)</f>
        <v>332</v>
      </c>
      <c r="F8" s="153">
        <f>COUNTIF('2026-2027'!$J:$J,F7)</f>
        <v>0</v>
      </c>
      <c r="G8" s="156">
        <f>COUNTIF('2026-2027'!$J:$J,G7)</f>
        <v>0</v>
      </c>
      <c r="H8" s="156">
        <f>COUNTIFS('2026-2027'!$L:$L,D8,'2026-2027'!$J:$J,$H$3)</f>
        <v>9</v>
      </c>
      <c r="I8" s="156">
        <f>COUNTIFS('2026-2027'!$L:$L,D8,'2026-2027'!$J:$J,$I$3)</f>
        <v>31</v>
      </c>
      <c r="J8" s="156">
        <f>COUNTIFS('2026-2027'!$L:$L,D8,'2026-2027'!$J:$J,$J$3)</f>
        <v>64</v>
      </c>
      <c r="K8" s="156">
        <f>COUNTIFS('2026-2027'!$L:$L,D8,'2026-2027'!$J:$J,$K$3)</f>
        <v>2</v>
      </c>
      <c r="L8" s="156">
        <f>COUNTIFS('2026-2027'!$L:$L,D8,'2026-2027'!$J:$J,$L$3)</f>
        <v>13</v>
      </c>
      <c r="M8" s="156">
        <f>COUNTIFS('2026-2027'!$L:$L,D8,'2026-2027'!$J:$J,$M$3)</f>
        <v>61</v>
      </c>
      <c r="N8" s="153">
        <f>COUNTIF('2026-2027'!$J:$J,N7)</f>
        <v>0</v>
      </c>
      <c r="O8" s="156">
        <f>COUNTIFS('2026-2027'!$L:$L,D8,'2026-2027'!$J:$J,$O$3)</f>
        <v>71</v>
      </c>
      <c r="P8" s="156">
        <f>COUNTIFS('2026-2027'!$L:$L,D8,'2026-2027'!$J:$J,$P$3)</f>
        <v>10</v>
      </c>
      <c r="Q8" s="157">
        <f>COUNTIFS('2026-2027'!$L:$L,D8,'2026-2027'!$J:$J,$Q$3)</f>
        <v>34</v>
      </c>
    </row>
    <row r="9" spans="2:22">
      <c r="D9" s="155" t="s">
        <v>1857</v>
      </c>
      <c r="E9" s="217">
        <f>COUNTIF('2026-2027'!L:L, D9)</f>
        <v>1</v>
      </c>
      <c r="F9" s="153">
        <f>COUNTIF('2026-2027'!$J:$J,F8)</f>
        <v>0</v>
      </c>
      <c r="G9" s="156">
        <f>COUNTIF('2026-2027'!$J:$J,G8)</f>
        <v>0</v>
      </c>
      <c r="H9" s="156">
        <f>COUNTIFS('2026-2027'!$L:$L,D9,'2026-2027'!$J:$J,$H$3)</f>
        <v>0</v>
      </c>
      <c r="I9" s="156">
        <f>COUNTIFS('2026-2027'!$L:$L,D9,'2026-2027'!$J:$J,$I$3)</f>
        <v>1</v>
      </c>
      <c r="J9" s="156">
        <f>COUNTIFS('2026-2027'!$L:$L,D9,'2026-2027'!$J:$J,$J$3)</f>
        <v>0</v>
      </c>
      <c r="K9" s="156">
        <f>COUNTIFS('2026-2027'!$L:$L,D9,'2026-2027'!$J:$J,$K$3)</f>
        <v>0</v>
      </c>
      <c r="L9" s="156">
        <f>COUNTIFS('2026-2027'!$L:$L,D9,'2026-2027'!$J:$J,$L$3)</f>
        <v>0</v>
      </c>
      <c r="M9" s="156">
        <f>COUNTIFS('2026-2027'!$L:$L,D9,'2026-2027'!$J:$J,$M$3)</f>
        <v>0</v>
      </c>
      <c r="N9" s="153">
        <f>COUNTIF('2026-2027'!$J:$J,N8)</f>
        <v>0</v>
      </c>
      <c r="O9" s="156">
        <f>COUNTIFS('2026-2027'!$L:$L,D9,'2026-2027'!$J:$J,$O$3)</f>
        <v>0</v>
      </c>
      <c r="P9" s="156">
        <f>COUNTIFS('2026-2027'!$L:$L,D9,'2026-2027'!$J:$J,$P$3)</f>
        <v>0</v>
      </c>
      <c r="Q9" s="157">
        <f>COUNTIFS('2026-2027'!$L:$L,D9,'2026-2027'!$J:$J,$Q$3)</f>
        <v>0</v>
      </c>
    </row>
    <row r="10" spans="2:22">
      <c r="D10" s="159" t="s">
        <v>58</v>
      </c>
      <c r="E10" s="160">
        <f>COUNTIF('2026-2027'!L:L, D10)</f>
        <v>290</v>
      </c>
      <c r="F10" s="153">
        <f>COUNTIF('2026-2027'!$J:$J,F9)</f>
        <v>0</v>
      </c>
      <c r="G10" s="161">
        <f>COUNTIF('2026-2027'!$J:$J,G9)</f>
        <v>0</v>
      </c>
      <c r="H10" s="161">
        <f>COUNTIFS('2026-2027'!$L:$L,D10,'2026-2027'!$J:$J,$H$3)</f>
        <v>4</v>
      </c>
      <c r="I10" s="161">
        <f>COUNTIFS('2026-2027'!$L:$L,D10,'2026-2027'!$J:$J,$I$3)</f>
        <v>29</v>
      </c>
      <c r="J10" s="161">
        <f>COUNTIFS('2026-2027'!$L:$L,D10,'2026-2027'!$J:$J,$J$3)</f>
        <v>51</v>
      </c>
      <c r="K10" s="161">
        <f>COUNTIFS('2026-2027'!$L:$L,D10,'2026-2027'!$J:$J,$K$3)</f>
        <v>1</v>
      </c>
      <c r="L10" s="161">
        <f>COUNTIFS('2026-2027'!$L:$L,D10,'2026-2027'!$J:$J,$L$3)</f>
        <v>7</v>
      </c>
      <c r="M10" s="161">
        <f>COUNTIFS('2026-2027'!$L:$L,D10,'2026-2027'!$J:$J,$M$3)</f>
        <v>54</v>
      </c>
      <c r="N10" s="153">
        <f>COUNTIF('2026-2027'!$J:$J,N9)</f>
        <v>0</v>
      </c>
      <c r="O10" s="161">
        <f>COUNTIFS('2026-2027'!$L:$L,D10,'2026-2027'!$J:$J,$O$3)</f>
        <v>93</v>
      </c>
      <c r="P10" s="161">
        <f>COUNTIFS('2026-2027'!$L:$L,D10,'2026-2027'!$J:$J,$P$3)</f>
        <v>18</v>
      </c>
      <c r="Q10" s="162">
        <f>COUNTIFS('2026-2027'!$L:$L,D10,'2026-2027'!$J:$J,$Q$3)</f>
        <v>4</v>
      </c>
    </row>
    <row r="11" spans="2:22">
      <c r="D11" s="218"/>
      <c r="E11" s="219"/>
      <c r="F11" s="220"/>
      <c r="G11" s="220"/>
      <c r="H11" s="220"/>
      <c r="I11" s="220"/>
      <c r="J11" s="220"/>
      <c r="K11" s="220"/>
      <c r="L11" s="220"/>
      <c r="M11" s="220"/>
      <c r="N11" s="220"/>
      <c r="O11" s="220"/>
      <c r="P11" s="220"/>
      <c r="Q11" s="221"/>
    </row>
    <row r="12" spans="2:22">
      <c r="D12" s="773">
        <v>46174</v>
      </c>
      <c r="E12" s="774"/>
      <c r="F12" s="774"/>
      <c r="G12" s="774"/>
      <c r="H12" s="774"/>
      <c r="I12" s="774"/>
      <c r="J12" s="774"/>
      <c r="K12" s="774"/>
      <c r="L12" s="774"/>
      <c r="M12" s="774"/>
      <c r="N12" s="774"/>
      <c r="O12" s="774"/>
      <c r="P12" s="774"/>
      <c r="Q12" s="775"/>
    </row>
    <row r="13" spans="2:22">
      <c r="D13" s="770" t="s">
        <v>5206</v>
      </c>
      <c r="E13" s="760"/>
      <c r="F13" s="163" t="s">
        <v>1624</v>
      </c>
      <c r="G13" s="164" t="s">
        <v>25</v>
      </c>
      <c r="H13" s="164" t="s">
        <v>56</v>
      </c>
      <c r="I13" s="164" t="s">
        <v>1113</v>
      </c>
      <c r="J13" s="164" t="s">
        <v>63</v>
      </c>
      <c r="K13" s="164" t="s">
        <v>1438</v>
      </c>
      <c r="L13" s="164" t="s">
        <v>1698</v>
      </c>
      <c r="M13" s="164" t="s">
        <v>567</v>
      </c>
      <c r="N13" s="164" t="s">
        <v>47</v>
      </c>
      <c r="O13" s="164" t="s">
        <v>122</v>
      </c>
      <c r="P13" s="163" t="s">
        <v>171</v>
      </c>
      <c r="Q13" s="165" t="s">
        <v>66</v>
      </c>
      <c r="S13" s="166">
        <f>D12</f>
        <v>46174</v>
      </c>
    </row>
    <row r="14" spans="2:22">
      <c r="D14" s="151" t="s">
        <v>5207</v>
      </c>
      <c r="E14" s="167">
        <f>COUNTIFS('2026-2027'!$B:$B,"&gt;="&amp;EOMONTH($D$12,-1)+1,
'2026-2027'!$B:$B,"&lt;"&amp;EOMONTH($D$12,0)+1)</f>
        <v>287</v>
      </c>
      <c r="F14" s="156">
        <f>COUNTIFS(
'2026-2027'!$J:$J,F13,
'2026-2027'!$B:$B,"&gt;="&amp;EOMONTH($D$12,-1)+1,
'2026-2027'!$B:$B,"&lt;"&amp;EOMONTH($D$12,0)+1
)</f>
        <v>8</v>
      </c>
      <c r="G14" s="156">
        <f>COUNTIFS(
'2026-2027'!$J:$J,G13,
'2026-2027'!$B:$B,"&gt;="&amp;EOMONTH($D$12,-1)+1,
'2026-2027'!$B:$B,"&lt;"&amp;EOMONTH($D$12,0)+1
)</f>
        <v>3</v>
      </c>
      <c r="H14" s="156">
        <f>COUNTIFS(
'2026-2027'!$J:$J,H13,
'2026-2027'!$B:$B,"&gt;="&amp;EOMONTH($D$12,-1)+1,
'2026-2027'!$B:$B,"&lt;"&amp;EOMONTH($D$12,0)+1
)</f>
        <v>2</v>
      </c>
      <c r="I14" s="156">
        <f>COUNTIFS(
'2026-2027'!$J:$J,I13,
'2026-2027'!$B:$B,"&gt;="&amp;EOMONTH($D$12,-1)+1,
'2026-2027'!$B:$B,"&lt;"&amp;EOMONTH($D$12,0)+1
)</f>
        <v>38</v>
      </c>
      <c r="J14" s="156">
        <f>COUNTIFS(
'2026-2027'!$J:$J,J13,
'2026-2027'!$B:$B,"&gt;="&amp;EOMONTH($D$12,-1)+1,
'2026-2027'!$B:$B,"&lt;"&amp;EOMONTH($D$12,0)+1
)</f>
        <v>30</v>
      </c>
      <c r="K14" s="156">
        <f>COUNTIFS(
'2026-2027'!$J:$J,K13,
'2026-2027'!$B:$B,"&gt;="&amp;EOMONTH($D$12,-1)+1,
'2026-2027'!$B:$B,"&lt;"&amp;EOMONTH($D$12,0)+1
)</f>
        <v>2</v>
      </c>
      <c r="L14" s="156">
        <f>COUNTIFS(
'2026-2027'!$J:$J,L13,
'2026-2027'!$B:$B,"&gt;="&amp;EOMONTH($D$12,-1)+1,
'2026-2027'!$B:$B,"&lt;"&amp;EOMONTH($D$12,0)+1
)</f>
        <v>22</v>
      </c>
      <c r="M14" s="156">
        <f>COUNTIFS(
'2026-2027'!$J:$J,M13,
'2026-2027'!$B:$B,"&gt;="&amp;EOMONTH($D$12,-1)+1,
'2026-2027'!$B:$B,"&lt;"&amp;EOMONTH($D$12,0)+1
)</f>
        <v>54</v>
      </c>
      <c r="N14" s="156">
        <f>COUNTIFS(
'2026-2027'!$J:$J,N13,
'2026-2027'!$B:$B,"&gt;="&amp;EOMONTH($D$12,-1)+1,
'2026-2027'!$B:$B,"&lt;"&amp;EOMONTH($D$12,0)+1
)</f>
        <v>9</v>
      </c>
      <c r="O14" s="156">
        <f>COUNTIFS(
'2026-2027'!$J:$J,O13,
'2026-2027'!$B:$B,"&gt;="&amp;EOMONTH($D$12,-1)+1,
'2026-2027'!$B:$B,"&lt;"&amp;EOMONTH($D$12,0)+1
)</f>
        <v>55</v>
      </c>
      <c r="P14" s="156">
        <f>COUNTIFS(
'2026-2027'!$J:$J,P13,
'2026-2027'!$B:$B,"&gt;="&amp;EOMONTH($D$12,-1)+1,
'2026-2027'!$B:$B,"&lt;"&amp;EOMONTH($D$12,0)+1
)</f>
        <v>5</v>
      </c>
      <c r="Q14" s="157">
        <f>COUNTIFS(
'2026-2027'!$J:$J,Q13,
'2026-2027'!$B:$B,"&gt;="&amp;EOMONTH($D$12,-1)+1,
'2026-2027'!$B:$B,"&lt;"&amp;EOMONTH($D$12,0)+1
)</f>
        <v>55</v>
      </c>
      <c r="T14" s="745"/>
      <c r="U14" s="191" t="s">
        <v>5208</v>
      </c>
      <c r="V14" s="191" t="s">
        <v>5209</v>
      </c>
    </row>
    <row r="15" spans="2:22">
      <c r="D15" s="155" t="s">
        <v>117</v>
      </c>
      <c r="E15" s="168">
        <f>COUNTIFS(
'2026-2027'!L:L,D15,
'2026-2027'!B:B,"&gt;="&amp;EOMONTH($D$12,-1)+1,
'2026-2027'!B:B,"&lt;"&amp;EOMONTH($D$12,0)+1
)</f>
        <v>5</v>
      </c>
      <c r="F15" s="156">
        <f>COUNTIFS(
'2026-2027'!$L:$L,D15,
'2026-2027'!$J:$J,$F$3,
'2026-2027'!$B:$B,"&gt;="&amp;EOMONTH($D$12,-1)+1,
'2026-2027'!$B:$B,"&lt;"&amp;EOMONTH($D$12,0)+1
)</f>
        <v>0</v>
      </c>
      <c r="G15" s="156">
        <f>COUNTIFS(
'2026-2027'!$L:$L,D15,
'2026-2027'!$J:$J,$G$3,
'2026-2027'!$B:$B,"&gt;="&amp;EOMONTH($D$12,-1)+1,
'2026-2027'!$B:$B,"&lt;"&amp;EOMONTH($D$12,0)+1
)</f>
        <v>0</v>
      </c>
      <c r="H15" s="156">
        <f>COUNTIFS(
'2026-2027'!$L:$L,D15,
'2026-2027'!$J:$J,$H$3,
'2026-2027'!$B:$B,"&gt;="&amp;EOMONTH($D$12,-1)+1,
'2026-2027'!$B:$B,"&lt;"&amp;EOMONTH($D$12,0)+1
)</f>
        <v>0</v>
      </c>
      <c r="I15" s="156">
        <f>COUNTIFS('2026-2027'!$L:$L,D15,'2026-2027'!$J:$J,$I$3,'2026-2027'!$B:$B,"&gt;="&amp;EOMONTH($D$12,-1)+1,
'2026-2027'!$B:$B,"&lt;"&amp;EOMONTH($D$12,0)+1
)</f>
        <v>0</v>
      </c>
      <c r="J15" s="156">
        <f>COUNTIFS('2026-2027'!$L:$L,D15,'2026-2027'!$J:$J,$J$3, '2026-2027'!$B:$B,"&gt;="&amp;EOMONTH($D$12,-1)+1,
'2026-2027'!$B:$B,"&lt;"&amp;EOMONTH($D$12,0)+1
)</f>
        <v>0</v>
      </c>
      <c r="K15" s="156">
        <f>COUNTIFS('2026-2027'!$L:$L,D15,'2026-2027'!$J:$J,$K$3, '2026-2027'!$B:$B,"&gt;="&amp;EOMONTH($D$12,-1)+1,
'2026-2027'!$B:$B,"&lt;"&amp;EOMONTH($D$12,0)+1
)</f>
        <v>0</v>
      </c>
      <c r="L15" s="156">
        <f>COUNTIFS('2026-2027'!$L:$L,D15,'2026-2027'!$J:$J,$L$3, '2026-2027'!$B:$B,"&gt;="&amp;EOMONTH($D$12,-1)+1,
'2026-2027'!$B:$B,"&lt;"&amp;EOMONTH($D$12,0)+1
)</f>
        <v>0</v>
      </c>
      <c r="M15" s="156">
        <f>COUNTIFS('2026-2027'!$L:$L,D15,'2026-2027'!$J:$J,$M$3, '2026-2027'!$B:$B,"&gt;="&amp;EOMONTH($D$12,-1)+1,
'2026-2027'!$B:$B,"&lt;"&amp;EOMONTH($D$12,0)+1
)</f>
        <v>0</v>
      </c>
      <c r="N15" s="156">
        <f>COUNTIFS(
'2026-2027'!$J:$J,N14,
'2026-2027'!$B:$B,"&gt;="&amp;EOMONTH($D$12,-1)+1,
'2026-2027'!$B:$B,"&lt;"&amp;EOMONTH($D$12,0)+1
)</f>
        <v>0</v>
      </c>
      <c r="O15" s="156">
        <f>COUNTIFS('2026-2027'!$L:$L,D15,'2026-2027'!$J:$J,$O$3, '2026-2027'!$B:$B,"&gt;="&amp;EOMONTH($D$12,-1)+1,
'2026-2027'!$B:$B,"&lt;"&amp;EOMONTH($D$12,0)+1
)</f>
        <v>0</v>
      </c>
      <c r="P15" s="156">
        <f>COUNTIFS('2026-2027'!$L:$L,D15,'2026-2027'!$J:$J,$P$3, '2026-2027'!$B:$B,"&gt;="&amp;EOMONTH($D$12,-1)+1,
'2026-2027'!$B:$B,"&lt;"&amp;EOMONTH($D$12,0)+1
)</f>
        <v>0</v>
      </c>
      <c r="Q15" s="157">
        <f>COUNTIFS('2026-2027'!$L:$L,D15,'2026-2027'!$J:$J,$Q$3, '2026-2027'!$B:$B,"&gt;="&amp;EOMONTH($D$12,-1)+1,
'2026-2027'!$B:$B,"&lt;"&amp;EOMONTH($D$12,0)+1
)</f>
        <v>5</v>
      </c>
      <c r="S15">
        <f>E14-H14-J14-N14-O14-P14-M14</f>
        <v>132</v>
      </c>
      <c r="T15" s="745"/>
    </row>
    <row r="16" spans="2:22">
      <c r="D16" s="158" t="s">
        <v>74</v>
      </c>
      <c r="E16" s="168">
        <f>COUNTIFS(
'2026-2027'!L:L,D16,
'2026-2027'!B:B,"&gt;="&amp;EOMONTH($D$12,-1)+1,
'2026-2027'!B:B,"&lt;"&amp;EOMONTH($D$12,0)+1
)</f>
        <v>9</v>
      </c>
      <c r="F16" s="156">
        <f>COUNTIFS(
'2026-2027'!$L:$L,D16,
'2026-2027'!$J:$J,$F$3,
'2026-2027'!$B:$B,"&gt;="&amp;EOMONTH($D$12,-1)+1,
'2026-2027'!$B:$B,"&lt;"&amp;EOMONTH($D$12,0)+1
)</f>
        <v>0</v>
      </c>
      <c r="G16" s="156">
        <f>COUNTIFS(
'2026-2027'!$L:$L,D16,
'2026-2027'!$J:$J,$G$3,
'2026-2027'!$B:$B,"&gt;="&amp;EOMONTH($D$12,-1)+1,
'2026-2027'!$B:$B,"&lt;"&amp;EOMONTH($D$12,0)+1
)</f>
        <v>0</v>
      </c>
      <c r="H16" s="156">
        <f>COUNTIFS(
'2026-2027'!$L:$L,D16,
'2026-2027'!$J:$J,$H$3,
'2026-2027'!$B:$B,"&gt;="&amp;EOMONTH($D$12,-1)+1,
'2026-2027'!$B:$B,"&lt;"&amp;EOMONTH($D$12,0)+1
)</f>
        <v>0</v>
      </c>
      <c r="I16" s="156">
        <f>COUNTIFS('2026-2027'!$L:$L,D16,'2026-2027'!$J:$J,$I$3,'2026-2027'!$B:$B,"&gt;="&amp;EOMONTH($D$12,-1)+1,
'2026-2027'!$B:$B,"&lt;"&amp;EOMONTH($D$12,0)+1
)</f>
        <v>0</v>
      </c>
      <c r="J16" s="156">
        <f>COUNTIFS('2026-2027'!$L:$L,D16,'2026-2027'!$J:$J,$J$3, '2026-2027'!$B:$B,"&gt;="&amp;EOMONTH($D$12,-1)+1,
'2026-2027'!$B:$B,"&lt;"&amp;EOMONTH($D$12,0)+1
)</f>
        <v>0</v>
      </c>
      <c r="K16" s="156">
        <f>COUNTIFS('2026-2027'!$L:$L,D16,'2026-2027'!$J:$J,$K$3, '2026-2027'!$B:$B,"&gt;="&amp;EOMONTH($D$12,-1)+1,
'2026-2027'!$B:$B,"&lt;"&amp;EOMONTH($D$12,0)+1
)</f>
        <v>0</v>
      </c>
      <c r="L16" s="156">
        <f>COUNTIFS('2026-2027'!$L:$L,D16,'2026-2027'!$J:$J,$L$3, '2026-2027'!$B:$B,"&gt;="&amp;EOMONTH($D$12,-1)+1,
'2026-2027'!$B:$B,"&lt;"&amp;EOMONTH($D$12,0)+1
)</f>
        <v>0</v>
      </c>
      <c r="M16" s="156">
        <f>COUNTIFS('2026-2027'!$L:$L,D16,'2026-2027'!$J:$J,$M$3, '2026-2027'!$B:$B,"&gt;="&amp;EOMONTH($D$12,-1)+1,
'2026-2027'!$B:$B,"&lt;"&amp;EOMONTH($D$12,0)+1
)</f>
        <v>0</v>
      </c>
      <c r="N16" s="156">
        <f>COUNTIFS(
'2026-2027'!$J:$J,N15,
'2026-2027'!$B:$B,"&gt;="&amp;EOMONTH($D$12,-1)+1,
'2026-2027'!$B:$B,"&lt;"&amp;EOMONTH($D$12,0)+1
)</f>
        <v>0</v>
      </c>
      <c r="O16" s="156">
        <f>COUNTIFS('2026-2027'!$L:$L,D16,'2026-2027'!$J:$J,$O$3, '2026-2027'!$B:$B,"&gt;="&amp;EOMONTH($D$12,-1)+1,
'2026-2027'!$B:$B,"&lt;"&amp;EOMONTH($D$12,0)+1
)</f>
        <v>0</v>
      </c>
      <c r="P16" s="156">
        <f>COUNTIFS('2026-2027'!$L:$L,D16,'2026-2027'!$J:$J,$P$3, '2026-2027'!$B:$B,"&gt;="&amp;EOMONTH($D$12,-1)+1,
'2026-2027'!$B:$B,"&lt;"&amp;EOMONTH($D$12,0)+1
)</f>
        <v>0</v>
      </c>
      <c r="Q16" s="157">
        <f>COUNTIFS('2026-2027'!$L:$L,D16,'2026-2027'!$J:$J,$Q$3, '2026-2027'!$B:$B,"&gt;="&amp;EOMONTH($D$12,-1)+1,
'2026-2027'!$B:$B,"&lt;"&amp;EOMONTH($D$12,0)+1
)</f>
        <v>8</v>
      </c>
      <c r="S16">
        <f>Q14+L14+K14+I14+G14+F14</f>
        <v>128</v>
      </c>
      <c r="T16" s="745"/>
    </row>
    <row r="17" spans="4:19">
      <c r="D17" s="155" t="s">
        <v>27</v>
      </c>
      <c r="E17" s="168">
        <f>COUNTIFS(
'2026-2027'!L:L,D17,
'2026-2027'!B:B,"&gt;="&amp;EOMONTH($D$12,-1)+1,
'2026-2027'!B:B,"&lt;"&amp;EOMONTH($D$12,0)+1
)</f>
        <v>31</v>
      </c>
      <c r="F17" s="156">
        <f>COUNTIFS(
'2026-2027'!$L:$L,D17,
'2026-2027'!$J:$J,$F$3,
'2026-2027'!$B:$B,"&gt;="&amp;EOMONTH($D$12,-1)+1,
'2026-2027'!$B:$B,"&lt;"&amp;EOMONTH($D$12,0)+1
)</f>
        <v>0</v>
      </c>
      <c r="G17" s="156">
        <f>COUNTIFS(
'2026-2027'!$L:$L,D17,
'2026-2027'!$J:$J,$G$3,
'2026-2027'!$B:$B,"&gt;="&amp;EOMONTH($D$12,-1)+1,
'2026-2027'!$B:$B,"&lt;"&amp;EOMONTH($D$12,0)+1
)</f>
        <v>3</v>
      </c>
      <c r="H17" s="156">
        <f>COUNTIFS(
'2026-2027'!$L:$L,D17,
'2026-2027'!$J:$J,$H$3,
'2026-2027'!$B:$B,"&gt;="&amp;EOMONTH($D$12,-1)+1,
'2026-2027'!$B:$B,"&lt;"&amp;EOMONTH($D$12,0)+1
)</f>
        <v>0</v>
      </c>
      <c r="I17" s="156">
        <f>COUNTIFS('2026-2027'!$L:$L,D17,'2026-2027'!$J:$J,$I$3,'2026-2027'!$B:$B,"&gt;="&amp;EOMONTH($D$12,-1)+1,
'2026-2027'!$B:$B,"&lt;"&amp;EOMONTH($D$12,0)+1
)</f>
        <v>0</v>
      </c>
      <c r="J17" s="156">
        <f>COUNTIFS('2026-2027'!$L:$L,D17,'2026-2027'!$J:$J,$J$3, '2026-2027'!$B:$B,"&gt;="&amp;EOMONTH($D$12,-1)+1,
'2026-2027'!$B:$B,"&lt;"&amp;EOMONTH($D$12,0)+1
)</f>
        <v>1</v>
      </c>
      <c r="K17" s="156">
        <f>COUNTIFS('2026-2027'!$L:$L,D17,'2026-2027'!$J:$J,$K$3, '2026-2027'!$B:$B,"&gt;="&amp;EOMONTH($D$12,-1)+1,
'2026-2027'!$B:$B,"&lt;"&amp;EOMONTH($D$12,0)+1
)</f>
        <v>0</v>
      </c>
      <c r="L17" s="156">
        <f>COUNTIFS('2026-2027'!$L:$L,D17,'2026-2027'!$J:$J,$L$3, '2026-2027'!$B:$B,"&gt;="&amp;EOMONTH($D$12,-1)+1,
'2026-2027'!$B:$B,"&lt;"&amp;EOMONTH($D$12,0)+1
)</f>
        <v>2</v>
      </c>
      <c r="M17" s="156">
        <f>COUNTIFS('2026-2027'!$L:$L,D17,'2026-2027'!$J:$J,$M$3, '2026-2027'!$B:$B,"&gt;="&amp;EOMONTH($D$12,-1)+1,
'2026-2027'!$B:$B,"&lt;"&amp;EOMONTH($D$12,0)+1
)</f>
        <v>0</v>
      </c>
      <c r="N17" s="156">
        <f>COUNTIFS(
'2026-2027'!$J:$J,N16,
'2026-2027'!$B:$B,"&gt;="&amp;EOMONTH($D$12,-1)+1,
'2026-2027'!$B:$B,"&lt;"&amp;EOMONTH($D$12,0)+1
)</f>
        <v>0</v>
      </c>
      <c r="O17" s="156">
        <f>COUNTIFS('2026-2027'!$L:$L,D17,'2026-2027'!$J:$J,$O$3, '2026-2027'!$B:$B,"&gt;="&amp;EOMONTH($D$12,-1)+1,
'2026-2027'!$B:$B,"&lt;"&amp;EOMONTH($D$12,0)+1
)</f>
        <v>0</v>
      </c>
      <c r="P17" s="156">
        <f>COUNTIFS('2026-2027'!$L:$L,D17,'2026-2027'!$J:$J,$P$3, '2026-2027'!$B:$B,"&gt;="&amp;EOMONTH($D$12,-1)+1,
'2026-2027'!$B:$B,"&lt;"&amp;EOMONTH($D$12,0)+1
)</f>
        <v>0</v>
      </c>
      <c r="Q17" s="157">
        <f>COUNTIFS('2026-2027'!$L:$L,D17,'2026-2027'!$J:$J,$Q$3, '2026-2027'!$B:$B,"&gt;="&amp;EOMONTH($D$12,-1)+1,
'2026-2027'!$B:$B,"&lt;"&amp;EOMONTH($D$12,0)+1
)</f>
        <v>22</v>
      </c>
    </row>
    <row r="18" spans="4:19">
      <c r="D18" s="158" t="s">
        <v>49</v>
      </c>
      <c r="E18" s="168">
        <f>COUNTIFS(
'2026-2027'!L:L,D18,
'2026-2027'!B:B,"&gt;="&amp;EOMONTH($D$12,-1)+1,
'2026-2027'!B:B,"&lt;"&amp;EOMONTH($D$12,0)+1
)</f>
        <v>139</v>
      </c>
      <c r="F18" s="156">
        <f>COUNTIFS(
'2026-2027'!$L:$L,D18,
'2026-2027'!$J:$J,$F$3,
'2026-2027'!$B:$B,"&gt;="&amp;EOMONTH($D$12,-1)+1,
'2026-2027'!$B:$B,"&lt;"&amp;EOMONTH($D$12,0)+1
)</f>
        <v>6</v>
      </c>
      <c r="G18" s="156">
        <f>COUNTIFS(
'2026-2027'!$L:$L,D18,
'2026-2027'!$J:$J,$G$3,
'2026-2027'!$B:$B,"&gt;="&amp;EOMONTH($D$12,-1)+1,
'2026-2027'!$B:$B,"&lt;"&amp;EOMONTH($D$12,0)+1
)</f>
        <v>0</v>
      </c>
      <c r="H18" s="156">
        <f>COUNTIFS(
'2026-2027'!$L:$L,D18,
'2026-2027'!$J:$J,$H$3,
'2026-2027'!$B:$B,"&gt;="&amp;EOMONTH($D$12,-1)+1,
'2026-2027'!$B:$B,"&lt;"&amp;EOMONTH($D$12,0)+1
)</f>
        <v>1</v>
      </c>
      <c r="I18" s="156">
        <f>COUNTIFS('2026-2027'!$L:$L,D18,'2026-2027'!$J:$J,$I$3,'2026-2027'!$B:$B,"&gt;="&amp;EOMONTH($D$12,-1)+1,
'2026-2027'!$B:$B,"&lt;"&amp;EOMONTH($D$12,0)+1
)</f>
        <v>18</v>
      </c>
      <c r="J18" s="156">
        <f>COUNTIFS('2026-2027'!$L:$L,D18,'2026-2027'!$J:$J,$J$3, '2026-2027'!$B:$B,"&gt;="&amp;EOMONTH($D$12,-1)+1,
'2026-2027'!$B:$B,"&lt;"&amp;EOMONTH($D$12,0)+1
)</f>
        <v>14</v>
      </c>
      <c r="K18" s="156">
        <f>COUNTIFS('2026-2027'!$L:$L,D18,'2026-2027'!$J:$J,$K$3, '2026-2027'!$B:$B,"&gt;="&amp;EOMONTH($D$12,-1)+1,
'2026-2027'!$B:$B,"&lt;"&amp;EOMONTH($D$12,0)+1
)</f>
        <v>2</v>
      </c>
      <c r="L18" s="156">
        <f>COUNTIFS('2026-2027'!$L:$L,D18,'2026-2027'!$J:$J,$L$3, '2026-2027'!$B:$B,"&gt;="&amp;EOMONTH($D$12,-1)+1,
'2026-2027'!$B:$B,"&lt;"&amp;EOMONTH($D$12,0)+1
)</f>
        <v>13</v>
      </c>
      <c r="M18" s="156">
        <f>COUNTIFS('2026-2027'!$L:$L,D18,'2026-2027'!$J:$J,$M$3, '2026-2027'!$B:$B,"&gt;="&amp;EOMONTH($D$12,-1)+1,
'2026-2027'!$B:$B,"&lt;"&amp;EOMONTH($D$12,0)+1
)</f>
        <v>33</v>
      </c>
      <c r="N18" s="156">
        <f>COUNTIFS(
'2026-2027'!$J:$J,N17,
'2026-2027'!$B:$B,"&gt;="&amp;EOMONTH($D$12,-1)+1,
'2026-2027'!$B:$B,"&lt;"&amp;EOMONTH($D$12,0)+1
)</f>
        <v>0</v>
      </c>
      <c r="O18" s="156">
        <f>COUNTIFS('2026-2027'!$L:$L,D18,'2026-2027'!$J:$J,$O$3, '2026-2027'!$B:$B,"&gt;="&amp;EOMONTH($D$12,-1)+1,
'2026-2027'!$B:$B,"&lt;"&amp;EOMONTH($D$12,0)+1
)</f>
        <v>29</v>
      </c>
      <c r="P18" s="156">
        <f>COUNTIFS('2026-2027'!$L:$L,D18,'2026-2027'!$J:$J,$P$3, '2026-2027'!$B:$B,"&gt;="&amp;EOMONTH($D$12,-1)+1,
'2026-2027'!$B:$B,"&lt;"&amp;EOMONTH($D$12,0)+1
)</f>
        <v>4</v>
      </c>
      <c r="Q18" s="157">
        <f>COUNTIFS('2026-2027'!$L:$L,D18,'2026-2027'!$J:$J,$Q$3, '2026-2027'!$B:$B,"&gt;="&amp;EOMONTH($D$12,-1)+1,
'2026-2027'!$B:$B,"&lt;"&amp;EOMONTH($D$12,0)+1
)</f>
        <v>16</v>
      </c>
    </row>
    <row r="19" spans="4:19">
      <c r="D19" s="155" t="s">
        <v>1857</v>
      </c>
      <c r="E19" s="168">
        <f>COUNTIFS(
'2026-2027'!L:L,D19,
'2026-2027'!B:B,"&gt;="&amp;EOMONTH($D$12,-1)+1,
'2026-2027'!B:B,"&lt;"&amp;EOMONTH($D$12,0)+1
)</f>
        <v>1</v>
      </c>
      <c r="F19" s="156">
        <f>COUNTIFS(
'2026-2027'!$L:$L,D19,
'2026-2027'!$J:$J,$F$3,
'2026-2027'!$B:$B,"&gt;="&amp;EOMONTH($D$12,-1)+1,
'2026-2027'!$B:$B,"&lt;"&amp;EOMONTH($D$12,0)+1
)</f>
        <v>0</v>
      </c>
      <c r="G19" s="156">
        <f>COUNTIFS(
'2026-2027'!$L:$L,D19,
'2026-2027'!$J:$J,$G$3,
'2026-2027'!$B:$B,"&gt;="&amp;EOMONTH($D$12,-1)+1,
'2026-2027'!$B:$B,"&lt;"&amp;EOMONTH($D$12,0)+1
)</f>
        <v>0</v>
      </c>
      <c r="H19" s="156">
        <f>COUNTIFS(
'2026-2027'!$L:$L,D19,
'2026-2027'!$J:$J,$H$3,
'2026-2027'!$B:$B,"&gt;="&amp;EOMONTH($D$12,-1)+1,
'2026-2027'!$B:$B,"&lt;"&amp;EOMONTH($D$12,0)+1
)</f>
        <v>0</v>
      </c>
      <c r="I19" s="156">
        <f>COUNTIFS('2026-2027'!$L:$L,D19,'2026-2027'!$J:$J,$I$3,'2026-2027'!$B:$B,"&gt;="&amp;EOMONTH($D$12,-1)+1,
'2026-2027'!$B:$B,"&lt;"&amp;EOMONTH($D$12,0)+1
)</f>
        <v>1</v>
      </c>
      <c r="J19" s="156">
        <f>COUNTIFS('2026-2027'!$L:$L,D19,'2026-2027'!$J:$J,$J$3, '2026-2027'!$B:$B,"&gt;="&amp;EOMONTH($D$12,-1)+1,
'2026-2027'!$B:$B,"&lt;"&amp;EOMONTH($D$12,0)+1
)</f>
        <v>0</v>
      </c>
      <c r="K19" s="156">
        <f>COUNTIFS('2026-2027'!$L:$L,D19,'2026-2027'!$J:$J,$K$3, '2026-2027'!$B:$B,"&gt;="&amp;EOMONTH($D$12,-1)+1,
'2026-2027'!$B:$B,"&lt;"&amp;EOMONTH($D$12,0)+1
)</f>
        <v>0</v>
      </c>
      <c r="L19" s="156">
        <f>COUNTIFS('2026-2027'!$L:$L,D19,'2026-2027'!$J:$J,$L$3, '2026-2027'!$B:$B,"&gt;="&amp;EOMONTH($D$12,-1)+1,
'2026-2027'!$B:$B,"&lt;"&amp;EOMONTH($D$12,0)+1
)</f>
        <v>0</v>
      </c>
      <c r="M19" s="156">
        <f>COUNTIFS('2026-2027'!$L:$L,D19,'2026-2027'!$J:$J,$M$3, '2026-2027'!$B:$B,"&gt;="&amp;EOMONTH($D$12,-1)+1,
'2026-2027'!$B:$B,"&lt;"&amp;EOMONTH($D$12,0)+1
)</f>
        <v>0</v>
      </c>
      <c r="N19" s="156">
        <f>COUNTIFS(
'2026-2027'!$J:$J,N18,
'2026-2027'!$B:$B,"&gt;="&amp;EOMONTH($D$12,-1)+1,
'2026-2027'!$B:$B,"&lt;"&amp;EOMONTH($D$12,0)+1
)</f>
        <v>0</v>
      </c>
      <c r="O19" s="156">
        <f>COUNTIFS('2026-2027'!$L:$L,D19,'2026-2027'!$J:$J,$O$3, '2026-2027'!$B:$B,"&gt;="&amp;EOMONTH($D$12,-1)+1,
'2026-2027'!$B:$B,"&lt;"&amp;EOMONTH($D$12,0)+1
)</f>
        <v>0</v>
      </c>
      <c r="P19" s="156">
        <f>COUNTIFS('2026-2027'!$L:$L,D19,'2026-2027'!$J:$J,$P$3, '2026-2027'!$B:$B,"&gt;="&amp;EOMONTH($D$12,-1)+1,
'2026-2027'!$B:$B,"&lt;"&amp;EOMONTH($D$12,0)+1
)</f>
        <v>0</v>
      </c>
      <c r="Q19" s="157">
        <f>COUNTIFS('2026-2027'!$L:$L,D19,'2026-2027'!$J:$J,$Q$3, '2026-2027'!$B:$B,"&gt;="&amp;EOMONTH($D$12,-1)+1,
'2026-2027'!$B:$B,"&lt;"&amp;EOMONTH($D$12,0)+1
)</f>
        <v>0</v>
      </c>
    </row>
    <row r="20" spans="4:19">
      <c r="D20" s="169" t="s">
        <v>58</v>
      </c>
      <c r="E20" s="170">
        <f>COUNTIFS(
'2026-2027'!L:L,D20,
'2026-2027'!B:B,"&gt;="&amp;EOMONTH($D$12,-1)+1,
'2026-2027'!B:B,"&lt;"&amp;EOMONTH($D$12,0)+1
)</f>
        <v>102</v>
      </c>
      <c r="F20" s="171">
        <f>COUNTIFS(
'2026-2027'!$L:$L,D20,
'2026-2027'!$J:$J,$F$3,
'2026-2027'!$B:$B,"&gt;="&amp;EOMONTH($D$12,-1)+1,
'2026-2027'!$B:$B,"&lt;"&amp;EOMONTH($D$12,0)+1
)</f>
        <v>2</v>
      </c>
      <c r="G20" s="171">
        <f>COUNTIFS(
'2026-2027'!$L:$L,D20,
'2026-2027'!$J:$J,$G$3,
'2026-2027'!$B:$B,"&gt;="&amp;EOMONTH($D$12,-1)+1,
'2026-2027'!$B:$B,"&lt;"&amp;EOMONTH($D$12,0)+1
)</f>
        <v>0</v>
      </c>
      <c r="H20" s="171">
        <f>COUNTIFS(
'2026-2027'!$L:$L,D20,
'2026-2027'!$J:$J,$H$3,
'2026-2027'!$B:$B,"&gt;="&amp;EOMONTH($D$12,-1)+1,
'2026-2027'!$B:$B,"&lt;"&amp;EOMONTH($D$12,0)+1
)</f>
        <v>1</v>
      </c>
      <c r="I20" s="171">
        <f>COUNTIFS('2026-2027'!$L:$L,D20,'2026-2027'!$J:$J,$I$3,'2026-2027'!$B:$B,"&gt;="&amp;EOMONTH($D$12,-1)+1,
'2026-2027'!$B:$B,"&lt;"&amp;EOMONTH($D$12,0)+1
)</f>
        <v>19</v>
      </c>
      <c r="J20" s="171">
        <f>COUNTIFS('2026-2027'!$L:$L,D20,'2026-2027'!$J:$J,$J$3, '2026-2027'!$B:$B,"&gt;="&amp;EOMONTH($D$12,-1)+1,
'2026-2027'!$B:$B,"&lt;"&amp;EOMONTH($D$12,0)+1
)</f>
        <v>15</v>
      </c>
      <c r="K20" s="171">
        <f>COUNTIFS('2026-2027'!$L:$L,D20,'2026-2027'!$J:$J,$K$3, '2026-2027'!$B:$B,"&gt;="&amp;EOMONTH($D$12,-1)+1,
'2026-2027'!$B:$B,"&lt;"&amp;EOMONTH($D$12,0)+1
)</f>
        <v>0</v>
      </c>
      <c r="L20" s="171">
        <f>COUNTIFS('2026-2027'!$L:$L,D20,'2026-2027'!$J:$J,$L$3, '2026-2027'!$B:$B,"&gt;="&amp;EOMONTH($D$12,-1)+1,
'2026-2027'!$B:$B,"&lt;"&amp;EOMONTH($D$12,0)+1
)</f>
        <v>7</v>
      </c>
      <c r="M20" s="171">
        <f>COUNTIFS('2026-2027'!$L:$L,D20,'2026-2027'!$J:$J,$M$3, '2026-2027'!$B:$B,"&gt;="&amp;EOMONTH($D$12,-1)+1,
'2026-2027'!$B:$B,"&lt;"&amp;EOMONTH($D$12,0)+1
)</f>
        <v>21</v>
      </c>
      <c r="N20" s="156">
        <f>COUNTIFS(
'2026-2027'!$J:$J,N19,
'2026-2027'!$B:$B,"&gt;="&amp;EOMONTH($D$12,-1)+1,
'2026-2027'!$B:$B,"&lt;"&amp;EOMONTH($D$12,0)+1
)</f>
        <v>0</v>
      </c>
      <c r="O20" s="171">
        <f>COUNTIFS('2026-2027'!$L:$L,D20,'2026-2027'!$J:$J,$O$3, '2026-2027'!$B:$B,"&gt;="&amp;EOMONTH($D$12,-1)+1,
'2026-2027'!$B:$B,"&lt;"&amp;EOMONTH($D$12,0)+1
)</f>
        <v>26</v>
      </c>
      <c r="P20" s="171">
        <f>COUNTIFS('2026-2027'!$L:$L,D20,'2026-2027'!$J:$J,$P$3, '2026-2027'!$B:$B,"&gt;="&amp;EOMONTH($D$12,-1)+1,
'2026-2027'!$B:$B,"&lt;"&amp;EOMONTH($D$12,0)+1
)</f>
        <v>1</v>
      </c>
      <c r="Q20" s="172">
        <f>COUNTIFS('2026-2027'!$L:$L,D20,'2026-2027'!$J:$J,$Q$3, '2026-2027'!$B:$B,"&gt;="&amp;EOMONTH($D$12,-1)+1,
'2026-2027'!$B:$B,"&lt;"&amp;EOMONTH($D$12,0)+1
)</f>
        <v>4</v>
      </c>
    </row>
    <row r="21" spans="4:19" ht="15.75" customHeight="1">
      <c r="D21" s="215"/>
      <c r="E21" s="173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5"/>
    </row>
    <row r="22" spans="4:19" ht="15.75" customHeight="1">
      <c r="D22" s="776" t="s">
        <v>5165</v>
      </c>
      <c r="E22" s="763"/>
      <c r="F22" s="763"/>
      <c r="G22" s="763"/>
      <c r="H22" s="763"/>
      <c r="I22" s="763"/>
      <c r="J22" s="763"/>
      <c r="K22" s="763"/>
      <c r="L22" s="763"/>
      <c r="M22" s="763"/>
      <c r="N22" s="763"/>
      <c r="O22" s="763"/>
      <c r="P22" s="763"/>
      <c r="Q22" s="764"/>
    </row>
    <row r="23" spans="4:19" ht="15.75" customHeight="1">
      <c r="D23" s="777" t="s">
        <v>5206</v>
      </c>
      <c r="E23" s="755"/>
      <c r="F23" s="176" t="s">
        <v>1624</v>
      </c>
      <c r="G23" s="177" t="s">
        <v>25</v>
      </c>
      <c r="H23" s="177" t="s">
        <v>56</v>
      </c>
      <c r="I23" s="177" t="s">
        <v>1113</v>
      </c>
      <c r="J23" s="177" t="s">
        <v>63</v>
      </c>
      <c r="K23" s="177" t="s">
        <v>1438</v>
      </c>
      <c r="L23" s="177" t="s">
        <v>1698</v>
      </c>
      <c r="M23" s="177" t="s">
        <v>567</v>
      </c>
      <c r="N23" s="164" t="s">
        <v>47</v>
      </c>
      <c r="O23" s="177" t="s">
        <v>122</v>
      </c>
      <c r="P23" s="176" t="s">
        <v>171</v>
      </c>
      <c r="Q23" s="178" t="s">
        <v>66</v>
      </c>
      <c r="S23" s="166" t="str">
        <f>D22</f>
        <v>LEAD OWNER</v>
      </c>
    </row>
    <row r="24" spans="4:19" ht="15.75" customHeight="1">
      <c r="D24" s="179" t="s">
        <v>77</v>
      </c>
      <c r="E24" s="222">
        <f>COUNTIFS(
'2026-2027'!M:M,D24,
'2026-2027'!B:B,"&gt;="&amp;EOMONTH($D$12,-1)+1,
'2026-2027'!B:B,"&lt;"&amp;EOMONTH($D$12,0)+1
)</f>
        <v>8</v>
      </c>
      <c r="F24" s="180">
        <f>COUNTIFS(
'2026-2027'!$M:$M,D24,
'2026-2027'!$J:$J,$F$3,
'2026-2027'!$B:$B,"&gt;="&amp;EOMONTH($D$12,-1)+1,
'2026-2027'!$B:$B,"&lt;"&amp;EOMONTH($D$12,0)+1
)</f>
        <v>0</v>
      </c>
      <c r="G24" s="180">
        <f>COUNTIFS(
'2026-2027'!$M:$M,D24,
'2026-2027'!$J:$J,$G$3,
'2026-2027'!$B:$B,"&gt;="&amp;EOMONTH($D$12,-1)+1,
'2026-2027'!$B:$B,"&lt;"&amp;EOMONTH($D$12,0)+1
)</f>
        <v>0</v>
      </c>
      <c r="H24" s="180">
        <f>COUNTIFS(
'2026-2027'!$M:$M,D24,
'2026-2027'!$J:$J,$H$3,
'2026-2027'!$B:$B,"&gt;="&amp;EOMONTH($D$12,-1)+1,
'2026-2027'!$B:$B,"&lt;"&amp;EOMONTH($D$12,0)+1
)</f>
        <v>0</v>
      </c>
      <c r="I24" s="180">
        <f>COUNTIFS('2026-2027'!$M:$M,D24,'2026-2027'!$J:$J,$I$3,'2026-2027'!$B:$B,"&gt;="&amp;EOMONTH($D$12,-1)+1,
'2026-2027'!$B:$B,"&lt;"&amp;EOMONTH($D$12,0)+1
)</f>
        <v>1</v>
      </c>
      <c r="J24" s="180">
        <f>COUNTIFS('2026-2027'!$M:$M,D24,'2026-2027'!$J:$J,$J$3, '2026-2027'!$B:$B,"&gt;="&amp;EOMONTH($D$12,-1)+1,
'2026-2027'!$B:$B,"&lt;"&amp;EOMONTH($D$12,0)+1
)</f>
        <v>0</v>
      </c>
      <c r="K24" s="180">
        <f>COUNTIFS('2026-2027'!$M:$M,D24,'2026-2027'!$J:$J,$K$3, '2026-2027'!$B:$B,"&gt;="&amp;EOMONTH($D$12,-1)+1,
'2026-2027'!$B:$B,"&lt;"&amp;EOMONTH($D$12,0)+1
)</f>
        <v>0</v>
      </c>
      <c r="L24" s="180">
        <f>COUNTIFS('2026-2027'!$M:$M,D24,'2026-2027'!$J:$J,$L$3, '2026-2027'!$B:$B,"&gt;="&amp;EOMONTH($D$12,-1)+1,
'2026-2027'!$B:$B,"&lt;"&amp;EOMONTH($D$12,0)+1
)</f>
        <v>0</v>
      </c>
      <c r="M24" s="180">
        <f>COUNTIFS('2026-2027'!$M:$M,D24,'2026-2027'!$J:$J,$M$3, '2026-2027'!$B:$B,"&gt;="&amp;EOMONTH($D$12,-1)+1,
'2026-2027'!$B:$B,"&lt;"&amp;EOMONTH($D$12,0)+1
)</f>
        <v>0</v>
      </c>
      <c r="N24" s="180">
        <f>COUNTIFS('2026-2027'!$M:$M,E24,'2026-2027'!$J:$J,$M$3, '2026-2027'!$B:$B,"&gt;="&amp;EOMONTH($D$12,-1)+1,
'2026-2027'!$B:$B,"&lt;"&amp;EOMONTH($D$12,0)+1
)</f>
        <v>0</v>
      </c>
      <c r="O24" s="180">
        <f>COUNTIFS('2026-2027'!$M:$M,D24,'2026-2027'!$J:$J,$O$3, '2026-2027'!$B:$B,"&gt;="&amp;EOMONTH($D$12,-1)+1,
'2026-2027'!$B:$B,"&lt;"&amp;EOMONTH($D$12,0)+1
)</f>
        <v>0</v>
      </c>
      <c r="P24" s="180">
        <f>COUNTIFS('2026-2027'!$M:$M,D24,'2026-2027'!$J:$J,$P$3, '2026-2027'!$B:$B,"&gt;="&amp;EOMONTH($D$12,-1)+1,
'2026-2027'!$B:$B,"&lt;"&amp;EOMONTH($D$12,0)+1
)</f>
        <v>0</v>
      </c>
      <c r="Q24" s="181">
        <f>COUNTIFS('2026-2027'!$M:$M,D24,'2026-2027'!$J:$J,$Q$3, '2026-2027'!$B:$B,"&gt;="&amp;EOMONTH($D$12,-1)+1,
'2026-2027'!$B:$B,"&lt;"&amp;EOMONTH($D$12,0)+1
)</f>
        <v>7</v>
      </c>
    </row>
    <row r="25" spans="4:19" ht="15.75" customHeight="1">
      <c r="D25" s="158" t="s">
        <v>28</v>
      </c>
      <c r="E25" s="168">
        <f>COUNTIFS(
'2026-2027'!M:M,D25,
'2026-2027'!B:B,"&gt;="&amp;EOMONTH($D$12,-1)+1,
'2026-2027'!B:B,"&lt;"&amp;EOMONTH($D$12,0)+1
)</f>
        <v>34</v>
      </c>
      <c r="F25" s="156">
        <f>COUNTIFS(
'2026-2027'!$M:$M,D25,
'2026-2027'!$J:$J,$F$3,
'2026-2027'!$B:$B,"&gt;="&amp;EOMONTH($D$12,-1)+1,
'2026-2027'!$B:$B,"&lt;"&amp;EOMONTH($D$12,0)+1
)</f>
        <v>4</v>
      </c>
      <c r="G25" s="156">
        <f>COUNTIFS(
'2026-2027'!$M:$M,D25,
'2026-2027'!$J:$J,$G$3,
'2026-2027'!$B:$B,"&gt;="&amp;EOMONTH($D$12,-1)+1,
'2026-2027'!$B:$B,"&lt;"&amp;EOMONTH($D$12,0)+1
)</f>
        <v>1</v>
      </c>
      <c r="H25" s="156">
        <f>COUNTIFS(
'2026-2027'!$M:$M,D25,
'2026-2027'!$J:$J,$H$3,
'2026-2027'!$B:$B,"&gt;="&amp;EOMONTH($D$12,-1)+1,
'2026-2027'!$B:$B,"&lt;"&amp;EOMONTH($D$12,0)+1
)</f>
        <v>0</v>
      </c>
      <c r="I25" s="156">
        <f>COUNTIFS('2026-2027'!$M:$M,D25,'2026-2027'!$J:$J,$I$3,'2026-2027'!$B:$B,"&gt;="&amp;EOMONTH($D$12,-1)+1,
'2026-2027'!$B:$B,"&lt;"&amp;EOMONTH($D$12,0)+1
)</f>
        <v>0</v>
      </c>
      <c r="J25" s="156">
        <f>COUNTIFS('2026-2027'!$M:$M,D25,'2026-2027'!$J:$J,$J$3, '2026-2027'!$B:$B,"&gt;="&amp;EOMONTH($D$12,-1)+1,
'2026-2027'!$B:$B,"&lt;"&amp;EOMONTH($D$12,0)+1
)</f>
        <v>0</v>
      </c>
      <c r="K25" s="156">
        <f>COUNTIFS('2026-2027'!$M:$M,D25,'2026-2027'!$J:$J,$K$3, '2026-2027'!$B:$B,"&gt;="&amp;EOMONTH($D$12,-1)+1,
'2026-2027'!$B:$B,"&lt;"&amp;EOMONTH($D$12,0)+1
)</f>
        <v>0</v>
      </c>
      <c r="L25" s="156">
        <f>COUNTIFS('2026-2027'!$M:$M,D25,'2026-2027'!$J:$J,$L$3, '2026-2027'!$B:$B,"&gt;="&amp;EOMONTH($D$12,-1)+1,
'2026-2027'!$B:$B,"&lt;"&amp;EOMONTH($D$12,0)+1
)</f>
        <v>2</v>
      </c>
      <c r="M25" s="156">
        <f>COUNTIFS('2026-2027'!$M:$M,D25,'2026-2027'!$J:$J,$M$3, '2026-2027'!$B:$B,"&gt;="&amp;EOMONTH($D$12,-1)+1,
'2026-2027'!$B:$B,"&lt;"&amp;EOMONTH($D$12,0)+1
)</f>
        <v>0</v>
      </c>
      <c r="N25" s="156"/>
      <c r="O25" s="156">
        <f>COUNTIFS('2026-2027'!$M:$M,D25,'2026-2027'!$J:$J,$O$3, '2026-2027'!$B:$B,"&gt;="&amp;EOMONTH($D$12,-1)+1,
'2026-2027'!$B:$B,"&lt;"&amp;EOMONTH($D$12,0)+1
)</f>
        <v>0</v>
      </c>
      <c r="P25" s="156">
        <f>COUNTIFS('2026-2027'!$M:$M,D25,'2026-2027'!$J:$J,$P$3, '2026-2027'!$B:$B,"&gt;="&amp;EOMONTH($D$12,-1)+1,
'2026-2027'!$B:$B,"&lt;"&amp;EOMONTH($D$12,0)+1
)</f>
        <v>0</v>
      </c>
      <c r="Q25" s="157">
        <f>COUNTIFS('2026-2027'!$M:$M,D25,'2026-2027'!$J:$J,$Q$3, '2026-2027'!$B:$B,"&gt;="&amp;EOMONTH($D$12,-1)+1,
'2026-2027'!$B:$B,"&lt;"&amp;EOMONTH($D$12,0)+1
)</f>
        <v>23</v>
      </c>
    </row>
    <row r="26" spans="4:19" ht="15.75" customHeight="1">
      <c r="D26" s="155" t="s">
        <v>5174</v>
      </c>
      <c r="E26" s="168">
        <f>COUNTIFS(
'2026-2027'!M:M,D26,
'2026-2027'!B:B,"&gt;="&amp;EOMONTH($D$12,-1)+1,
'2026-2027'!B:B,"&lt;"&amp;EOMONTH($D$12,0)+1
)</f>
        <v>0</v>
      </c>
      <c r="F26" s="156">
        <f>COUNTIFS(
'2026-2027'!$M:$M,D26,
'2026-2027'!$J:$J,$F$3,
'2026-2027'!$B:$B,"&gt;="&amp;EOMONTH($D$12,-1)+1,
'2026-2027'!$B:$B,"&lt;"&amp;EOMONTH($D$12,0)+1
)</f>
        <v>0</v>
      </c>
      <c r="G26" s="156">
        <f>COUNTIFS(
'2026-2027'!$M:$M,D26,
'2026-2027'!$J:$J,$G$3,
'2026-2027'!$B:$B,"&gt;="&amp;EOMONTH($D$12,-1)+1,
'2026-2027'!$B:$B,"&lt;"&amp;EOMONTH($D$12,0)+1
)</f>
        <v>0</v>
      </c>
      <c r="H26" s="156">
        <f>COUNTIFS(
'2026-2027'!$M:$M,D26,
'2026-2027'!$J:$J,$H$3,
'2026-2027'!$B:$B,"&gt;="&amp;EOMONTH($D$12,-1)+1,
'2026-2027'!$B:$B,"&lt;"&amp;EOMONTH($D$12,0)+1
)</f>
        <v>0</v>
      </c>
      <c r="I26" s="156">
        <f>COUNTIFS('2026-2027'!$M:$M,D26,'2026-2027'!$J:$J,$I$3,'2026-2027'!$B:$B,"&gt;="&amp;EOMONTH($D$12,-1)+1,
'2026-2027'!$B:$B,"&lt;"&amp;EOMONTH($D$12,0)+1
)</f>
        <v>0</v>
      </c>
      <c r="J26" s="156">
        <f>COUNTIFS('2026-2027'!$M:$M,D26,'2026-2027'!$J:$J,$J$3, '2026-2027'!$B:$B,"&gt;="&amp;EOMONTH($D$12,-1)+1,
'2026-2027'!$B:$B,"&lt;"&amp;EOMONTH($D$12,0)+1
)</f>
        <v>0</v>
      </c>
      <c r="K26" s="156">
        <f>COUNTIFS('2026-2027'!$M:$M,D26,'2026-2027'!$J:$J,$K$3, '2026-2027'!$B:$B,"&gt;="&amp;EOMONTH($D$12,-1)+1,
'2026-2027'!$B:$B,"&lt;"&amp;EOMONTH($D$12,0)+1
)</f>
        <v>0</v>
      </c>
      <c r="L26" s="156">
        <f>COUNTIFS('2026-2027'!$M:$M,D26,'2026-2027'!$J:$J,$L$3, '2026-2027'!$B:$B,"&gt;="&amp;EOMONTH($D$12,-1)+1,
'2026-2027'!$B:$B,"&lt;"&amp;EOMONTH($D$12,0)+1
)</f>
        <v>0</v>
      </c>
      <c r="M26" s="156">
        <f>COUNTIFS('2026-2027'!$M:$M,D26,'2026-2027'!$J:$J,$M$3, '2026-2027'!$B:$B,"&gt;="&amp;EOMONTH($D$12,-1)+1,
'2026-2027'!$B:$B,"&lt;"&amp;EOMONTH($D$12,0)+1
)</f>
        <v>0</v>
      </c>
      <c r="N26" s="156"/>
      <c r="O26" s="156">
        <f>COUNTIFS('2026-2027'!$M:$M,D26,'2026-2027'!$J:$J,$O$3, '2026-2027'!$B:$B,"&gt;="&amp;EOMONTH($D$12,-1)+1,
'2026-2027'!$B:$B,"&lt;"&amp;EOMONTH($D$12,0)+1
)</f>
        <v>0</v>
      </c>
      <c r="P26" s="156">
        <f>COUNTIFS('2026-2027'!$M:$M,D26,'2026-2027'!$J:$J,$P$3, '2026-2027'!$B:$B,"&gt;="&amp;EOMONTH($D$12,-1)+1,
'2026-2027'!$B:$B,"&lt;"&amp;EOMONTH($D$12,0)+1
)</f>
        <v>0</v>
      </c>
      <c r="Q26" s="157">
        <f>COUNTIFS('2026-2027'!$M:$M,D26,'2026-2027'!$J:$J,$Q$3, '2026-2027'!$B:$B,"&gt;="&amp;EOMONTH($D$12,-1)+1,
'2026-2027'!$B:$B,"&lt;"&amp;EOMONTH($D$12,0)+1
)</f>
        <v>0</v>
      </c>
    </row>
    <row r="27" spans="4:19" ht="15.75" customHeight="1">
      <c r="D27" s="158" t="s">
        <v>50</v>
      </c>
      <c r="E27" s="168">
        <f>COUNTIFS(
'2026-2027'!M:M,D27,
'2026-2027'!B:B,"&gt;="&amp;EOMONTH($D$12,-1)+1,
'2026-2027'!B:B,"&lt;"&amp;EOMONTH($D$12,0)+1
)</f>
        <v>177</v>
      </c>
      <c r="F27" s="156">
        <f>COUNTIFS(
'2026-2027'!$M:$M,D27,
'2026-2027'!$J:$J,$F$3,
'2026-2027'!$B:$B,"&gt;="&amp;EOMONTH($D$12,-1)+1,
'2026-2027'!$B:$B,"&lt;"&amp;EOMONTH($D$12,0)+1
)</f>
        <v>1</v>
      </c>
      <c r="G27" s="156">
        <f>COUNTIFS(
'2026-2027'!$M:$M,D27,
'2026-2027'!$J:$J,$G$3,
'2026-2027'!$B:$B,"&gt;="&amp;EOMONTH($D$12,-1)+1,
'2026-2027'!$B:$B,"&lt;"&amp;EOMONTH($D$12,0)+1
)</f>
        <v>0</v>
      </c>
      <c r="H27" s="156">
        <f>COUNTIFS(
'2026-2027'!$M:$M,D27,
'2026-2027'!$J:$J,$H$3,
'2026-2027'!$B:$B,"&gt;="&amp;EOMONTH($D$12,-1)+1,
'2026-2027'!$B:$B,"&lt;"&amp;EOMONTH($D$12,0)+1
)</f>
        <v>1</v>
      </c>
      <c r="I27" s="156">
        <f>COUNTIFS('2026-2027'!$M:$M,D27,'2026-2027'!$J:$J,$I$3,'2026-2027'!$B:$B,"&gt;="&amp;EOMONTH($D$12,-1)+1,
'2026-2027'!$B:$B,"&lt;"&amp;EOMONTH($D$12,0)+1
)</f>
        <v>33</v>
      </c>
      <c r="J27" s="156">
        <f>COUNTIFS('2026-2027'!$M:$M,D27,'2026-2027'!$J:$J,$J$3, '2026-2027'!$B:$B,"&gt;="&amp;EOMONTH($D$12,-1)+1,
'2026-2027'!$B:$B,"&lt;"&amp;EOMONTH($D$12,0)+1
)</f>
        <v>26</v>
      </c>
      <c r="K27" s="156">
        <f>COUNTIFS('2026-2027'!$M:$M,D27,'2026-2027'!$J:$J,$K$3, '2026-2027'!$B:$B,"&gt;="&amp;EOMONTH($D$12,-1)+1,
'2026-2027'!$B:$B,"&lt;"&amp;EOMONTH($D$12,0)+1
)</f>
        <v>1</v>
      </c>
      <c r="L27" s="156">
        <f>COUNTIFS('2026-2027'!$M:$M,D27,'2026-2027'!$J:$J,$L$3, '2026-2027'!$B:$B,"&gt;="&amp;EOMONTH($D$12,-1)+1,
'2026-2027'!$B:$B,"&lt;"&amp;EOMONTH($D$12,0)+1
)</f>
        <v>12</v>
      </c>
      <c r="M27" s="156">
        <f>COUNTIFS('2026-2027'!$M:$M,D27,'2026-2027'!$J:$J,$M$3, '2026-2027'!$B:$B,"&gt;="&amp;EOMONTH($D$12,-1)+1,
'2026-2027'!$B:$B,"&lt;"&amp;EOMONTH($D$12,0)+1
)</f>
        <v>43</v>
      </c>
      <c r="N27" s="156"/>
      <c r="O27" s="156">
        <f>COUNTIFS('2026-2027'!$M:$M,D27,'2026-2027'!$J:$J,$O$3, '2026-2027'!$B:$B,"&gt;="&amp;EOMONTH($D$12,-1)+1,
'2026-2027'!$B:$B,"&lt;"&amp;EOMONTH($D$12,0)+1
)</f>
        <v>42</v>
      </c>
      <c r="P27" s="156">
        <f>COUNTIFS('2026-2027'!$M:$M,D27,'2026-2027'!$J:$J,$P$3, '2026-2027'!$B:$B,"&gt;="&amp;EOMONTH($D$12,-1)+1,
'2026-2027'!$B:$B,"&lt;"&amp;EOMONTH($D$12,0)+1
)</f>
        <v>1</v>
      </c>
      <c r="Q27" s="157">
        <f>COUNTIFS('2026-2027'!$M:$M,D27,'2026-2027'!$J:$J,$Q$3, '2026-2027'!$B:$B,"&gt;="&amp;EOMONTH($D$12,-1)+1,
'2026-2027'!$B:$B,"&lt;"&amp;EOMONTH($D$12,0)+1
)</f>
        <v>9</v>
      </c>
    </row>
    <row r="28" spans="4:19" ht="15.75" customHeight="1">
      <c r="D28" s="182" t="s">
        <v>40</v>
      </c>
      <c r="E28" s="170">
        <f>COUNTIFS(
'2026-2027'!M:M,D28,
'2026-2027'!B:B,"&gt;="&amp;EOMONTH($D$12,-1)+1,
'2026-2027'!B:B,"&lt;"&amp;EOMONTH($D$12,0)+1
)</f>
        <v>64</v>
      </c>
      <c r="F28" s="171">
        <f>COUNTIFS(
'2026-2027'!$M:$M,D28,
'2026-2027'!$J:$J,$F$3,
'2026-2027'!$B:$B,"&gt;="&amp;EOMONTH($D$12,-1)+1,
'2026-2027'!$B:$B,"&lt;"&amp;EOMONTH($D$12,0)+1
)</f>
        <v>1</v>
      </c>
      <c r="G28" s="171">
        <f>COUNTIFS(
'2026-2027'!$M:$M,D28,
'2026-2027'!$J:$J,$G$3,
'2026-2027'!$B:$B,"&gt;="&amp;EOMONTH($D$12,-1)+1,
'2026-2027'!$B:$B,"&lt;"&amp;EOMONTH($D$12,0)+1
)</f>
        <v>2</v>
      </c>
      <c r="H28" s="171">
        <f>COUNTIFS(
'2026-2027'!$M:$M,D28,
'2026-2027'!$J:$J,$H$3,
'2026-2027'!$B:$B,"&gt;="&amp;EOMONTH($D$12,-1)+1,
'2026-2027'!$B:$B,"&lt;"&amp;EOMONTH($D$12,0)+1
)</f>
        <v>1</v>
      </c>
      <c r="I28" s="171">
        <f>COUNTIFS('2026-2027'!$M:$M,D28,'2026-2027'!$J:$J,$I$3,'2026-2027'!$B:$B,"&gt;="&amp;EOMONTH($D$12,-1)+1,
'2026-2027'!$B:$B,"&lt;"&amp;EOMONTH($D$12,0)+1
)</f>
        <v>4</v>
      </c>
      <c r="J28" s="171">
        <f>COUNTIFS('2026-2027'!$M:$M,D28,'2026-2027'!$J:$J,$J$3, '2026-2027'!$B:$B,"&gt;="&amp;EOMONTH($D$12,-1)+1,
'2026-2027'!$B:$B,"&lt;"&amp;EOMONTH($D$12,0)+1
)</f>
        <v>4</v>
      </c>
      <c r="K28" s="171">
        <f>COUNTIFS('2026-2027'!$M:$M,D28,'2026-2027'!$J:$J,$K$3, '2026-2027'!$B:$B,"&gt;="&amp;EOMONTH($D$12,-1)+1,
'2026-2027'!$B:$B,"&lt;"&amp;EOMONTH($D$12,0)+1
)</f>
        <v>1</v>
      </c>
      <c r="L28" s="171">
        <f>COUNTIFS('2026-2027'!$M:$M,D28,'2026-2027'!$J:$J,$L$3, '2026-2027'!$B:$B,"&gt;="&amp;EOMONTH($D$12,-1)+1,
'2026-2027'!$B:$B,"&lt;"&amp;EOMONTH($D$12,0)+1
)</f>
        <v>6</v>
      </c>
      <c r="M28" s="171">
        <f>COUNTIFS('2026-2027'!$M:$M,D28,'2026-2027'!$J:$J,$M$3, '2026-2027'!$B:$B,"&gt;="&amp;EOMONTH($D$12,-1)+1,
'2026-2027'!$B:$B,"&lt;"&amp;EOMONTH($D$12,0)+1
)</f>
        <v>11</v>
      </c>
      <c r="N28" s="171"/>
      <c r="O28" s="171">
        <f>COUNTIFS('2026-2027'!$M:$M,D28,'2026-2027'!$J:$J,$O$3, '2026-2027'!$B:$B,"&gt;="&amp;EOMONTH($D$12,-1)+1,
'2026-2027'!$B:$B,"&lt;"&amp;EOMONTH($D$12,0)+1
)</f>
        <v>13</v>
      </c>
      <c r="P28" s="171">
        <f>COUNTIFS('2026-2027'!$M:$M,D28,'2026-2027'!$J:$J,$P$3, '2026-2027'!$B:$B,"&gt;="&amp;EOMONTH($D$12,-1)+1,
'2026-2027'!$B:$B,"&lt;"&amp;EOMONTH($D$12,0)+1
)</f>
        <v>4</v>
      </c>
      <c r="Q28" s="172">
        <f>COUNTIFS('2026-2027'!$M:$M,D28,'2026-2027'!$J:$J,$Q$3, '2026-2027'!$B:$B,"&gt;="&amp;EOMONTH($D$12,-1)+1,
'2026-2027'!$B:$B,"&lt;"&amp;EOMONTH($D$12,0)+1
)</f>
        <v>16</v>
      </c>
    </row>
    <row r="29" spans="4:19" ht="15.75" customHeight="1">
      <c r="D29" s="215"/>
      <c r="E29" s="173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5"/>
    </row>
    <row r="30" spans="4:19" ht="15.75" customHeight="1">
      <c r="D30" s="776" t="s">
        <v>5210</v>
      </c>
      <c r="E30" s="763"/>
      <c r="F30" s="763"/>
      <c r="G30" s="763"/>
      <c r="H30" s="763"/>
      <c r="I30" s="763"/>
      <c r="J30" s="763"/>
      <c r="K30" s="763"/>
      <c r="L30" s="763"/>
      <c r="M30" s="763"/>
      <c r="N30" s="763"/>
      <c r="O30" s="763"/>
      <c r="P30" s="763"/>
      <c r="Q30" s="764"/>
    </row>
    <row r="31" spans="4:19" ht="15.75" customHeight="1">
      <c r="D31" s="769" t="s">
        <v>5206</v>
      </c>
      <c r="E31" s="763"/>
      <c r="F31" s="183" t="s">
        <v>1624</v>
      </c>
      <c r="G31" s="177" t="s">
        <v>25</v>
      </c>
      <c r="H31" s="177" t="s">
        <v>56</v>
      </c>
      <c r="I31" s="177" t="s">
        <v>1113</v>
      </c>
      <c r="J31" s="177" t="s">
        <v>63</v>
      </c>
      <c r="K31" s="177" t="s">
        <v>1438</v>
      </c>
      <c r="L31" s="177" t="s">
        <v>1698</v>
      </c>
      <c r="M31" s="177" t="s">
        <v>567</v>
      </c>
      <c r="N31" s="164" t="s">
        <v>47</v>
      </c>
      <c r="O31" s="177" t="s">
        <v>122</v>
      </c>
      <c r="P31" s="176" t="s">
        <v>171</v>
      </c>
      <c r="Q31" s="178" t="s">
        <v>66</v>
      </c>
      <c r="S31" s="166" t="str">
        <f>D30</f>
        <v>PRODUCTS</v>
      </c>
    </row>
    <row r="32" spans="4:19" ht="15.75" customHeight="1">
      <c r="D32" s="155" t="s">
        <v>1239</v>
      </c>
      <c r="E32" s="223">
        <f>COUNTIFS(
'2026-2027'!F:F,D32,
'2026-2027'!B:B,"&gt;="&amp;EOMONTH($D$12,-1)+1,
'2026-2027'!B:B,"&lt;"&amp;EOMONTH($D$12,0)+1
)</f>
        <v>2</v>
      </c>
      <c r="F32" s="184">
        <f>COUNTIFS(
'2026-2027'!$F:$F,$D$32,
'2026-2027'!$J:$J,$F$3,
'2026-2027'!$B:$B,"&gt;="&amp;EOMONTH($D$12,-1)+1,
'2026-2027'!$B:$B,"&lt;"&amp;EOMONTH($D$12,0)+1
)</f>
        <v>1</v>
      </c>
      <c r="G32" s="184">
        <f>COUNTIFS(
'2026-2027'!$F:$F,$D32,
'2026-2027'!$J:$J,G3,
'2026-2027'!$B:$B,"&gt;="&amp;EOMONTH($D$12,-1)+1,
'2026-2027'!$B:$B,"&lt;"&amp;EOMONTH($D$12,0)+1
)</f>
        <v>0</v>
      </c>
      <c r="H32" s="184">
        <f>COUNTIFS(
'2026-2027'!$F:$F,$D32,
'2026-2027'!$J:$J,$H$3,
'2026-2027'!$B:$B,"&gt;="&amp;EOMONTH($D$12,-1)+1,
'2026-2027'!$B:$B,"&lt;"&amp;EOMONTH($D$12,0)+1
)</f>
        <v>0</v>
      </c>
      <c r="I32" s="184">
        <f>COUNTIFS(
'2026-2027'!$F:$F,$D32,
'2026-2027'!$J:$J,$I$3,
'2026-2027'!$B:$B,"&gt;="&amp;EOMONTH($D$12,-1)+1,
'2026-2027'!$B:$B,"&lt;"&amp;EOMONTH($D$12,0)+1
)</f>
        <v>0</v>
      </c>
      <c r="J32" s="184">
        <f>COUNTIFS(
'2026-2027'!$F:$F,$D32,
'2026-2027'!$J:$J,$J$3,
'2026-2027'!$B:$B,"&gt;="&amp;EOMONTH($D$12,-1)+1,
'2026-2027'!$B:$B,"&lt;"&amp;EOMONTH($D$12,0)+1
)</f>
        <v>0</v>
      </c>
      <c r="K32" s="184">
        <f>COUNTIFS(
'2026-2027'!$F:$F,$D32,
'2026-2027'!$J:$J,$K$3,
'2026-2027'!$B:$B,"&gt;="&amp;EOMONTH($D$12,-1)+1,
'2026-2027'!$B:$B,"&lt;"&amp;EOMONTH($D$12,0)+1
)</f>
        <v>0</v>
      </c>
      <c r="L32" s="184">
        <f>COUNTIFS(
'2026-2027'!$F:$F,$D32,
'2026-2027'!$J:$J,$L$3,
'2026-2027'!$B:$B,"&gt;="&amp;EOMONTH($D$12,-1)+1,
'2026-2027'!$B:$B,"&lt;"&amp;EOMONTH($D$12,0)+1
)</f>
        <v>0</v>
      </c>
      <c r="M32" s="184">
        <f>COUNTIFS(
'2026-2027'!$F:$F,$D32,
'2026-2027'!$J:$J,$M$3,
'2026-2027'!$B:$B,"&gt;="&amp;EOMONTH($D$12,-1)+1,
'2026-2027'!$B:$B,"&lt;"&amp;EOMONTH($D$12,0)+1
)</f>
        <v>0</v>
      </c>
      <c r="N32" s="184"/>
      <c r="O32" s="184">
        <f>COUNTIFS(
'2026-2027'!$F:$F,$D32,
'2026-2027'!$J:$J,$O$3,
'2026-2027'!$B:$B,"&gt;="&amp;EOMONTH($D$12,-1)+1,
'2026-2027'!$B:$B,"&lt;"&amp;EOMONTH($D$12,0)+1
)</f>
        <v>0</v>
      </c>
      <c r="P32" s="184">
        <f>COUNTIFS(
'2026-2027'!$F:$F,$D32,
'2026-2027'!$J:$J,$P$3,
'2026-2027'!$B:$B,"&gt;="&amp;EOMONTH($D$12,-1)+1,
'2026-2027'!$B:$B,"&lt;"&amp;EOMONTH($D$12,0)+1
)</f>
        <v>0</v>
      </c>
      <c r="Q32" s="185">
        <f>COUNTIFS(
'2026-2027'!$F:$F,$D32,
'2026-2027'!$J:$J,$Q$3,
'2026-2027'!$B:$B,"&gt;="&amp;EOMONTH($D$12,-1)+1,
'2026-2027'!$B:$B,"&lt;"&amp;EOMONTH($D$12,0)+1
)</f>
        <v>1</v>
      </c>
    </row>
    <row r="33" spans="4:17" ht="15.75" customHeight="1">
      <c r="D33" s="158" t="s">
        <v>32</v>
      </c>
      <c r="E33" s="186">
        <f>COUNTIFS(
'2026-2027'!F:F,D33,
'2026-2027'!B:B,"&gt;="&amp;EOMONTH($D$12,-1)+1,
'2026-2027'!B:B,"&lt;"&amp;EOMONTH($D$12,0)+1
)</f>
        <v>18</v>
      </c>
      <c r="F33" s="171">
        <f>COUNTIFS(
'2026-2027'!$F:$F,D33,
'2026-2027'!$J:$J,$F$3,
'2026-2027'!$B:$B,"&gt;="&amp;EOMONTH($D$12,-1)+1,
'2026-2027'!$B:$B,"&lt;"&amp;EOMONTH($D$12,0)+1
)</f>
        <v>0</v>
      </c>
      <c r="G33" s="171">
        <f>COUNTIFS(
'2026-2027'!$F:$F,$D33,
'2026-2027'!$J:$J,$G$3,
'2026-2027'!$B:$B,"&gt;="&amp;EOMONTH($D$12,-1)+1,
'2026-2027'!$B:$B,"&lt;"&amp;EOMONTH($D$12,0)+1
)</f>
        <v>1</v>
      </c>
      <c r="H33" s="171">
        <f>COUNTIFS(
'2026-2027'!$F:$F,$D33,
'2026-2027'!$J:$J,$H$3,
'2026-2027'!$B:$B,"&gt;="&amp;EOMONTH($D$12,-1)+1,
'2026-2027'!$B:$B,"&lt;"&amp;EOMONTH($D$12,0)+1
)</f>
        <v>0</v>
      </c>
      <c r="I33" s="171">
        <f>COUNTIFS(
'2026-2027'!$F:$F,$D33,
'2026-2027'!$J:$J,$I$3,
'2026-2027'!$B:$B,"&gt;="&amp;EOMONTH($D$12,-1)+1,
'2026-2027'!$B:$B,"&lt;"&amp;EOMONTH($D$12,0)+1
)</f>
        <v>1</v>
      </c>
      <c r="J33" s="171">
        <f>COUNTIFS(
'2026-2027'!$F:$F,$D33,
'2026-2027'!$J:$J,$J$3,
'2026-2027'!$B:$B,"&gt;="&amp;EOMONTH($D$12,-1)+1,
'2026-2027'!$B:$B,"&lt;"&amp;EOMONTH($D$12,0)+1
)</f>
        <v>1</v>
      </c>
      <c r="K33" s="171">
        <f>COUNTIFS(
'2026-2027'!$F:$F,$D33,
'2026-2027'!$J:$J,$K$3,
'2026-2027'!$B:$B,"&gt;="&amp;EOMONTH($D$12,-1)+1,
'2026-2027'!$B:$B,"&lt;"&amp;EOMONTH($D$12,0)+1
)</f>
        <v>0</v>
      </c>
      <c r="L33" s="171">
        <f>COUNTIFS(
'2026-2027'!$F:$F,$D33,
'2026-2027'!$J:$J,$L$3,
'2026-2027'!$B:$B,"&gt;="&amp;EOMONTH($D$12,-1)+1,
'2026-2027'!$B:$B,"&lt;"&amp;EOMONTH($D$12,0)+1
)</f>
        <v>0</v>
      </c>
      <c r="M33" s="171">
        <f>COUNTIFS(
'2026-2027'!$F:$F,$D33,
'2026-2027'!$J:$J,$M$3,
'2026-2027'!$B:$B,"&gt;="&amp;EOMONTH($D$12,-1)+1,
'2026-2027'!$B:$B,"&lt;"&amp;EOMONTH($D$12,0)+1
)</f>
        <v>4</v>
      </c>
      <c r="N33" s="171"/>
      <c r="O33" s="171">
        <f>COUNTIFS(
'2026-2027'!$F:$F,$D33,
'2026-2027'!$J:$J,$O$3,
'2026-2027'!$B:$B,"&gt;="&amp;EOMONTH($D$12,-1)+1,
'2026-2027'!$B:$B,"&lt;"&amp;EOMONTH($D$12,0)+1
)</f>
        <v>0</v>
      </c>
      <c r="P33" s="171">
        <f>COUNTIFS(
'2026-2027'!$F:$F,$D33,
'2026-2027'!$J:$J,$P$3,
'2026-2027'!$B:$B,"&gt;="&amp;EOMONTH($D$12,-1)+1,
'2026-2027'!$B:$B,"&lt;"&amp;EOMONTH($D$12,0)+1
)</f>
        <v>0</v>
      </c>
      <c r="Q33" s="172">
        <f>COUNTIFS(
'2026-2027'!$F:$F,$D33,
'2026-2027'!$J:$J,$Q$3,
'2026-2027'!$B:$B,"&gt;="&amp;EOMONTH($D$12,-1)+1,
'2026-2027'!$B:$B,"&lt;"&amp;EOMONTH($D$12,0)+1
)</f>
        <v>10</v>
      </c>
    </row>
    <row r="34" spans="4:17" ht="15.75" customHeight="1">
      <c r="D34" s="155" t="s">
        <v>1561</v>
      </c>
      <c r="E34" s="186">
        <f>COUNTIFS(
'2026-2027'!F:F,D34,
'2026-2027'!B:B,"&gt;="&amp;EOMONTH($D$12,-1)+1,
'2026-2027'!B:B,"&lt;"&amp;EOMONTH($D$12,0)+1
)</f>
        <v>1</v>
      </c>
      <c r="F34" s="171">
        <f>COUNTIFS(
'2026-2027'!$F:$F,D34,
'2026-2027'!$J:$J,$F$3,
'2026-2027'!$B:$B,"&gt;="&amp;EOMONTH($D$12,-1)+1,
'2026-2027'!$B:$B,"&lt;"&amp;EOMONTH($D$12,0)+1
)</f>
        <v>0</v>
      </c>
      <c r="G34" s="171">
        <f>COUNTIFS(
'2026-2027'!$F:$F,$D34,
'2026-2027'!$J:$J,$G$3,
'2026-2027'!$B:$B,"&gt;="&amp;EOMONTH($D$12,-1)+1,
'2026-2027'!$B:$B,"&lt;"&amp;EOMONTH($D$12,0)+1
)</f>
        <v>0</v>
      </c>
      <c r="H34" s="171">
        <f>COUNTIFS(
'2026-2027'!$F:$F,$D34,
'2026-2027'!$J:$J,$H$3,
'2026-2027'!$B:$B,"&gt;="&amp;EOMONTH($D$12,-1)+1,
'2026-2027'!$B:$B,"&lt;"&amp;EOMONTH($D$12,0)+1
)</f>
        <v>0</v>
      </c>
      <c r="I34" s="171">
        <f>COUNTIFS(
'2026-2027'!$F:$F,$D34,
'2026-2027'!$J:$J,$I$3,
'2026-2027'!$B:$B,"&gt;="&amp;EOMONTH($D$12,-1)+1,
'2026-2027'!$B:$B,"&lt;"&amp;EOMONTH($D$12,0)+1
)</f>
        <v>1</v>
      </c>
      <c r="J34" s="171">
        <f>COUNTIFS(
'2026-2027'!$F:$F,$D34,
'2026-2027'!$J:$J,$J$3,
'2026-2027'!$B:$B,"&gt;="&amp;EOMONTH($D$12,-1)+1,
'2026-2027'!$B:$B,"&lt;"&amp;EOMONTH($D$12,0)+1
)</f>
        <v>0</v>
      </c>
      <c r="K34" s="171">
        <f>COUNTIFS(
'2026-2027'!$F:$F,$D34,
'2026-2027'!$J:$J,$K$3,
'2026-2027'!$B:$B,"&gt;="&amp;EOMONTH($D$12,-1)+1,
'2026-2027'!$B:$B,"&lt;"&amp;EOMONTH($D$12,0)+1
)</f>
        <v>0</v>
      </c>
      <c r="L34" s="171">
        <f>COUNTIFS(
'2026-2027'!$F:$F,$D34,
'2026-2027'!$J:$J,$L$3,
'2026-2027'!$B:$B,"&gt;="&amp;EOMONTH($D$12,-1)+1,
'2026-2027'!$B:$B,"&lt;"&amp;EOMONTH($D$12,0)+1
)</f>
        <v>0</v>
      </c>
      <c r="M34" s="171">
        <f>COUNTIFS(
'2026-2027'!$F:$F,$D34,
'2026-2027'!$J:$J,$M$3,
'2026-2027'!$B:$B,"&gt;="&amp;EOMONTH($D$12,-1)+1,
'2026-2027'!$B:$B,"&lt;"&amp;EOMONTH($D$12,0)+1
)</f>
        <v>0</v>
      </c>
      <c r="N34" s="171"/>
      <c r="O34" s="171">
        <f>COUNTIFS(
'2026-2027'!$F:$F,$D34,
'2026-2027'!$J:$J,$O$3,
'2026-2027'!$B:$B,"&gt;="&amp;EOMONTH($D$12,-1)+1,
'2026-2027'!$B:$B,"&lt;"&amp;EOMONTH($D$12,0)+1
)</f>
        <v>0</v>
      </c>
      <c r="P34" s="171">
        <f>COUNTIFS(
'2026-2027'!$F:$F,$D34,
'2026-2027'!$J:$J,$P$3,
'2026-2027'!$B:$B,"&gt;="&amp;EOMONTH($D$12,-1)+1,
'2026-2027'!$B:$B,"&lt;"&amp;EOMONTH($D$12,0)+1
)</f>
        <v>0</v>
      </c>
      <c r="Q34" s="172">
        <f>COUNTIFS(
'2026-2027'!$F:$F,$D34,
'2026-2027'!$J:$J,$Q$3,
'2026-2027'!$B:$B,"&gt;="&amp;EOMONTH($D$12,-1)+1,
'2026-2027'!$B:$B,"&lt;"&amp;EOMONTH($D$12,0)+1
)</f>
        <v>0</v>
      </c>
    </row>
    <row r="35" spans="4:17" ht="15.75" customHeight="1">
      <c r="D35" s="158" t="s">
        <v>73</v>
      </c>
      <c r="E35" s="186">
        <f>COUNTIFS(
'2026-2027'!F:F,D35,
'2026-2027'!B:B,"&gt;="&amp;EOMONTH($D$12,-1)+1,
'2026-2027'!B:B,"&lt;"&amp;EOMONTH($D$12,0)+1
)</f>
        <v>90</v>
      </c>
      <c r="F35" s="171">
        <f>COUNTIFS(
'2026-2027'!$F:$F,D35,
'2026-2027'!$J:$J,$F$3,
'2026-2027'!$B:$B,"&gt;="&amp;EOMONTH($D$12,-1)+1,
'2026-2027'!$B:$B,"&lt;"&amp;EOMONTH($D$12,0)+1
)</f>
        <v>2</v>
      </c>
      <c r="G35" s="171">
        <f>COUNTIFS(
'2026-2027'!$F:$F,$D35,
'2026-2027'!$J:$J,$G$3,
'2026-2027'!$B:$B,"&gt;="&amp;EOMONTH($D$12,-1)+1,
'2026-2027'!$B:$B,"&lt;"&amp;EOMONTH($D$12,0)+1
)</f>
        <v>0</v>
      </c>
      <c r="H35" s="171">
        <f>COUNTIFS(
'2026-2027'!$F:$F,$D35,
'2026-2027'!$J:$J,$H$3,
'2026-2027'!$B:$B,"&gt;="&amp;EOMONTH($D$12,-1)+1,
'2026-2027'!$B:$B,"&lt;"&amp;EOMONTH($D$12,0)+1
)</f>
        <v>0</v>
      </c>
      <c r="I35" s="171">
        <f>COUNTIFS(
'2026-2027'!$F:$F,$D35,
'2026-2027'!$J:$J,$I$3,
'2026-2027'!$B:$B,"&gt;="&amp;EOMONTH($D$12,-1)+1,
'2026-2027'!$B:$B,"&lt;"&amp;EOMONTH($D$12,0)+1
)</f>
        <v>15</v>
      </c>
      <c r="J35" s="171">
        <f>COUNTIFS(
'2026-2027'!$F:$F,$D35,
'2026-2027'!$J:$J,$J$3,
'2026-2027'!$B:$B,"&gt;="&amp;EOMONTH($D$12,-1)+1,
'2026-2027'!$B:$B,"&lt;"&amp;EOMONTH($D$12,0)+1
)</f>
        <v>9</v>
      </c>
      <c r="K35" s="171">
        <f>COUNTIFS(
'2026-2027'!$F:$F,$D35,
'2026-2027'!$J:$J,$K$3,
'2026-2027'!$B:$B,"&gt;="&amp;EOMONTH($D$12,-1)+1,
'2026-2027'!$B:$B,"&lt;"&amp;EOMONTH($D$12,0)+1
)</f>
        <v>0</v>
      </c>
      <c r="L35" s="171">
        <f>COUNTIFS(
'2026-2027'!$F:$F,$D35,
'2026-2027'!$J:$J,$L$3,
'2026-2027'!$B:$B,"&gt;="&amp;EOMONTH($D$12,-1)+1,
'2026-2027'!$B:$B,"&lt;"&amp;EOMONTH($D$12,0)+1
)</f>
        <v>8</v>
      </c>
      <c r="M35" s="171">
        <f>COUNTIFS(
'2026-2027'!$F:$F,$D35,
'2026-2027'!$J:$J,$M$3,
'2026-2027'!$B:$B,"&gt;="&amp;EOMONTH($D$12,-1)+1,
'2026-2027'!$B:$B,"&lt;"&amp;EOMONTH($D$12,0)+1
)</f>
        <v>18</v>
      </c>
      <c r="N35" s="171"/>
      <c r="O35" s="171">
        <f>COUNTIFS(
'2026-2027'!$F:$F,$D35,
'2026-2027'!$J:$J,$O$3,
'2026-2027'!$B:$B,"&gt;="&amp;EOMONTH($D$12,-1)+1,
'2026-2027'!$B:$B,"&lt;"&amp;EOMONTH($D$12,0)+1
)</f>
        <v>14</v>
      </c>
      <c r="P35" s="171">
        <f>COUNTIFS(
'2026-2027'!$F:$F,$D35,
'2026-2027'!$J:$J,$P$3,
'2026-2027'!$B:$B,"&gt;="&amp;EOMONTH($D$12,-1)+1,
'2026-2027'!$B:$B,"&lt;"&amp;EOMONTH($D$12,0)+1
)</f>
        <v>0</v>
      </c>
      <c r="Q35" s="172">
        <f>COUNTIFS(
'2026-2027'!$F:$F,$D35,
'2026-2027'!$J:$J,$Q$3,
'2026-2027'!$B:$B,"&gt;="&amp;EOMONTH($D$12,-1)+1,
'2026-2027'!$B:$B,"&lt;"&amp;EOMONTH($D$12,0)+1
)</f>
        <v>18</v>
      </c>
    </row>
    <row r="36" spans="4:17" ht="15.75" customHeight="1">
      <c r="D36" s="155" t="s">
        <v>23</v>
      </c>
      <c r="E36" s="186">
        <f>COUNTIFS(
'2026-2027'!F:F,D36,
'2026-2027'!B:B,"&gt;="&amp;EOMONTH($D$12,-1)+1,
'2026-2027'!B:B,"&lt;"&amp;EOMONTH($D$12,0)+1
)</f>
        <v>53</v>
      </c>
      <c r="F36" s="171">
        <f>COUNTIFS(
'2026-2027'!$F:$F,D36,
'2026-2027'!$J:$J,$F$3,
'2026-2027'!$B:$B,"&gt;="&amp;EOMONTH($D$12,-1)+1,
'2026-2027'!$B:$B,"&lt;"&amp;EOMONTH($D$12,0)+1
)</f>
        <v>1</v>
      </c>
      <c r="G36" s="171">
        <f>COUNTIFS(
'2026-2027'!$F:$F,$D36,
'2026-2027'!$J:$J,$G$3,
'2026-2027'!$B:$B,"&gt;="&amp;EOMONTH($D$12,-1)+1,
'2026-2027'!$B:$B,"&lt;"&amp;EOMONTH($D$12,0)+1
)</f>
        <v>2</v>
      </c>
      <c r="H36" s="171">
        <f>COUNTIFS(
'2026-2027'!$F:$F,$D36,
'2026-2027'!$J:$J,$H$3,
'2026-2027'!$B:$B,"&gt;="&amp;EOMONTH($D$12,-1)+1,
'2026-2027'!$B:$B,"&lt;"&amp;EOMONTH($D$12,0)+1
)</f>
        <v>0</v>
      </c>
      <c r="I36" s="171">
        <f>COUNTIFS(
'2026-2027'!$F:$F,$D36,
'2026-2027'!$J:$J,$I$3,
'2026-2027'!$B:$B,"&gt;="&amp;EOMONTH($D$12,-1)+1,
'2026-2027'!$B:$B,"&lt;"&amp;EOMONTH($D$12,0)+1
)</f>
        <v>7</v>
      </c>
      <c r="J36" s="171">
        <f>COUNTIFS(
'2026-2027'!$F:$F,$D36,
'2026-2027'!$J:$J,$J$3,
'2026-2027'!$B:$B,"&gt;="&amp;EOMONTH($D$12,-1)+1,
'2026-2027'!$B:$B,"&lt;"&amp;EOMONTH($D$12,0)+1
)</f>
        <v>10</v>
      </c>
      <c r="K36" s="171">
        <f>COUNTIFS(
'2026-2027'!$F:$F,$D36,
'2026-2027'!$J:$J,$K$3,
'2026-2027'!$B:$B,"&gt;="&amp;EOMONTH($D$12,-1)+1,
'2026-2027'!$B:$B,"&lt;"&amp;EOMONTH($D$12,0)+1
)</f>
        <v>0</v>
      </c>
      <c r="L36" s="171">
        <f>COUNTIFS(
'2026-2027'!$F:$F,$D36,
'2026-2027'!$J:$J,$L$3,
'2026-2027'!$B:$B,"&gt;="&amp;EOMONTH($D$12,-1)+1,
'2026-2027'!$B:$B,"&lt;"&amp;EOMONTH($D$12,0)+1
)</f>
        <v>5</v>
      </c>
      <c r="M36" s="171">
        <f>COUNTIFS(
'2026-2027'!$F:$F,$D36,
'2026-2027'!$J:$J,$M$3,
'2026-2027'!$B:$B,"&gt;="&amp;EOMONTH($D$12,-1)+1,
'2026-2027'!$B:$B,"&lt;"&amp;EOMONTH($D$12,0)+1
)</f>
        <v>10</v>
      </c>
      <c r="N36" s="171"/>
      <c r="O36" s="171">
        <f>COUNTIFS(
'2026-2027'!$F:$F,$D36,
'2026-2027'!$J:$J,$O$3,
'2026-2027'!$B:$B,"&gt;="&amp;EOMONTH($D$12,-1)+1,
'2026-2027'!$B:$B,"&lt;"&amp;EOMONTH($D$12,0)+1
)</f>
        <v>6</v>
      </c>
      <c r="P36" s="171">
        <f>COUNTIFS(
'2026-2027'!$F:$F,$D36,
'2026-2027'!$J:$J,$P$3,
'2026-2027'!$B:$B,"&gt;="&amp;EOMONTH($D$12,-1)+1,
'2026-2027'!$B:$B,"&lt;"&amp;EOMONTH($D$12,0)+1
)</f>
        <v>0</v>
      </c>
      <c r="Q36" s="172">
        <f>COUNTIFS(
'2026-2027'!$F:$F,$D36,
'2026-2027'!$J:$J,$Q$3,
'2026-2027'!$B:$B,"&gt;="&amp;EOMONTH($D$12,-1)+1,
'2026-2027'!$B:$B,"&lt;"&amp;EOMONTH($D$12,0)+1
)</f>
        <v>11</v>
      </c>
    </row>
    <row r="37" spans="4:17" ht="15.75" customHeight="1">
      <c r="D37" s="159" t="s">
        <v>60</v>
      </c>
      <c r="E37" s="186">
        <f>COUNTIFS(
'2026-2027'!F:F,D37,
'2026-2027'!B:B,"&gt;="&amp;EOMONTH($D$12,-1)+1,
'2026-2027'!B:B,"&lt;"&amp;EOMONTH($D$12,0)+1
)</f>
        <v>61</v>
      </c>
      <c r="F37" s="171">
        <f>COUNTIFS(
'2026-2027'!$F:$F,D37,
'2026-2027'!$J:$J,$F$3,
'2026-2027'!$B:$B,"&gt;="&amp;EOMONTH($D$12,-1)+1,
'2026-2027'!$B:$B,"&lt;"&amp;EOMONTH($D$12,0)+1
)</f>
        <v>1</v>
      </c>
      <c r="G37" s="171">
        <f>COUNTIFS(
'2026-2027'!$F:$F,$D37,
'2026-2027'!$J:$J,$G$3,
'2026-2027'!$B:$B,"&gt;="&amp;EOMONTH($D$12,-1)+1,
'2026-2027'!$B:$B,"&lt;"&amp;EOMONTH($D$12,0)+1
)</f>
        <v>0</v>
      </c>
      <c r="H37" s="171">
        <f>COUNTIFS(
'2026-2027'!$F:$F,$D37,
'2026-2027'!$J:$J,$H$3,
'2026-2027'!$B:$B,"&gt;="&amp;EOMONTH($D$12,-1)+1,
'2026-2027'!$B:$B,"&lt;"&amp;EOMONTH($D$12,0)+1
)</f>
        <v>2</v>
      </c>
      <c r="I37" s="171">
        <f>COUNTIFS(
'2026-2027'!$F:$F,$D37,
'2026-2027'!$J:$J,$I$3,
'2026-2027'!$B:$B,"&gt;="&amp;EOMONTH($D$12,-1)+1,
'2026-2027'!$B:$B,"&lt;"&amp;EOMONTH($D$12,0)+1
)</f>
        <v>5</v>
      </c>
      <c r="J37" s="171">
        <f>COUNTIFS(
'2026-2027'!$F:$F,$D37,
'2026-2027'!$J:$J,$J$3,
'2026-2027'!$B:$B,"&gt;="&amp;EOMONTH($D$12,-1)+1,
'2026-2027'!$B:$B,"&lt;"&amp;EOMONTH($D$12,0)+1
)</f>
        <v>5</v>
      </c>
      <c r="K37" s="171">
        <f>COUNTIFS(
'2026-2027'!$F:$F,$D37,
'2026-2027'!$J:$J,$K$3,
'2026-2027'!$B:$B,"&gt;="&amp;EOMONTH($D$12,-1)+1,
'2026-2027'!$B:$B,"&lt;"&amp;EOMONTH($D$12,0)+1
)</f>
        <v>1</v>
      </c>
      <c r="L37" s="171">
        <f>COUNTIFS(
'2026-2027'!$F:$F,$D37,
'2026-2027'!$J:$J,$L$3,
'2026-2027'!$B:$B,"&gt;="&amp;EOMONTH($D$12,-1)+1,
'2026-2027'!$B:$B,"&lt;"&amp;EOMONTH($D$12,0)+1
)</f>
        <v>5</v>
      </c>
      <c r="M37" s="171">
        <f>COUNTIFS(
'2026-2027'!$F:$F,$D37,
'2026-2027'!$J:$J,$M$3,
'2026-2027'!$B:$B,"&gt;="&amp;EOMONTH($D$12,-1)+1,
'2026-2027'!$B:$B,"&lt;"&amp;EOMONTH($D$12,0)+1
)</f>
        <v>12</v>
      </c>
      <c r="N37" s="171"/>
      <c r="O37" s="171">
        <f>COUNTIFS(
'2026-2027'!$F:$F,$D37,
'2026-2027'!$J:$J,$O$3,
'2026-2027'!$B:$B,"&gt;="&amp;EOMONTH($D$12,-1)+1,
'2026-2027'!$B:$B,"&lt;"&amp;EOMONTH($D$12,0)+1
)</f>
        <v>16</v>
      </c>
      <c r="P37" s="171">
        <f>COUNTIFS(
'2026-2027'!$F:$F,$D37,
'2026-2027'!$J:$J,$P$3,
'2026-2027'!$B:$B,"&gt;="&amp;EOMONTH($D$12,-1)+1,
'2026-2027'!$B:$B,"&lt;"&amp;EOMONTH($D$12,0)+1
)</f>
        <v>4</v>
      </c>
      <c r="Q37" s="172">
        <f>COUNTIFS(
'2026-2027'!$F:$F,$D37,
'2026-2027'!$J:$J,$Q$3,
'2026-2027'!$B:$B,"&gt;="&amp;EOMONTH($D$12,-1)+1,
'2026-2027'!$B:$B,"&lt;"&amp;EOMONTH($D$12,0)+1
)</f>
        <v>9</v>
      </c>
    </row>
    <row r="38" spans="4:17" ht="15.75" customHeight="1">
      <c r="D38" s="155" t="s">
        <v>44</v>
      </c>
      <c r="E38" s="186">
        <f>COUNTIFS(
'2026-2027'!F:F,D38,
'2026-2027'!B:B,"&gt;="&amp;EOMONTH($D$12,-1)+1,
'2026-2027'!B:B,"&lt;"&amp;EOMONTH($D$12,0)+1
)</f>
        <v>15</v>
      </c>
      <c r="F38" s="171">
        <f>COUNTIFS(
'2026-2027'!$F:$F,D38,
'2026-2027'!$J:$J,$F$3,
'2026-2027'!$B:$B,"&gt;="&amp;EOMONTH($D$12,-1)+1,
'2026-2027'!$B:$B,"&lt;"&amp;EOMONTH($D$12,0)+1
)</f>
        <v>0</v>
      </c>
      <c r="G38" s="171">
        <f>COUNTIFS(
'2026-2027'!$F:$F,$D38,
'2026-2027'!$J:$J,$G$3,
'2026-2027'!$B:$B,"&gt;="&amp;EOMONTH($D$12,-1)+1,
'2026-2027'!$B:$B,"&lt;"&amp;EOMONTH($D$12,0)+1
)</f>
        <v>0</v>
      </c>
      <c r="H38" s="171">
        <f>COUNTIFS(
'2026-2027'!$F:$F,$D38,
'2026-2027'!$J:$J,$H$3,
'2026-2027'!$B:$B,"&gt;="&amp;EOMONTH($D$12,-1)+1,
'2026-2027'!$B:$B,"&lt;"&amp;EOMONTH($D$12,0)+1
)</f>
        <v>0</v>
      </c>
      <c r="I38" s="171">
        <f>COUNTIFS(
'2026-2027'!$F:$F,$D38,
'2026-2027'!$J:$J,$I$3,
'2026-2027'!$B:$B,"&gt;="&amp;EOMONTH($D$12,-1)+1,
'2026-2027'!$B:$B,"&lt;"&amp;EOMONTH($D$12,0)+1
)</f>
        <v>1</v>
      </c>
      <c r="J38" s="171">
        <f>COUNTIFS(
'2026-2027'!$F:$F,$D38,
'2026-2027'!$J:$J,$J$3,
'2026-2027'!$B:$B,"&gt;="&amp;EOMONTH($D$12,-1)+1,
'2026-2027'!$B:$B,"&lt;"&amp;EOMONTH($D$12,0)+1
)</f>
        <v>2</v>
      </c>
      <c r="K38" s="171">
        <f>COUNTIFS(
'2026-2027'!$F:$F,$D38,
'2026-2027'!$J:$J,$K$3,
'2026-2027'!$B:$B,"&gt;="&amp;EOMONTH($D$12,-1)+1,
'2026-2027'!$B:$B,"&lt;"&amp;EOMONTH($D$12,0)+1
)</f>
        <v>1</v>
      </c>
      <c r="L38" s="171">
        <f>COUNTIFS(
'2026-2027'!$F:$F,$D38,
'2026-2027'!$J:$J,$L$3,
'2026-2027'!$B:$B,"&gt;="&amp;EOMONTH($D$12,-1)+1,
'2026-2027'!$B:$B,"&lt;"&amp;EOMONTH($D$12,0)+1
)</f>
        <v>2</v>
      </c>
      <c r="M38" s="171">
        <f>COUNTIFS(
'2026-2027'!$F:$F,$D38,
'2026-2027'!$J:$J,$M$3,
'2026-2027'!$B:$B,"&gt;="&amp;EOMONTH($D$12,-1)+1,
'2026-2027'!$B:$B,"&lt;"&amp;EOMONTH($D$12,0)+1
)</f>
        <v>2</v>
      </c>
      <c r="N38" s="171"/>
      <c r="O38" s="171">
        <f>COUNTIFS(
'2026-2027'!$F:$F,$D38,
'2026-2027'!$J:$J,$O$3,
'2026-2027'!$B:$B,"&gt;="&amp;EOMONTH($D$12,-1)+1,
'2026-2027'!$B:$B,"&lt;"&amp;EOMONTH($D$12,0)+1
)</f>
        <v>5</v>
      </c>
      <c r="P38" s="171">
        <f>COUNTIFS(
'2026-2027'!$F:$F,$D38,
'2026-2027'!$J:$J,$P$3,
'2026-2027'!$B:$B,"&gt;="&amp;EOMONTH($D$12,-1)+1,
'2026-2027'!$B:$B,"&lt;"&amp;EOMONTH($D$12,0)+1
)</f>
        <v>0</v>
      </c>
      <c r="Q38" s="172">
        <f>COUNTIFS(
'2026-2027'!$F:$F,$D38,
'2026-2027'!$J:$J,$Q$3,
'2026-2027'!$B:$B,"&gt;="&amp;EOMONTH($D$12,-1)+1,
'2026-2027'!$B:$B,"&lt;"&amp;EOMONTH($D$12,0)+1
)</f>
        <v>1</v>
      </c>
    </row>
    <row r="39" spans="4:17" ht="15.75" customHeight="1">
      <c r="D39" s="158" t="s">
        <v>83</v>
      </c>
      <c r="E39" s="186">
        <f>COUNTIFS(
'2026-2027'!F:F,D39,
'2026-2027'!B:B,"&gt;="&amp;EOMONTH($D$12,-1)+1,
'2026-2027'!B:B,"&lt;"&amp;EOMONTH($D$12,0)+1
)</f>
        <v>12</v>
      </c>
      <c r="F39" s="171">
        <f>COUNTIFS(
'2026-2027'!$F:$F,D39,
'2026-2027'!$J:$J,$F$3,
'2026-2027'!$B:$B,"&gt;="&amp;EOMONTH($D$12,-1)+1,
'2026-2027'!$B:$B,"&lt;"&amp;EOMONTH($D$12,0)+1
)</f>
        <v>1</v>
      </c>
      <c r="G39" s="171">
        <f>COUNTIFS(
'2026-2027'!$F:$F,$D39,
'2026-2027'!$J:$J,$G$3,
'2026-2027'!$B:$B,"&gt;="&amp;EOMONTH($D$12,-1)+1,
'2026-2027'!$B:$B,"&lt;"&amp;EOMONTH($D$12,0)+1
)</f>
        <v>0</v>
      </c>
      <c r="H39" s="171">
        <f>COUNTIFS(
'2026-2027'!$F:$F,$D39,
'2026-2027'!$J:$J,$H$3,
'2026-2027'!$B:$B,"&gt;="&amp;EOMONTH($D$12,-1)+1,
'2026-2027'!$B:$B,"&lt;"&amp;EOMONTH($D$12,0)+1
)</f>
        <v>0</v>
      </c>
      <c r="I39" s="171">
        <f>COUNTIFS(
'2026-2027'!$F:$F,$D39,
'2026-2027'!$J:$J,$I$3,
'2026-2027'!$B:$B,"&gt;="&amp;EOMONTH($D$12,-1)+1,
'2026-2027'!$B:$B,"&lt;"&amp;EOMONTH($D$12,0)+1
)</f>
        <v>5</v>
      </c>
      <c r="J39" s="171">
        <f>COUNTIFS(
'2026-2027'!$F:$F,$D39,
'2026-2027'!$J:$J,$J$3,
'2026-2027'!$B:$B,"&gt;="&amp;EOMONTH($D$12,-1)+1,
'2026-2027'!$B:$B,"&lt;"&amp;EOMONTH($D$12,0)+1
)</f>
        <v>0</v>
      </c>
      <c r="K39" s="171">
        <f>COUNTIFS(
'2026-2027'!$F:$F,$D39,
'2026-2027'!$J:$J,$K$3,
'2026-2027'!$B:$B,"&gt;="&amp;EOMONTH($D$12,-1)+1,
'2026-2027'!$B:$B,"&lt;"&amp;EOMONTH($D$12,0)+1
)</f>
        <v>0</v>
      </c>
      <c r="L39" s="171">
        <f>COUNTIFS(
'2026-2027'!$F:$F,$D39,
'2026-2027'!$J:$J,$L$3,
'2026-2027'!$B:$B,"&gt;="&amp;EOMONTH($D$12,-1)+1,
'2026-2027'!$B:$B,"&lt;"&amp;EOMONTH($D$12,0)+1
)</f>
        <v>0</v>
      </c>
      <c r="M39" s="171">
        <f>COUNTIFS(
'2026-2027'!$F:$F,$D39,
'2026-2027'!$J:$J,$M$3,
'2026-2027'!$B:$B,"&gt;="&amp;EOMONTH($D$12,-1)+1,
'2026-2027'!$B:$B,"&lt;"&amp;EOMONTH($D$12,0)+1
)</f>
        <v>3</v>
      </c>
      <c r="N39" s="171"/>
      <c r="O39" s="171">
        <f>COUNTIFS(
'2026-2027'!$F:$F,$D39,
'2026-2027'!$J:$J,$O$3,
'2026-2027'!$B:$B,"&gt;="&amp;EOMONTH($D$12,-1)+1,
'2026-2027'!$B:$B,"&lt;"&amp;EOMONTH($D$12,0)+1
)</f>
        <v>2</v>
      </c>
      <c r="P39" s="171">
        <f>COUNTIFS(
'2026-2027'!$F:$F,$D39,
'2026-2027'!$J:$J,$P$3,
'2026-2027'!$B:$B,"&gt;="&amp;EOMONTH($D$12,-1)+1,
'2026-2027'!$B:$B,"&lt;"&amp;EOMONTH($D$12,0)+1
)</f>
        <v>0</v>
      </c>
      <c r="Q39" s="172">
        <f>COUNTIFS(
'2026-2027'!$F:$F,$D39,
'2026-2027'!$J:$J,$Q$3,
'2026-2027'!$B:$B,"&gt;="&amp;EOMONTH($D$12,-1)+1,
'2026-2027'!$B:$B,"&lt;"&amp;EOMONTH($D$12,0)+1
)</f>
        <v>0</v>
      </c>
    </row>
    <row r="40" spans="4:17" ht="15.75" customHeight="1">
      <c r="D40" s="155" t="s">
        <v>5203</v>
      </c>
      <c r="E40" s="186">
        <f>COUNTIFS(
'2026-2027'!F:F,D40,
'2026-2027'!B:B,"&gt;="&amp;EOMONTH($D$12,-1)+1,
'2026-2027'!B:B,"&lt;"&amp;EOMONTH($D$12,0)+1
)</f>
        <v>1</v>
      </c>
      <c r="F40" s="171">
        <f>COUNTIFS(
'2026-2027'!$F:$F,D40,
'2026-2027'!$J:$J,$F$3,
'2026-2027'!$B:$B,"&gt;="&amp;EOMONTH($D$12,-1)+1,
'2026-2027'!$B:$B,"&lt;"&amp;EOMONTH($D$12,0)+1
)</f>
        <v>0</v>
      </c>
      <c r="G40" s="171">
        <f>COUNTIFS(
'2026-2027'!$F:$F,$D40,
'2026-2027'!$J:$J,$G$3,
'2026-2027'!$B:$B,"&gt;="&amp;EOMONTH($D$12,-1)+1,
'2026-2027'!$B:$B,"&lt;"&amp;EOMONTH($D$12,0)+1
)</f>
        <v>0</v>
      </c>
      <c r="H40" s="171">
        <f>COUNTIFS(
'2026-2027'!$F:$F,$D40,
'2026-2027'!$J:$J,$H$3,
'2026-2027'!$B:$B,"&gt;="&amp;EOMONTH($D$12,-1)+1,
'2026-2027'!$B:$B,"&lt;"&amp;EOMONTH($D$12,0)+1
)</f>
        <v>0</v>
      </c>
      <c r="I40" s="171">
        <f>COUNTIFS(
'2026-2027'!$F:$F,$D40,
'2026-2027'!$J:$J,$I$3,
'2026-2027'!$B:$B,"&gt;="&amp;EOMONTH($D$12,-1)+1,
'2026-2027'!$B:$B,"&lt;"&amp;EOMONTH($D$12,0)+1
)</f>
        <v>0</v>
      </c>
      <c r="J40" s="171">
        <f>COUNTIFS(
'2026-2027'!$F:$F,$D40,
'2026-2027'!$J:$J,$J$3,
'2026-2027'!$B:$B,"&gt;="&amp;EOMONTH($D$12,-1)+1,
'2026-2027'!$B:$B,"&lt;"&amp;EOMONTH($D$12,0)+1
)</f>
        <v>0</v>
      </c>
      <c r="K40" s="171">
        <f>COUNTIFS(
'2026-2027'!$F:$F,$D40,
'2026-2027'!$J:$J,$K$3,
'2026-2027'!$B:$B,"&gt;="&amp;EOMONTH($D$12,-1)+1,
'2026-2027'!$B:$B,"&lt;"&amp;EOMONTH($D$12,0)+1
)</f>
        <v>0</v>
      </c>
      <c r="L40" s="171">
        <f>COUNTIFS(
'2026-2027'!$F:$F,$D40,
'2026-2027'!$J:$J,$L$3,
'2026-2027'!$B:$B,"&gt;="&amp;EOMONTH($D$12,-1)+1,
'2026-2027'!$B:$B,"&lt;"&amp;EOMONTH($D$12,0)+1
)</f>
        <v>0</v>
      </c>
      <c r="M40" s="171">
        <f>COUNTIFS(
'2026-2027'!$F:$F,$D40,
'2026-2027'!$J:$J,$M$3,
'2026-2027'!$B:$B,"&gt;="&amp;EOMONTH($D$12,-1)+1,
'2026-2027'!$B:$B,"&lt;"&amp;EOMONTH($D$12,0)+1
)</f>
        <v>0</v>
      </c>
      <c r="N40" s="171"/>
      <c r="O40" s="171">
        <f>COUNTIFS(
'2026-2027'!$F:$F,$D40,
'2026-2027'!$J:$J,$O$3,
'2026-2027'!$B:$B,"&gt;="&amp;EOMONTH($D$12,-1)+1,
'2026-2027'!$B:$B,"&lt;"&amp;EOMONTH($D$12,0)+1
)</f>
        <v>0</v>
      </c>
      <c r="P40" s="171">
        <f>COUNTIFS(
'2026-2027'!$F:$F,$D40,
'2026-2027'!$J:$J,$P$3,
'2026-2027'!$B:$B,"&gt;="&amp;EOMONTH($D$12,-1)+1,
'2026-2027'!$B:$B,"&lt;"&amp;EOMONTH($D$12,0)+1
)</f>
        <v>0</v>
      </c>
      <c r="Q40" s="172">
        <f>COUNTIFS(
'2026-2027'!$F:$F,$D40,
'2026-2027'!$J:$J,$Q$3,
'2026-2027'!$B:$B,"&gt;="&amp;EOMONTH($D$12,-1)+1,
'2026-2027'!$B:$B,"&lt;"&amp;EOMONTH($D$12,0)+1
)</f>
        <v>1</v>
      </c>
    </row>
    <row r="41" spans="4:17" ht="15.75" customHeight="1">
      <c r="D41" s="158" t="s">
        <v>59</v>
      </c>
      <c r="E41" s="186">
        <f>COUNTIFS(
'2026-2027'!F:F,D41,
'2026-2027'!B:B,"&gt;="&amp;EOMONTH($D$12,-1)+1,
'2026-2027'!B:B,"&lt;"&amp;EOMONTH($D$12,0)+1
)</f>
        <v>31</v>
      </c>
      <c r="F41" s="171">
        <f>COUNTIFS(
'2026-2027'!$F:$F,D41,
'2026-2027'!$J:$J,$F$3,
'2026-2027'!$B:$B,"&gt;="&amp;EOMONTH($D$12,-1)+1,
'2026-2027'!$B:$B,"&lt;"&amp;EOMONTH($D$12,0)+1
)</f>
        <v>2</v>
      </c>
      <c r="G41" s="171">
        <f>COUNTIFS(
'2026-2027'!$F:$F,$D41,
'2026-2027'!$J:$J,$G$3,
'2026-2027'!$B:$B,"&gt;="&amp;EOMONTH($D$12,-1)+1,
'2026-2027'!$B:$B,"&lt;"&amp;EOMONTH($D$12,0)+1
)</f>
        <v>0</v>
      </c>
      <c r="H41" s="171">
        <f>COUNTIFS(
'2026-2027'!$F:$F,$D41,
'2026-2027'!$J:$J,$H$3,
'2026-2027'!$B:$B,"&gt;="&amp;EOMONTH($D$12,-1)+1,
'2026-2027'!$B:$B,"&lt;"&amp;EOMONTH($D$12,0)+1
)</f>
        <v>0</v>
      </c>
      <c r="I41" s="171">
        <f>COUNTIFS(
'2026-2027'!$F:$F,$D41,
'2026-2027'!$J:$J,$I$3,
'2026-2027'!$B:$B,"&gt;="&amp;EOMONTH($D$12,-1)+1,
'2026-2027'!$B:$B,"&lt;"&amp;EOMONTH($D$12,0)+1
)</f>
        <v>2</v>
      </c>
      <c r="J41" s="171">
        <f>COUNTIFS(
'2026-2027'!$F:$F,$D41,
'2026-2027'!$J:$J,$J$3,
'2026-2027'!$B:$B,"&gt;="&amp;EOMONTH($D$12,-1)+1,
'2026-2027'!$B:$B,"&lt;"&amp;EOMONTH($D$12,0)+1
)</f>
        <v>2</v>
      </c>
      <c r="K41" s="171">
        <f>COUNTIFS(
'2026-2027'!$F:$F,$D41,
'2026-2027'!$J:$J,$K$3,
'2026-2027'!$B:$B,"&gt;="&amp;EOMONTH($D$12,-1)+1,
'2026-2027'!$B:$B,"&lt;"&amp;EOMONTH($D$12,0)+1
)</f>
        <v>0</v>
      </c>
      <c r="L41" s="171">
        <f>COUNTIFS(
'2026-2027'!$F:$F,$D41,
'2026-2027'!$J:$J,$L$3,
'2026-2027'!$B:$B,"&gt;="&amp;EOMONTH($D$12,-1)+1,
'2026-2027'!$B:$B,"&lt;"&amp;EOMONTH($D$12,0)+1
)</f>
        <v>2</v>
      </c>
      <c r="M41" s="171">
        <f>COUNTIFS(
'2026-2027'!$F:$F,$D41,
'2026-2027'!$J:$J,$M$3,
'2026-2027'!$B:$B,"&gt;="&amp;EOMONTH($D$12,-1)+1,
'2026-2027'!$B:$B,"&lt;"&amp;EOMONTH($D$12,0)+1
)</f>
        <v>4</v>
      </c>
      <c r="N41" s="171"/>
      <c r="O41" s="171">
        <f>COUNTIFS(
'2026-2027'!$F:$F,$D41,
'2026-2027'!$J:$J,$O$3,
'2026-2027'!$B:$B,"&gt;="&amp;EOMONTH($D$12,-1)+1,
'2026-2027'!$B:$B,"&lt;"&amp;EOMONTH($D$12,0)+1
)</f>
        <v>12</v>
      </c>
      <c r="P41" s="171">
        <f>COUNTIFS(
'2026-2027'!$F:$F,$D41,
'2026-2027'!$J:$J,$P$3,
'2026-2027'!$B:$B,"&gt;="&amp;EOMONTH($D$12,-1)+1,
'2026-2027'!$B:$B,"&lt;"&amp;EOMONTH($D$12,0)+1
)</f>
        <v>1</v>
      </c>
      <c r="Q41" s="172">
        <f>COUNTIFS(
'2026-2027'!$F:$F,$D41,
'2026-2027'!$J:$J,$Q$3,
'2026-2027'!$B:$B,"&gt;="&amp;EOMONTH($D$12,-1)+1,
'2026-2027'!$B:$B,"&lt;"&amp;EOMONTH($D$12,0)+1
)</f>
        <v>4</v>
      </c>
    </row>
    <row r="42" spans="4:17" ht="15.75" customHeight="1">
      <c r="D42" s="155" t="s">
        <v>36</v>
      </c>
      <c r="E42" s="186">
        <f>COUNTIFS(
'2026-2027'!F:F,D42,
'2026-2027'!B:B,"&gt;="&amp;EOMONTH($D$12,-1)+1,
'2026-2027'!B:B,"&lt;"&amp;EOMONTH($D$12,0)+1
)</f>
        <v>2</v>
      </c>
      <c r="F42" s="171">
        <f>COUNTIFS(
'2026-2027'!$F:$F,D42,
'2026-2027'!$J:$J,$F$3,
'2026-2027'!$B:$B,"&gt;="&amp;EOMONTH($D$12,-1)+1,
'2026-2027'!$B:$B,"&lt;"&amp;EOMONTH($D$12,0)+1
)</f>
        <v>0</v>
      </c>
      <c r="G42" s="171">
        <f>COUNTIFS(
'2026-2027'!$F:$F,$D42,
'2026-2027'!$J:$J,$G$3,
'2026-2027'!$B:$B,"&gt;="&amp;EOMONTH($D$12,-1)+1,
'2026-2027'!$B:$B,"&lt;"&amp;EOMONTH($D$12,0)+1
)</f>
        <v>0</v>
      </c>
      <c r="H42" s="171">
        <f>COUNTIFS(
'2026-2027'!$F:$F,$D42,
'2026-2027'!$J:$J,$H$3,
'2026-2027'!$B:$B,"&gt;="&amp;EOMONTH($D$12,-1)+1,
'2026-2027'!$B:$B,"&lt;"&amp;EOMONTH($D$12,0)+1
)</f>
        <v>0</v>
      </c>
      <c r="I42" s="171">
        <f>COUNTIFS(
'2026-2027'!$F:$F,$D42,
'2026-2027'!$J:$J,$I$3,
'2026-2027'!$B:$B,"&gt;="&amp;EOMONTH($D$12,-1)+1,
'2026-2027'!$B:$B,"&lt;"&amp;EOMONTH($D$12,0)+1
)</f>
        <v>1</v>
      </c>
      <c r="J42" s="171">
        <f>COUNTIFS(
'2026-2027'!$F:$F,$D42,
'2026-2027'!$J:$J,$J$3,
'2026-2027'!$B:$B,"&gt;="&amp;EOMONTH($D$12,-1)+1,
'2026-2027'!$B:$B,"&lt;"&amp;EOMONTH($D$12,0)+1
)</f>
        <v>0</v>
      </c>
      <c r="K42" s="171">
        <f>COUNTIFS(
'2026-2027'!$F:$F,$D42,
'2026-2027'!$J:$J,$K$3,
'2026-2027'!$B:$B,"&gt;="&amp;EOMONTH($D$12,-1)+1,
'2026-2027'!$B:$B,"&lt;"&amp;EOMONTH($D$12,0)+1
)</f>
        <v>0</v>
      </c>
      <c r="L42" s="171">
        <f>COUNTIFS(
'2026-2027'!$F:$F,$D42,
'2026-2027'!$J:$J,$L$3,
'2026-2027'!$B:$B,"&gt;="&amp;EOMONTH($D$12,-1)+1,
'2026-2027'!$B:$B,"&lt;"&amp;EOMONTH($D$12,0)+1
)</f>
        <v>0</v>
      </c>
      <c r="M42" s="171">
        <f>COUNTIFS(
'2026-2027'!$F:$F,$D42,
'2026-2027'!$J:$J,$M$3,
'2026-2027'!$B:$B,"&gt;="&amp;EOMONTH($D$12,-1)+1,
'2026-2027'!$B:$B,"&lt;"&amp;EOMONTH($D$12,0)+1
)</f>
        <v>1</v>
      </c>
      <c r="N42" s="171"/>
      <c r="O42" s="171">
        <f>COUNTIFS(
'2026-2027'!$F:$F,$D42,
'2026-2027'!$J:$J,$O$3,
'2026-2027'!$B:$B,"&gt;="&amp;EOMONTH($D$12,-1)+1,
'2026-2027'!$B:$B,"&lt;"&amp;EOMONTH($D$12,0)+1
)</f>
        <v>0</v>
      </c>
      <c r="P42" s="171">
        <f>COUNTIFS(
'2026-2027'!$F:$F,$D42,
'2026-2027'!$J:$J,$P$3,
'2026-2027'!$B:$B,"&gt;="&amp;EOMONTH($D$12,-1)+1,
'2026-2027'!$B:$B,"&lt;"&amp;EOMONTH($D$12,0)+1
)</f>
        <v>0</v>
      </c>
      <c r="Q42" s="172">
        <f>COUNTIFS(
'2026-2027'!$F:$F,$D42,
'2026-2027'!$J:$J,$Q$3,
'2026-2027'!$B:$B,"&gt;="&amp;EOMONTH($D$12,-1)+1,
'2026-2027'!$B:$B,"&lt;"&amp;EOMONTH($D$12,0)+1
)</f>
        <v>0</v>
      </c>
    </row>
    <row r="43" spans="4:17" ht="15.75" customHeight="1">
      <c r="D43" s="169" t="s">
        <v>53</v>
      </c>
      <c r="E43" s="186">
        <f>COUNTIFS(
'2026-2027'!F:F,D43,
'2026-2027'!B:B,"&gt;="&amp;EOMONTH($D$12,-1)+1,
'2026-2027'!B:B,"&lt;"&amp;EOMONTH($D$12,0)+1
)</f>
        <v>0</v>
      </c>
      <c r="F43" s="171">
        <f>COUNTIFS(
'2026-2027'!$F:$F,D43,
'2026-2027'!$J:$J,$F$3,
'2026-2027'!$B:$B,"&gt;="&amp;EOMONTH($D$12,-1)+1,
'2026-2027'!$B:$B,"&lt;"&amp;EOMONTH($D$12,0)+1
)</f>
        <v>0</v>
      </c>
      <c r="G43" s="171">
        <f>COUNTIFS(
'2026-2027'!$F:$F,$D43,
'2026-2027'!$J:$J,$G$3,
'2026-2027'!$B:$B,"&gt;="&amp;EOMONTH($D$12,-1)+1,
'2026-2027'!$B:$B,"&lt;"&amp;EOMONTH($D$12,0)+1
)</f>
        <v>0</v>
      </c>
      <c r="H43" s="171">
        <f>COUNTIFS(
'2026-2027'!$F:$F,$D43,
'2026-2027'!$J:$J,$H$3,
'2026-2027'!$B:$B,"&gt;="&amp;EOMONTH($D$12,-1)+1,
'2026-2027'!$B:$B,"&lt;"&amp;EOMONTH($D$12,0)+1
)</f>
        <v>0</v>
      </c>
      <c r="I43" s="171">
        <f>COUNTIFS(
'2026-2027'!$F:$F,$D43,
'2026-2027'!$J:$J,$I$3,
'2026-2027'!$B:$B,"&gt;="&amp;EOMONTH($D$12,-1)+1,
'2026-2027'!$B:$B,"&lt;"&amp;EOMONTH($D$12,0)+1
)</f>
        <v>0</v>
      </c>
      <c r="J43" s="171">
        <f>COUNTIFS(
'2026-2027'!$F:$F,$D43,
'2026-2027'!$J:$J,$J$3,
'2026-2027'!$B:$B,"&gt;="&amp;EOMONTH($D$12,-1)+1,
'2026-2027'!$B:$B,"&lt;"&amp;EOMONTH($D$12,0)+1
)</f>
        <v>0</v>
      </c>
      <c r="K43" s="171">
        <f>COUNTIFS(
'2026-2027'!$F:$F,$D43,
'2026-2027'!$J:$J,$K$3,
'2026-2027'!$B:$B,"&gt;="&amp;EOMONTH($D$12,-1)+1,
'2026-2027'!$B:$B,"&lt;"&amp;EOMONTH($D$12,0)+1
)</f>
        <v>0</v>
      </c>
      <c r="L43" s="171">
        <f>COUNTIFS(
'2026-2027'!$F:$F,$D43,
'2026-2027'!$J:$J,$L$3,
'2026-2027'!$B:$B,"&gt;="&amp;EOMONTH($D$12,-1)+1,
'2026-2027'!$B:$B,"&lt;"&amp;EOMONTH($D$12,0)+1
)</f>
        <v>0</v>
      </c>
      <c r="M43" s="171">
        <f>COUNTIFS(
'2026-2027'!$F:$F,$D43,
'2026-2027'!$J:$J,$M$3,
'2026-2027'!$B:$B,"&gt;="&amp;EOMONTH($D$12,-1)+1,
'2026-2027'!$B:$B,"&lt;"&amp;EOMONTH($D$12,0)+1
)</f>
        <v>0</v>
      </c>
      <c r="N43" s="171"/>
      <c r="O43" s="171">
        <f>COUNTIFS(
'2026-2027'!$F:$F,$D43,
'2026-2027'!$J:$J,$O$3,
'2026-2027'!$B:$B,"&gt;="&amp;EOMONTH($D$12,-1)+1,
'2026-2027'!$B:$B,"&lt;"&amp;EOMONTH($D$12,0)+1
)</f>
        <v>0</v>
      </c>
      <c r="P43" s="171">
        <f>COUNTIFS(
'2026-2027'!$F:$F,$D43,
'2026-2027'!$J:$J,$P$3,
'2026-2027'!$B:$B,"&gt;="&amp;EOMONTH($D$12,-1)+1,
'2026-2027'!$B:$B,"&lt;"&amp;EOMONTH($D$12,0)+1
)</f>
        <v>0</v>
      </c>
      <c r="Q43" s="172">
        <f>COUNTIFS(
'2026-2027'!$F:$F,$D43,
'2026-2027'!$J:$J,$Q$3,
'2026-2027'!$B:$B,"&gt;="&amp;EOMONTH($D$12,-1)+1,
'2026-2027'!$B:$B,"&lt;"&amp;EOMONTH($D$12,0)+1
)</f>
        <v>0</v>
      </c>
    </row>
    <row r="44" spans="4:17" ht="15.75" customHeight="1"/>
    <row r="45" spans="4:17" ht="15.75" customHeight="1">
      <c r="D45" s="770" t="s">
        <v>5206</v>
      </c>
      <c r="E45" s="760"/>
      <c r="F45" s="163" t="s">
        <v>1624</v>
      </c>
      <c r="G45" s="164" t="s">
        <v>25</v>
      </c>
      <c r="H45" s="164" t="s">
        <v>56</v>
      </c>
      <c r="I45" s="164" t="s">
        <v>1113</v>
      </c>
      <c r="J45" s="164" t="s">
        <v>63</v>
      </c>
      <c r="K45" s="164" t="s">
        <v>1438</v>
      </c>
      <c r="L45" s="164" t="s">
        <v>1698</v>
      </c>
      <c r="M45" s="164" t="s">
        <v>567</v>
      </c>
      <c r="N45" s="164" t="s">
        <v>47</v>
      </c>
      <c r="O45" s="164" t="s">
        <v>122</v>
      </c>
      <c r="P45" s="163" t="s">
        <v>171</v>
      </c>
      <c r="Q45" s="165" t="s">
        <v>66</v>
      </c>
    </row>
    <row r="46" spans="4:17" ht="15.75" customHeight="1">
      <c r="D46" s="151" t="s">
        <v>5207</v>
      </c>
      <c r="E46" s="187">
        <f>SUMIFS('2026-2027'!$P:$P,
        '2026-2027'!$B:$B, "&gt;=" &amp; EOMONTH($D$12,-1) + 1,
        '2026-2027'!$B:$B, "&lt;" &amp; EOMONTH($D$12,0) + 1)</f>
        <v>196083827.71799999</v>
      </c>
      <c r="F46" s="156">
        <f>SUMIFS('2026-2027'!$P:$P,
        '2026-2027'!$J:$J, F45,
        '2026-2027'!$B:$B, "&gt;=" &amp; EOMONTH($D$12,-1) + 1,
        '2026-2027'!$B:$B, "&lt;" &amp; EOMONTH($D$12,0) + 1)</f>
        <v>4900000</v>
      </c>
      <c r="G46" s="188">
        <f>SUMIFS('2026-2027'!$P:$P,
'2026-2027'!$J:$J,G45,
'2026-2027'!$B:$B,"&gt;="&amp;EOMONTH($D$12,-1)+1,
'2026-2027'!$B:$B,"&lt;"&amp;EOMONTH($D$12,0)+1
)</f>
        <v>2030000</v>
      </c>
      <c r="H46" s="156">
        <f>SUMIFS('2026-2027'!$P:$P,
'2026-2027'!$J:$J,H45,
'2026-2027'!$B:$B,"&gt;="&amp;EOMONTH($D$12,-1)+1,
'2026-2027'!$B:$B,"&lt;"&amp;EOMONTH($D$12,0)+1
)</f>
        <v>170000</v>
      </c>
      <c r="I46" s="156">
        <f>SUMIFS('2026-2027'!$P:$P,
'2026-2027'!$J:$J,I45,
'2026-2027'!$B:$B,"&gt;="&amp;EOMONTH($D$12,-1)+1,
'2026-2027'!$B:$B,"&lt;"&amp;EOMONTH($D$12,0)+1
)</f>
        <v>0</v>
      </c>
      <c r="J46" s="156">
        <f>SUMIFS('2026-2027'!$P:$P,
'2026-2027'!$J:$J,J45,
'2026-2027'!$B:$B,"&gt;="&amp;EOMONTH($D$12,-1)+1,
'2026-2027'!$B:$B,"&lt;"&amp;EOMONTH($D$12,0)+1
)</f>
        <v>0</v>
      </c>
      <c r="K46" s="156">
        <f>SUMIFS('2026-2027'!$P:$P,
'2026-2027'!$J:$J,K45,
'2026-2027'!$B:$B,"&gt;="&amp;EOMONTH($D$12,-1)+1,
'2026-2027'!$B:$B,"&lt;"&amp;EOMONTH($D$12,0)+1
)</f>
        <v>0</v>
      </c>
      <c r="L46" s="156">
        <f>SUMIFS('2026-2027'!$P:$P,
'2026-2027'!$J:$J,L45,
'2026-2027'!$B:$B,"&gt;="&amp;EOMONTH($D$12,-1)+1,
'2026-2027'!$B:$B,"&lt;"&amp;EOMONTH($D$12,0)+1
)</f>
        <v>0</v>
      </c>
      <c r="M46" s="156">
        <f>SUMIFS('2026-2027'!$P:$P,
'2026-2027'!$J:$J,M45,
'2026-2027'!$B:$B,"&gt;="&amp;EOMONTH($D$12,-1)+1,
'2026-2027'!$B:$B,"&lt;"&amp;EOMONTH($D$12,0)+1
)</f>
        <v>0</v>
      </c>
      <c r="N46" s="156">
        <f>SUMIFS('2026-2027'!$P:$P,
'2026-2027'!$J:$J,N45,
'2026-2027'!$B:$B,"&gt;="&amp;EOMONTH($D$12,-1)+1,
'2026-2027'!$B:$B,"&lt;"&amp;EOMONTH($D$12,0)+1
)</f>
        <v>0</v>
      </c>
      <c r="O46" s="156">
        <f>SUMIFS('2026-2027'!$P:$P,
'2026-2027'!$J:$J,O45,
'2026-2027'!$B:$B,"&gt;="&amp;EOMONTH($D$12,-1)+1,
'2026-2027'!$B:$B,"&lt;"&amp;EOMONTH($D$12,0)+1
)</f>
        <v>0</v>
      </c>
      <c r="P46" s="187">
        <f>SUMIFS('2026-2027'!$P:$P,
'2026-2027'!$J:$J,P45,
'2026-2027'!$B:$B,"&gt;="&amp;EOMONTH($D$12,-1)+1,
'2026-2027'!$B:$B,"&lt;"&amp;EOMONTH($D$12,0)+1
)</f>
        <v>0</v>
      </c>
      <c r="Q46" s="187">
        <f>SUMIFS('2026-2027'!$P:$P,
'2026-2027'!$J:$J,Q45,
'2026-2027'!$B:$B,"&gt;="&amp;EOMONTH($D$12,-1)+1,
'2026-2027'!$B:$B,"&lt;"&amp;EOMONTH($D$12,0)+1
)</f>
        <v>170191189.71799996</v>
      </c>
    </row>
    <row r="47" spans="4:17" ht="15.75" customHeight="1">
      <c r="D47" s="155" t="s">
        <v>117</v>
      </c>
      <c r="E47" s="168">
        <f>COUNTIFS(
'2026-2027'!L:L,D47,
'2026-2027'!B:B,"&gt;="&amp;EOMONTH($D$12,-1)+1,
'2026-2027'!B:B,"&lt;"&amp;EOMONTH($D$12,0)+1
)</f>
        <v>5</v>
      </c>
      <c r="F47" s="156">
        <f>COUNTIFS(
'2026-2027'!$L:$L,D47,
'2026-2027'!$J:$J,$F$3,
'2026-2027'!$B:$B,"&gt;="&amp;EOMONTH($D$12,-1)+1,
'2026-2027'!$B:$B,"&lt;"&amp;EOMONTH($D$12,0)+1
)</f>
        <v>0</v>
      </c>
      <c r="G47" s="156">
        <f>COUNTIFS(
'2026-2027'!$L:$L,D47,
'2026-2027'!$J:$J,$G$3,
'2026-2027'!$B:$B,"&gt;="&amp;EOMONTH($D$12,-1)+1,
'2026-2027'!$B:$B,"&lt;"&amp;EOMONTH($D$12,0)+1
)</f>
        <v>0</v>
      </c>
      <c r="H47" s="156">
        <f>COUNTIFS(
'2026-2027'!$L:$L,D47,
'2026-2027'!$J:$J,$H$3,
'2026-2027'!$B:$B,"&gt;="&amp;EOMONTH($D$12,-1)+1,
'2026-2027'!$B:$B,"&lt;"&amp;EOMONTH($D$12,0)+1
)</f>
        <v>0</v>
      </c>
      <c r="I47" s="156">
        <f>COUNTIFS('2026-2027'!$L:$L,D47,'2026-2027'!$J:$J,$I$3,'2026-2027'!$B:$B,"&gt;="&amp;EOMONTH($D$12,-1)+1,
'2026-2027'!$B:$B,"&lt;"&amp;EOMONTH($D$12,0)+1
)</f>
        <v>0</v>
      </c>
      <c r="J47" s="156">
        <f>COUNTIFS('2026-2027'!$L:$L,D47,'2026-2027'!$J:$J,$J$3, '2026-2027'!$B:$B,"&gt;="&amp;EOMONTH($D$12,-1)+1,
'2026-2027'!$B:$B,"&lt;"&amp;EOMONTH($D$12,0)+1
)</f>
        <v>0</v>
      </c>
      <c r="K47" s="156">
        <f>COUNTIFS('2026-2027'!$L:$L,D47,'2026-2027'!$J:$J,$K$3, '2026-2027'!$B:$B,"&gt;="&amp;EOMONTH($D$12,-1)+1,
'2026-2027'!$B:$B,"&lt;"&amp;EOMONTH($D$12,0)+1
)</f>
        <v>0</v>
      </c>
      <c r="L47" s="156">
        <f>COUNTIFS('2026-2027'!$L:$L,D47,'2026-2027'!$J:$J,$L$3, '2026-2027'!$B:$B,"&gt;="&amp;EOMONTH($D$12,-1)+1,
'2026-2027'!$B:$B,"&lt;"&amp;EOMONTH($D$12,0)+1
)</f>
        <v>0</v>
      </c>
      <c r="M47" s="156">
        <f>COUNTIFS('2026-2027'!$L:$L,D47,'2026-2027'!$J:$J,$M$3, '2026-2027'!$B:$B,"&gt;="&amp;EOMONTH($D$12,-1)+1,
'2026-2027'!$B:$B,"&lt;"&amp;EOMONTH($D$12,0)+1
)</f>
        <v>0</v>
      </c>
      <c r="N47" s="156">
        <f>SUMIFS('2026-2027'!$P:$P,
'2026-2027'!$J:$J,N46,
'2026-2027'!$B:$B,"&gt;="&amp;EOMONTH($D$12,-1)+1,
'2026-2027'!$B:$B,"&lt;"&amp;EOMONTH($D$12,0)+1
)</f>
        <v>0</v>
      </c>
      <c r="O47" s="156">
        <f>COUNTIFS('2026-2027'!$L:$L,D47,'2026-2027'!$J:$J,$O$3, '2026-2027'!$B:$B,"&gt;="&amp;EOMONTH($D$12,-1)+1,
'2026-2027'!$B:$B,"&lt;"&amp;EOMONTH($D$12,0)+1
)</f>
        <v>0</v>
      </c>
      <c r="P47" s="187">
        <f>SUMIFS('2026-2027'!$P:$P,'2026-2027'!$L:$L,D47,'2026-2027'!$J:$J,$P$3, '2026-2027'!$B:$B,"&gt;="&amp;EOMONTH($D$12,-1)+1,
'2026-2027'!$B:$B,"&lt;"&amp;EOMONTH($D$12,0)+1
)</f>
        <v>0</v>
      </c>
      <c r="Q47" s="187">
        <f>SUMIFS('2026-2027'!$P:$P,'2026-2027'!$L:$L,D47,'2026-2027'!$J:$J,$Q$3, '2026-2027'!$B:$B,"&gt;="&amp;EOMONTH($D$12,-1)+1,
'2026-2027'!$B:$B,"&lt;"&amp;EOMONTH($D$12,0)+1
)</f>
        <v>44049824.119999997</v>
      </c>
    </row>
    <row r="48" spans="4:17" ht="15.75" customHeight="1">
      <c r="D48" s="158" t="s">
        <v>74</v>
      </c>
      <c r="E48" s="168">
        <f>COUNTIFS(
'2026-2027'!L:L,D48,
'2026-2027'!B:B,"&gt;="&amp;EOMONTH($D$12,-1)+1,
'2026-2027'!B:B,"&lt;"&amp;EOMONTH($D$12,0)+1
)</f>
        <v>9</v>
      </c>
      <c r="F48" s="156">
        <f>COUNTIFS(
'2026-2027'!$L:$L,D48,
'2026-2027'!$J:$J,$F$3,
'2026-2027'!$B:$B,"&gt;="&amp;EOMONTH($D$12,-1)+1,
'2026-2027'!$B:$B,"&lt;"&amp;EOMONTH($D$12,0)+1
)</f>
        <v>0</v>
      </c>
      <c r="G48" s="156">
        <f>COUNTIFS(
'2026-2027'!$L:$L,D48,
'2026-2027'!$J:$J,$G$3,
'2026-2027'!$B:$B,"&gt;="&amp;EOMONTH($D$12,-1)+1,
'2026-2027'!$B:$B,"&lt;"&amp;EOMONTH($D$12,0)+1
)</f>
        <v>0</v>
      </c>
      <c r="H48" s="156">
        <f>COUNTIFS(
'2026-2027'!$L:$L,D48,
'2026-2027'!$J:$J,$H$3,
'2026-2027'!$B:$B,"&gt;="&amp;EOMONTH($D$12,-1)+1,
'2026-2027'!$B:$B,"&lt;"&amp;EOMONTH($D$12,0)+1
)</f>
        <v>0</v>
      </c>
      <c r="I48" s="156">
        <f>COUNTIFS('2026-2027'!$L:$L,D48,'2026-2027'!$J:$J,$I$3,'2026-2027'!$B:$B,"&gt;="&amp;EOMONTH($D$12,-1)+1,
'2026-2027'!$B:$B,"&lt;"&amp;EOMONTH($D$12,0)+1
)</f>
        <v>0</v>
      </c>
      <c r="J48" s="156">
        <f>COUNTIFS('2026-2027'!$L:$L,D48,'2026-2027'!$J:$J,$J$3, '2026-2027'!$B:$B,"&gt;="&amp;EOMONTH($D$12,-1)+1,
'2026-2027'!$B:$B,"&lt;"&amp;EOMONTH($D$12,0)+1
)</f>
        <v>0</v>
      </c>
      <c r="K48" s="156">
        <f>COUNTIFS('2026-2027'!$L:$L,D48,'2026-2027'!$J:$J,$K$3, '2026-2027'!$B:$B,"&gt;="&amp;EOMONTH($D$12,-1)+1,
'2026-2027'!$B:$B,"&lt;"&amp;EOMONTH($D$12,0)+1
)</f>
        <v>0</v>
      </c>
      <c r="L48" s="156">
        <f>COUNTIFS('2026-2027'!$L:$L,D48,'2026-2027'!$J:$J,$L$3, '2026-2027'!$B:$B,"&gt;="&amp;EOMONTH($D$12,-1)+1,
'2026-2027'!$B:$B,"&lt;"&amp;EOMONTH($D$12,0)+1
)</f>
        <v>0</v>
      </c>
      <c r="M48" s="156">
        <f>COUNTIFS('2026-2027'!$L:$L,D48,'2026-2027'!$J:$J,$M$3, '2026-2027'!$B:$B,"&gt;="&amp;EOMONTH($D$12,-1)+1,
'2026-2027'!$B:$B,"&lt;"&amp;EOMONTH($D$12,0)+1
)</f>
        <v>0</v>
      </c>
      <c r="N48" s="156">
        <f>SUMIFS('2026-2027'!$P:$P,
'2026-2027'!$J:$J,N47,
'2026-2027'!$B:$B,"&gt;="&amp;EOMONTH($D$12,-1)+1,
'2026-2027'!$B:$B,"&lt;"&amp;EOMONTH($D$12,0)+1
)</f>
        <v>0</v>
      </c>
      <c r="O48" s="156">
        <f>COUNTIFS('2026-2027'!$L:$L,D48,'2026-2027'!$J:$J,$O$3, '2026-2027'!$B:$B,"&gt;="&amp;EOMONTH($D$12,-1)+1,
'2026-2027'!$B:$B,"&lt;"&amp;EOMONTH($D$12,0)+1
)</f>
        <v>0</v>
      </c>
      <c r="P48" s="187">
        <f>COUNTIFS('2026-2027'!$L:$L,D48,'2026-2027'!$J:$J,$P$3, '2026-2027'!$B:$B,"&gt;="&amp;EOMONTH($D$12,-1)+1,
'2026-2027'!$B:$B,"&lt;"&amp;EOMONTH($D$12,0)+1
)</f>
        <v>0</v>
      </c>
      <c r="Q48" s="187">
        <f>SUMIFS('2026-2027'!$P:$P,'2026-2027'!$L:$L,D48,'2026-2027'!$J:$J,$Q$3, '2026-2027'!$B:$B,"&gt;="&amp;EOMONTH($D$12,-1)+1,
'2026-2027'!$B:$B,"&lt;"&amp;EOMONTH($D$12,0)+1
)</f>
        <v>6293785</v>
      </c>
    </row>
    <row r="49" spans="4:17" ht="15.75" customHeight="1">
      <c r="D49" s="155" t="s">
        <v>27</v>
      </c>
      <c r="E49" s="168">
        <f>COUNTIFS(
'2026-2027'!L:L,D49,
'2026-2027'!B:B,"&gt;="&amp;EOMONTH($D$12,-1)+1,
'2026-2027'!B:B,"&lt;"&amp;EOMONTH($D$12,0)+1
)</f>
        <v>31</v>
      </c>
      <c r="F49" s="156">
        <f>COUNTIFS(
'2026-2027'!$L:$L,D49,
'2026-2027'!$J:$J,$F$3,
'2026-2027'!$B:$B,"&gt;="&amp;EOMONTH($D$12,-1)+1,
'2026-2027'!$B:$B,"&lt;"&amp;EOMONTH($D$12,0)+1
)</f>
        <v>0</v>
      </c>
      <c r="G49" s="156">
        <f>COUNTIFS(
'2026-2027'!$L:$L,D49,
'2026-2027'!$J:$J,$G$3,
'2026-2027'!$B:$B,"&gt;="&amp;EOMONTH($D$12,-1)+1,
'2026-2027'!$B:$B,"&lt;"&amp;EOMONTH($D$12,0)+1
)</f>
        <v>3</v>
      </c>
      <c r="H49" s="156">
        <f>COUNTIFS(
'2026-2027'!$L:$L,D49,
'2026-2027'!$J:$J,$H$3,
'2026-2027'!$B:$B,"&gt;="&amp;EOMONTH($D$12,-1)+1,
'2026-2027'!$B:$B,"&lt;"&amp;EOMONTH($D$12,0)+1
)</f>
        <v>0</v>
      </c>
      <c r="I49" s="156">
        <f>COUNTIFS('2026-2027'!$L:$L,D49,'2026-2027'!$J:$J,$I$3,'2026-2027'!$B:$B,"&gt;="&amp;EOMONTH($D$12,-1)+1,
'2026-2027'!$B:$B,"&lt;"&amp;EOMONTH($D$12,0)+1
)</f>
        <v>0</v>
      </c>
      <c r="J49" s="156">
        <f>COUNTIFS('2026-2027'!$L:$L,D49,'2026-2027'!$J:$J,$J$3, '2026-2027'!$B:$B,"&gt;="&amp;EOMONTH($D$12,-1)+1,
'2026-2027'!$B:$B,"&lt;"&amp;EOMONTH($D$12,0)+1
)</f>
        <v>1</v>
      </c>
      <c r="K49" s="156">
        <f>COUNTIFS('2026-2027'!$L:$L,D49,'2026-2027'!$J:$J,$K$3, '2026-2027'!$B:$B,"&gt;="&amp;EOMONTH($D$12,-1)+1,
'2026-2027'!$B:$B,"&lt;"&amp;EOMONTH($D$12,0)+1
)</f>
        <v>0</v>
      </c>
      <c r="L49" s="156">
        <f>COUNTIFS('2026-2027'!$L:$L,D49,'2026-2027'!$J:$J,$L$3, '2026-2027'!$B:$B,"&gt;="&amp;EOMONTH($D$12,-1)+1,
'2026-2027'!$B:$B,"&lt;"&amp;EOMONTH($D$12,0)+1
)</f>
        <v>2</v>
      </c>
      <c r="M49" s="156">
        <f>COUNTIFS('2026-2027'!$L:$L,D49,'2026-2027'!$J:$J,$M$3, '2026-2027'!$B:$B,"&gt;="&amp;EOMONTH($D$12,-1)+1,
'2026-2027'!$B:$B,"&lt;"&amp;EOMONTH($D$12,0)+1
)</f>
        <v>0</v>
      </c>
      <c r="N49" s="156">
        <f>SUMIFS('2026-2027'!$P:$P,
'2026-2027'!$J:$J,N48,
'2026-2027'!$B:$B,"&gt;="&amp;EOMONTH($D$12,-1)+1,
'2026-2027'!$B:$B,"&lt;"&amp;EOMONTH($D$12,0)+1
)</f>
        <v>0</v>
      </c>
      <c r="O49" s="156">
        <f>COUNTIFS('2026-2027'!$L:$L,D49,'2026-2027'!$J:$J,$O$3, '2026-2027'!$B:$B,"&gt;="&amp;EOMONTH($D$12,-1)+1,
'2026-2027'!$B:$B,"&lt;"&amp;EOMONTH($D$12,0)+1
)</f>
        <v>0</v>
      </c>
      <c r="P49" s="187">
        <f>COUNTIFS('2026-2027'!$L:$L,D49,'2026-2027'!$J:$J,$P$3, '2026-2027'!$B:$B,"&gt;="&amp;EOMONTH($D$12,-1)+1,
'2026-2027'!$B:$B,"&lt;"&amp;EOMONTH($D$12,0)+1
)</f>
        <v>0</v>
      </c>
      <c r="Q49" s="187">
        <f>SUMIFS('2026-2027'!$P:$P,'2026-2027'!$L:$L,D49,'2026-2027'!$J:$J,$Q$3, '2026-2027'!$B:$B,"&gt;="&amp;EOMONTH($D$12,-1)+1,
'2026-2027'!$B:$B,"&lt;"&amp;EOMONTH($D$12,0)+1
)</f>
        <v>80893670.237999991</v>
      </c>
    </row>
    <row r="50" spans="4:17" ht="15.75" customHeight="1">
      <c r="D50" s="158" t="s">
        <v>49</v>
      </c>
      <c r="E50" s="168">
        <f>COUNTIFS(
'2026-2027'!L:L,D50,
'2026-2027'!B:B,"&gt;="&amp;EOMONTH($D$12,-1)+1,
'2026-2027'!B:B,"&lt;"&amp;EOMONTH($D$12,0)+1
)</f>
        <v>139</v>
      </c>
      <c r="F50" s="156">
        <f>COUNTIFS(
'2026-2027'!$L:$L,D50,
'2026-2027'!$J:$J,$F$3,
'2026-2027'!$B:$B,"&gt;="&amp;EOMONTH($D$12,-1)+1,
'2026-2027'!$B:$B,"&lt;"&amp;EOMONTH($D$12,0)+1
)</f>
        <v>6</v>
      </c>
      <c r="G50" s="156">
        <f>COUNTIFS(
'2026-2027'!$L:$L,D50,
'2026-2027'!$J:$J,$G$3,
'2026-2027'!$B:$B,"&gt;="&amp;EOMONTH($D$12,-1)+1,
'2026-2027'!$B:$B,"&lt;"&amp;EOMONTH($D$12,0)+1
)</f>
        <v>0</v>
      </c>
      <c r="H50" s="156">
        <f>COUNTIFS(
'2026-2027'!$L:$L,D50,
'2026-2027'!$J:$J,$H$3,
'2026-2027'!$B:$B,"&gt;="&amp;EOMONTH($D$12,-1)+1,
'2026-2027'!$B:$B,"&lt;"&amp;EOMONTH($D$12,0)+1
)</f>
        <v>1</v>
      </c>
      <c r="I50" s="156">
        <f>COUNTIFS('2026-2027'!$L:$L,D50,'2026-2027'!$J:$J,$I$3,'2026-2027'!$B:$B,"&gt;="&amp;EOMONTH($D$12,-1)+1,
'2026-2027'!$B:$B,"&lt;"&amp;EOMONTH($D$12,0)+1
)</f>
        <v>18</v>
      </c>
      <c r="J50" s="156">
        <f>COUNTIFS('2026-2027'!$L:$L,D50,'2026-2027'!$J:$J,$J$3, '2026-2027'!$B:$B,"&gt;="&amp;EOMONTH($D$12,-1)+1,
'2026-2027'!$B:$B,"&lt;"&amp;EOMONTH($D$12,0)+1
)</f>
        <v>14</v>
      </c>
      <c r="K50" s="156">
        <f>COUNTIFS('2026-2027'!$L:$L,D50,'2026-2027'!$J:$J,$K$3, '2026-2027'!$B:$B,"&gt;="&amp;EOMONTH($D$12,-1)+1,
'2026-2027'!$B:$B,"&lt;"&amp;EOMONTH($D$12,0)+1
)</f>
        <v>2</v>
      </c>
      <c r="L50" s="156">
        <f>COUNTIFS('2026-2027'!$L:$L,D50,'2026-2027'!$J:$J,$L$3, '2026-2027'!$B:$B,"&gt;="&amp;EOMONTH($D$12,-1)+1,
'2026-2027'!$B:$B,"&lt;"&amp;EOMONTH($D$12,0)+1
)</f>
        <v>13</v>
      </c>
      <c r="M50" s="156">
        <f>COUNTIFS('2026-2027'!$L:$L,D50,'2026-2027'!$J:$J,$M$3, '2026-2027'!$B:$B,"&gt;="&amp;EOMONTH($D$12,-1)+1,
'2026-2027'!$B:$B,"&lt;"&amp;EOMONTH($D$12,0)+1
)</f>
        <v>33</v>
      </c>
      <c r="N50" s="156">
        <f>SUMIFS('2026-2027'!$P:$P,
'2026-2027'!$J:$J,N49,
'2026-2027'!$B:$B,"&gt;="&amp;EOMONTH($D$12,-1)+1,
'2026-2027'!$B:$B,"&lt;"&amp;EOMONTH($D$12,0)+1
)</f>
        <v>0</v>
      </c>
      <c r="O50" s="156">
        <f>COUNTIFS('2026-2027'!$L:$L,D50,'2026-2027'!$J:$J,$O$3, '2026-2027'!$B:$B,"&gt;="&amp;EOMONTH($D$12,-1)+1,
'2026-2027'!$B:$B,"&lt;"&amp;EOMONTH($D$12,0)+1
)</f>
        <v>29</v>
      </c>
      <c r="P50" s="187">
        <f>COUNTIFS('2026-2027'!$L:$L,D50,'2026-2027'!$J:$J,$P$3, '2026-2027'!$B:$B,"&gt;="&amp;EOMONTH($D$12,-1)+1,
'2026-2027'!$B:$B,"&lt;"&amp;EOMONTH($D$12,0)+1
)</f>
        <v>4</v>
      </c>
      <c r="Q50" s="187">
        <f>SUMIFS('2026-2027'!$P:$P,'2026-2027'!$L:$L,D50,'2026-2027'!$J:$J,$Q$3, '2026-2027'!$B:$B,"&gt;="&amp;EOMONTH($D$12,-1)+1,
'2026-2027'!$B:$B,"&lt;"&amp;EOMONTH($D$12,0)+1
)</f>
        <v>38765386.359999999</v>
      </c>
    </row>
    <row r="51" spans="4:17" ht="15.75" customHeight="1">
      <c r="D51" s="155" t="s">
        <v>1857</v>
      </c>
      <c r="E51" s="168">
        <f>COUNTIFS(
'2026-2027'!L:L,D51,
'2026-2027'!B:B,"&gt;="&amp;EOMONTH($D$12,-1)+1,
'2026-2027'!B:B,"&lt;"&amp;EOMONTH($D$12,0)+1
)</f>
        <v>1</v>
      </c>
      <c r="F51" s="156">
        <f>COUNTIFS(
'2026-2027'!$L:$L,D51,
'2026-2027'!$J:$J,$F$3,
'2026-2027'!$B:$B,"&gt;="&amp;EOMONTH($D$12,-1)+1,
'2026-2027'!$B:$B,"&lt;"&amp;EOMONTH($D$12,0)+1
)</f>
        <v>0</v>
      </c>
      <c r="G51" s="156">
        <f>COUNTIFS(
'2026-2027'!$L:$L,D51,
'2026-2027'!$J:$J,$G$3,
'2026-2027'!$B:$B,"&gt;="&amp;EOMONTH($D$12,-1)+1,
'2026-2027'!$B:$B,"&lt;"&amp;EOMONTH($D$12,0)+1
)</f>
        <v>0</v>
      </c>
      <c r="H51" s="156">
        <f>COUNTIFS(
'2026-2027'!$L:$L,D51,
'2026-2027'!$J:$J,$H$3,
'2026-2027'!$B:$B,"&gt;="&amp;EOMONTH($D$12,-1)+1,
'2026-2027'!$B:$B,"&lt;"&amp;EOMONTH($D$12,0)+1
)</f>
        <v>0</v>
      </c>
      <c r="I51" s="156">
        <f>COUNTIFS('2026-2027'!$L:$L,D51,'2026-2027'!$J:$J,$I$3,'2026-2027'!$B:$B,"&gt;="&amp;EOMONTH($D$12,-1)+1,
'2026-2027'!$B:$B,"&lt;"&amp;EOMONTH($D$12,0)+1
)</f>
        <v>1</v>
      </c>
      <c r="J51" s="156">
        <f>COUNTIFS('2026-2027'!$L:$L,D51,'2026-2027'!$J:$J,$J$3, '2026-2027'!$B:$B,"&gt;="&amp;EOMONTH($D$12,-1)+1,
'2026-2027'!$B:$B,"&lt;"&amp;EOMONTH($D$12,0)+1
)</f>
        <v>0</v>
      </c>
      <c r="K51" s="156">
        <f>COUNTIFS('2026-2027'!$L:$L,D51,'2026-2027'!$J:$J,$K$3, '2026-2027'!$B:$B,"&gt;="&amp;EOMONTH($D$12,-1)+1,
'2026-2027'!$B:$B,"&lt;"&amp;EOMONTH($D$12,0)+1
)</f>
        <v>0</v>
      </c>
      <c r="L51" s="156">
        <f>COUNTIFS('2026-2027'!$L:$L,D51,'2026-2027'!$J:$J,$L$3, '2026-2027'!$B:$B,"&gt;="&amp;EOMONTH($D$12,-1)+1,
'2026-2027'!$B:$B,"&lt;"&amp;EOMONTH($D$12,0)+1
)</f>
        <v>0</v>
      </c>
      <c r="M51" s="156">
        <f>COUNTIFS('2026-2027'!$L:$L,D51,'2026-2027'!$J:$J,$M$3, '2026-2027'!$B:$B,"&gt;="&amp;EOMONTH($D$12,-1)+1,
'2026-2027'!$B:$B,"&lt;"&amp;EOMONTH($D$12,0)+1
)</f>
        <v>0</v>
      </c>
      <c r="N51" s="156">
        <f>SUMIFS('2026-2027'!$P:$P,
'2026-2027'!$J:$J,N50,
'2026-2027'!$B:$B,"&gt;="&amp;EOMONTH($D$12,-1)+1,
'2026-2027'!$B:$B,"&lt;"&amp;EOMONTH($D$12,0)+1
)</f>
        <v>0</v>
      </c>
      <c r="O51" s="156">
        <f>COUNTIFS('2026-2027'!$L:$L,D51,'2026-2027'!$J:$J,$O$3, '2026-2027'!$B:$B,"&gt;="&amp;EOMONTH($D$12,-1)+1,
'2026-2027'!$B:$B,"&lt;"&amp;EOMONTH($D$12,0)+1
)</f>
        <v>0</v>
      </c>
      <c r="P51" s="187">
        <f>COUNTIFS('2026-2027'!$L:$L,D51,'2026-2027'!$J:$J,$P$3, '2026-2027'!$B:$B,"&gt;="&amp;EOMONTH($D$12,-1)+1,
'2026-2027'!$B:$B,"&lt;"&amp;EOMONTH($D$12,0)+1
)</f>
        <v>0</v>
      </c>
      <c r="Q51" s="187">
        <f>SUMIFS('2026-2027'!$P:$P,'2026-2027'!$L:$L,D51,'2026-2027'!$J:$J,$Q$3, '2026-2027'!$B:$B,"&gt;="&amp;EOMONTH($D$12,-1)+1,
'2026-2027'!$B:$B,"&lt;"&amp;EOMONTH($D$12,0)+1
)</f>
        <v>0</v>
      </c>
    </row>
    <row r="52" spans="4:17" ht="15.75" customHeight="1">
      <c r="D52" s="169" t="s">
        <v>58</v>
      </c>
      <c r="E52" s="170">
        <f>COUNTIFS(
'2026-2027'!L:L,D52,
'2026-2027'!B:B,"&gt;="&amp;EOMONTH($D$12,-1)+1,
'2026-2027'!B:B,"&lt;"&amp;EOMONTH($D$12,0)+1
)</f>
        <v>102</v>
      </c>
      <c r="F52" s="171">
        <f>COUNTIFS(
'2026-2027'!$L:$L,D52,
'2026-2027'!$J:$J,$F$3,
'2026-2027'!$B:$B,"&gt;="&amp;EOMONTH($D$12,-1)+1,
'2026-2027'!$B:$B,"&lt;"&amp;EOMONTH($D$12,0)+1
)</f>
        <v>2</v>
      </c>
      <c r="G52" s="171">
        <f>COUNTIFS(
'2026-2027'!$L:$L,D52,
'2026-2027'!$J:$J,$G$3,
'2026-2027'!$B:$B,"&gt;="&amp;EOMONTH($D$12,-1)+1,
'2026-2027'!$B:$B,"&lt;"&amp;EOMONTH($D$12,0)+1
)</f>
        <v>0</v>
      </c>
      <c r="H52" s="171">
        <f>COUNTIFS(
'2026-2027'!$L:$L,D52,
'2026-2027'!$J:$J,$H$3,
'2026-2027'!$B:$B,"&gt;="&amp;EOMONTH($D$12,-1)+1,
'2026-2027'!$B:$B,"&lt;"&amp;EOMONTH($D$12,0)+1
)</f>
        <v>1</v>
      </c>
      <c r="I52" s="171">
        <f>COUNTIFS('2026-2027'!$L:$L,D52,'2026-2027'!$J:$J,$I$3,'2026-2027'!$B:$B,"&gt;="&amp;EOMONTH($D$12,-1)+1,
'2026-2027'!$B:$B,"&lt;"&amp;EOMONTH($D$12,0)+1
)</f>
        <v>19</v>
      </c>
      <c r="J52" s="171">
        <f>COUNTIFS('2026-2027'!$L:$L,D52,'2026-2027'!$J:$J,$J$3, '2026-2027'!$B:$B,"&gt;="&amp;EOMONTH($D$12,-1)+1,
'2026-2027'!$B:$B,"&lt;"&amp;EOMONTH($D$12,0)+1
)</f>
        <v>15</v>
      </c>
      <c r="K52" s="171">
        <f>COUNTIFS('2026-2027'!$L:$L,D52,'2026-2027'!$J:$J,$K$3, '2026-2027'!$B:$B,"&gt;="&amp;EOMONTH($D$12,-1)+1,
'2026-2027'!$B:$B,"&lt;"&amp;EOMONTH($D$12,0)+1
)</f>
        <v>0</v>
      </c>
      <c r="L52" s="171">
        <f>COUNTIFS('2026-2027'!$L:$L,D52,'2026-2027'!$J:$J,$L$3, '2026-2027'!$B:$B,"&gt;="&amp;EOMONTH($D$12,-1)+1,
'2026-2027'!$B:$B,"&lt;"&amp;EOMONTH($D$12,0)+1
)</f>
        <v>7</v>
      </c>
      <c r="M52" s="171">
        <f>COUNTIFS('2026-2027'!$L:$L,D52,'2026-2027'!$J:$J,$M$3, '2026-2027'!$B:$B,"&gt;="&amp;EOMONTH($D$12,-1)+1,
'2026-2027'!$B:$B,"&lt;"&amp;EOMONTH($D$12,0)+1
)</f>
        <v>21</v>
      </c>
      <c r="N52" s="156">
        <f>SUMIFS('2026-2027'!$P:$P,
'2026-2027'!$J:$J,N51,
'2026-2027'!$B:$B,"&gt;="&amp;EOMONTH($D$12,-1)+1,
'2026-2027'!$B:$B,"&lt;"&amp;EOMONTH($D$12,0)+1
)</f>
        <v>0</v>
      </c>
      <c r="O52" s="171">
        <f>COUNTIFS('2026-2027'!$L:$L,D52,'2026-2027'!$J:$J,$O$3, '2026-2027'!$B:$B,"&gt;="&amp;EOMONTH($D$12,-1)+1,
'2026-2027'!$B:$B,"&lt;"&amp;EOMONTH($D$12,0)+1
)</f>
        <v>26</v>
      </c>
      <c r="P52" s="187">
        <f>COUNTIFS('2026-2027'!$L:$L,D52,'2026-2027'!$J:$J,$P$3, '2026-2027'!$B:$B,"&gt;="&amp;EOMONTH($D$12,-1)+1,
'2026-2027'!$B:$B,"&lt;"&amp;EOMONTH($D$12,0)+1
)</f>
        <v>1</v>
      </c>
      <c r="Q52" s="187">
        <f>SUMIFS('2026-2027'!$P:$P,'2026-2027'!$L:$L,D52,'2026-2027'!$J:$J,$Q$3, '2026-2027'!$B:$B,"&gt;="&amp;EOMONTH($D$12,-1)+1,
'2026-2027'!$B:$B,"&lt;"&amp;EOMONTH($D$12,0)+1
)</f>
        <v>188524</v>
      </c>
    </row>
    <row r="53" spans="4:17" ht="15.75" customHeight="1"/>
    <row r="54" spans="4:17" ht="15.75" customHeight="1"/>
    <row r="55" spans="4:17" ht="15.75" customHeight="1"/>
    <row r="56" spans="4:17" ht="15.75" customHeight="1"/>
    <row r="57" spans="4:17" ht="15.75" customHeight="1"/>
    <row r="58" spans="4:17" ht="15.75" customHeight="1"/>
    <row r="59" spans="4:17" ht="15.75" customHeight="1"/>
    <row r="60" spans="4:17" ht="15.75" customHeight="1"/>
    <row r="61" spans="4:17" ht="15.75" customHeight="1"/>
    <row r="62" spans="4:17" ht="15.75" customHeight="1"/>
    <row r="63" spans="4:17" ht="15.75" customHeight="1"/>
    <row r="64" spans="4:1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31:E31"/>
    <mergeCell ref="D45:E45"/>
    <mergeCell ref="D2:Q2"/>
    <mergeCell ref="D3:E3"/>
    <mergeCell ref="D12:Q12"/>
    <mergeCell ref="D13:E13"/>
    <mergeCell ref="D22:Q22"/>
    <mergeCell ref="D23:E23"/>
    <mergeCell ref="D30:Q30"/>
  </mergeCells>
  <dataValidations count="1">
    <dataValidation type="list" allowBlank="1" showErrorMessage="1" sqref="D5:D9 D15:D19 D47:D51" xr:uid="{00000000-0002-0000-0500-000001000000}">
      <formula1>"INDIAMART,TRADE INDIA,REFRENCE,OUT SOURCE,MAIL,VERBAL,EXISTING CUS."</formula1>
    </dataValidation>
  </dataValidations>
  <pageMargins left="0.7" right="0.7" top="0.75" bottom="0.75" header="0" footer="0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'DATA SHEET'!$R$4:$R$16</xm:f>
          </x14:formula1>
          <xm:sqref>D12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Project Engineer</dc:creator>
  <cp:keywords/>
  <dc:description/>
  <cp:lastModifiedBy>Guest User</cp:lastModifiedBy>
  <cp:revision/>
  <dcterms:created xsi:type="dcterms:W3CDTF">2026-05-30T06:14:53Z</dcterms:created>
  <dcterms:modified xsi:type="dcterms:W3CDTF">2026-06-24T12:40:18Z</dcterms:modified>
  <cp:category/>
  <cp:contentStatus/>
</cp:coreProperties>
</file>