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charts/chartEx1.xml" ContentType="application/vnd.ms-office.chartex+xml"/>
  <Override PartName="/xl/charts/colors10.xml" ContentType="application/vnd.ms-office.chartcolorstyle+xml"/>
  <Override PartName="/xl/charts/style10.xml" ContentType="application/vnd.ms-office.chart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d.docs.live.net/d16196e134b82b54/MALGUDI ASSOCIATES/MARKETING AND SALES/"/>
    </mc:Choice>
  </mc:AlternateContent>
  <xr:revisionPtr revIDLastSave="16127" documentId="11_A91C012CED32B7F7573F4E4701B9C602B5F9910E" xr6:coauthVersionLast="47" xr6:coauthVersionMax="47" xr10:uidLastSave="{9097B6DE-399D-421B-A155-16AB7C3F55C1}"/>
  <bookViews>
    <workbookView xWindow="1230" yWindow="2025" windowWidth="27570" windowHeight="14175" firstSheet="1" activeTab="1" xr2:uid="{00000000-000D-0000-FFFF-FFFF00000000}"/>
  </bookViews>
  <sheets>
    <sheet name="Dashboard" sheetId="2" r:id="rId1"/>
    <sheet name="Lead Tracker" sheetId="1" r:id="rId2"/>
    <sheet name="DATA SHEET" sheetId="4" r:id="rId3"/>
    <sheet name="Sheet1" sheetId="5" r:id="rId4"/>
  </sheets>
  <definedNames>
    <definedName name="_xlchart.v5.0" hidden="1">'DATA SHEET'!$C$2</definedName>
    <definedName name="_xlchart.v5.1" hidden="1">'DATA SHEET'!$C$3:$C$32</definedName>
    <definedName name="_xlchart.v5.2" hidden="1">'DATA SHEET'!$D$2</definedName>
    <definedName name="_xlchart.v5.3" hidden="1">'DATA SHEET'!$D$3:$D$32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89" i="1" l="1"/>
  <c r="A790" i="1"/>
  <c r="A782" i="1"/>
  <c r="A781" i="1"/>
  <c r="A784" i="1"/>
  <c r="A785" i="1"/>
  <c r="A774" i="1"/>
  <c r="A779" i="1"/>
  <c r="A780" i="1"/>
  <c r="A788" i="1"/>
  <c r="A735" i="1"/>
  <c r="A734" i="1"/>
  <c r="A733" i="1"/>
  <c r="A729" i="1"/>
  <c r="A730" i="1"/>
  <c r="A713" i="1"/>
  <c r="A712" i="1"/>
  <c r="A708" i="1"/>
  <c r="A709" i="1"/>
  <c r="A700" i="1"/>
  <c r="A695" i="1"/>
  <c r="A681" i="1"/>
  <c r="A677" i="1"/>
  <c r="A675" i="1"/>
  <c r="A676" i="1"/>
  <c r="A661" i="1"/>
  <c r="A660" i="1"/>
  <c r="A654" i="1"/>
  <c r="A653" i="1"/>
  <c r="A638" i="1"/>
  <c r="A693" i="1"/>
  <c r="A787" i="1"/>
  <c r="A786" i="1"/>
  <c r="A783" i="1"/>
  <c r="A773" i="1"/>
  <c r="A775" i="1"/>
  <c r="A772" i="1"/>
  <c r="A771" i="1"/>
  <c r="A770" i="1"/>
  <c r="A769" i="1"/>
  <c r="A760" i="1"/>
  <c r="A762" i="1"/>
  <c r="A759" i="1"/>
  <c r="A758" i="1"/>
  <c r="A756" i="1"/>
  <c r="A755" i="1"/>
  <c r="A757" i="1"/>
  <c r="A752" i="1"/>
  <c r="A753" i="1"/>
  <c r="A746" i="1"/>
  <c r="A747" i="1"/>
  <c r="A748" i="1"/>
  <c r="A749" i="1"/>
  <c r="A750" i="1"/>
  <c r="A751" i="1"/>
  <c r="A778" i="1"/>
  <c r="A777" i="1"/>
  <c r="A776" i="1"/>
  <c r="A768" i="1"/>
  <c r="A767" i="1"/>
  <c r="A764" i="1"/>
  <c r="A765" i="1"/>
  <c r="A766" i="1"/>
  <c r="A763" i="1"/>
  <c r="A761" i="1"/>
  <c r="A754" i="1"/>
  <c r="A500" i="1"/>
  <c r="A689" i="1"/>
  <c r="A703" i="1"/>
  <c r="A745" i="1"/>
  <c r="A744" i="1"/>
  <c r="A743" i="1"/>
  <c r="A742" i="1"/>
  <c r="A741" i="1"/>
  <c r="A740" i="1"/>
  <c r="A739" i="1"/>
  <c r="A732" i="1"/>
  <c r="A723" i="1"/>
  <c r="A722" i="1"/>
  <c r="A721" i="1"/>
  <c r="A718" i="1"/>
  <c r="A717" i="1"/>
  <c r="A716" i="1"/>
  <c r="A715" i="1"/>
  <c r="A714" i="1"/>
  <c r="A711" i="1"/>
  <c r="A710" i="1"/>
  <c r="A738" i="1"/>
  <c r="A737" i="1"/>
  <c r="A736" i="1"/>
  <c r="A719" i="1"/>
  <c r="A707" i="1"/>
  <c r="A706" i="1"/>
  <c r="A699" i="1"/>
  <c r="A698" i="1"/>
  <c r="A697" i="1"/>
  <c r="A694" i="1"/>
  <c r="A688" i="1"/>
  <c r="A687" i="1"/>
  <c r="A686" i="1"/>
  <c r="A683" i="1"/>
  <c r="A685" i="1"/>
  <c r="A682" i="1"/>
  <c r="A680" i="1"/>
  <c r="A679" i="1"/>
  <c r="A731" i="1"/>
  <c r="A728" i="1"/>
  <c r="A671" i="1"/>
  <c r="A670" i="1"/>
  <c r="A669" i="1"/>
  <c r="A727" i="1"/>
  <c r="A726" i="1"/>
  <c r="A725" i="1"/>
  <c r="A724" i="1"/>
  <c r="A720" i="1"/>
  <c r="A705" i="1"/>
  <c r="A704" i="1"/>
  <c r="A702" i="1"/>
  <c r="A701" i="1"/>
  <c r="A696" i="1"/>
  <c r="A692" i="1"/>
  <c r="A691" i="1"/>
  <c r="A690" i="1"/>
  <c r="A684" i="1"/>
  <c r="A678" i="1"/>
  <c r="A674" i="1"/>
  <c r="A673" i="1"/>
  <c r="A672" i="1"/>
  <c r="A664" i="1"/>
  <c r="A665" i="1"/>
  <c r="A666" i="1"/>
  <c r="A667" i="1"/>
  <c r="A668" i="1"/>
  <c r="A663" i="1"/>
  <c r="A662" i="1"/>
  <c r="A658" i="1"/>
  <c r="A652" i="1"/>
  <c r="A655" i="1"/>
  <c r="A657" i="1"/>
  <c r="A651" i="1"/>
  <c r="A650" i="1"/>
  <c r="A649" i="1"/>
  <c r="A648" i="1"/>
  <c r="A647" i="1"/>
  <c r="A646" i="1"/>
  <c r="A659" i="1"/>
  <c r="A656" i="1"/>
  <c r="A645" i="1"/>
  <c r="A644" i="1"/>
  <c r="A643" i="1"/>
  <c r="A642" i="1"/>
  <c r="A641" i="1"/>
  <c r="A640" i="1"/>
  <c r="A639" i="1"/>
  <c r="A626" i="1"/>
  <c r="A625" i="1"/>
  <c r="A637" i="1"/>
  <c r="A635" i="1"/>
  <c r="A636" i="1"/>
  <c r="A634" i="1"/>
  <c r="A633" i="1"/>
  <c r="A629" i="1"/>
  <c r="A630" i="1"/>
  <c r="A631" i="1"/>
  <c r="A632" i="1"/>
  <c r="A624" i="1"/>
  <c r="A627" i="1"/>
  <c r="A628" i="1"/>
  <c r="A623" i="1"/>
  <c r="A619" i="1"/>
  <c r="A620" i="1"/>
  <c r="A621" i="1"/>
  <c r="A622" i="1"/>
  <c r="A614" i="1"/>
  <c r="A615" i="1"/>
  <c r="A616" i="1"/>
  <c r="A617" i="1"/>
  <c r="A618" i="1"/>
  <c r="A611" i="1"/>
  <c r="A612" i="1"/>
  <c r="A613" i="1"/>
  <c r="A609" i="1"/>
  <c r="A610" i="1"/>
  <c r="A597" i="1"/>
  <c r="A596" i="1"/>
  <c r="A595" i="1"/>
  <c r="A593" i="1"/>
  <c r="A594" i="1"/>
  <c r="A592" i="1"/>
  <c r="A591" i="1"/>
  <c r="A608" i="1"/>
  <c r="A607" i="1"/>
  <c r="A605" i="1"/>
  <c r="A606" i="1"/>
  <c r="A604" i="1"/>
  <c r="A601" i="1"/>
  <c r="A602" i="1"/>
  <c r="A603" i="1"/>
  <c r="A600" i="1"/>
  <c r="A599" i="1"/>
  <c r="A578" i="1"/>
  <c r="A579" i="1"/>
  <c r="A580" i="1"/>
  <c r="A533" i="1"/>
  <c r="A532" i="1"/>
  <c r="A531" i="1"/>
  <c r="A517" i="1"/>
  <c r="A518" i="1"/>
  <c r="A598" i="1"/>
  <c r="A590" i="1"/>
  <c r="A589" i="1"/>
  <c r="A588" i="1"/>
  <c r="A587" i="1"/>
  <c r="A586" i="1"/>
  <c r="A585" i="1"/>
  <c r="A584" i="1"/>
  <c r="A583" i="1"/>
  <c r="A582" i="1"/>
  <c r="A577" i="1"/>
  <c r="A581" i="1"/>
  <c r="A576" i="1"/>
  <c r="A575" i="1"/>
  <c r="A574" i="1"/>
  <c r="A566" i="1"/>
  <c r="A567" i="1"/>
  <c r="A568" i="1"/>
  <c r="A569" i="1"/>
  <c r="A570" i="1"/>
  <c r="A571" i="1"/>
  <c r="A572" i="1"/>
  <c r="A573" i="1"/>
  <c r="A565" i="1"/>
  <c r="A559" i="1"/>
  <c r="A560" i="1"/>
  <c r="A561" i="1"/>
  <c r="A562" i="1"/>
  <c r="A563" i="1"/>
  <c r="A564" i="1"/>
  <c r="A558" i="1"/>
  <c r="A557" i="1"/>
  <c r="A552" i="1"/>
  <c r="A553" i="1"/>
  <c r="A554" i="1"/>
  <c r="A555" i="1"/>
  <c r="A556" i="1"/>
  <c r="A551" i="1"/>
  <c r="A545" i="1"/>
  <c r="A546" i="1"/>
  <c r="A547" i="1"/>
  <c r="A548" i="1"/>
  <c r="A549" i="1"/>
  <c r="A550" i="1"/>
  <c r="A535" i="1"/>
  <c r="A536" i="1"/>
  <c r="A537" i="1"/>
  <c r="A538" i="1"/>
  <c r="A539" i="1"/>
  <c r="A540" i="1"/>
  <c r="A541" i="1"/>
  <c r="A542" i="1"/>
  <c r="A543" i="1"/>
  <c r="A544" i="1"/>
  <c r="A534" i="1"/>
  <c r="A530" i="1"/>
  <c r="A525" i="1"/>
  <c r="A526" i="1"/>
  <c r="A527" i="1"/>
  <c r="A528" i="1"/>
  <c r="A529" i="1"/>
  <c r="A524" i="1"/>
  <c r="A522" i="1"/>
  <c r="A523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9" i="1"/>
  <c r="A520" i="1"/>
  <c r="A521" i="1"/>
  <c r="H6" i="4"/>
  <c r="W2" i="2"/>
  <c r="L17" i="4"/>
  <c r="F4" i="2" s="1"/>
  <c r="L12" i="4"/>
  <c r="E4" i="2" s="1"/>
  <c r="L13" i="4"/>
  <c r="L4" i="2" s="1"/>
  <c r="L22" i="4"/>
  <c r="L23" i="4"/>
  <c r="L24" i="4"/>
  <c r="L25" i="4"/>
  <c r="L26" i="4"/>
  <c r="L27" i="4"/>
  <c r="L28" i="4"/>
  <c r="L29" i="4"/>
  <c r="L30" i="4"/>
  <c r="L31" i="4"/>
  <c r="L32" i="4"/>
  <c r="L33" i="4"/>
  <c r="L21" i="4"/>
  <c r="H11" i="4"/>
  <c r="N4" i="2" s="1"/>
  <c r="L11" i="4"/>
  <c r="D4" i="2" s="1"/>
  <c r="S4" i="4"/>
  <c r="S5" i="4"/>
  <c r="S6" i="4"/>
  <c r="T6" i="4"/>
  <c r="S7" i="4"/>
  <c r="T7" i="4"/>
  <c r="S8" i="4"/>
  <c r="T8" i="4"/>
  <c r="S9" i="4"/>
  <c r="T9" i="4"/>
  <c r="S10" i="4"/>
  <c r="T10" i="4"/>
  <c r="S11" i="4"/>
  <c r="T11" i="4"/>
  <c r="S12" i="4"/>
  <c r="T12" i="4"/>
  <c r="S13" i="4"/>
  <c r="T13" i="4"/>
  <c r="S14" i="4"/>
  <c r="T14" i="4"/>
  <c r="S15" i="4"/>
  <c r="T15" i="4"/>
  <c r="O4" i="4"/>
  <c r="P4" i="4"/>
  <c r="O5" i="4"/>
  <c r="P5" i="4"/>
  <c r="O6" i="4"/>
  <c r="P6" i="4"/>
  <c r="O7" i="4"/>
  <c r="P7" i="4"/>
  <c r="O8" i="4"/>
  <c r="P8" i="4"/>
  <c r="O9" i="4"/>
  <c r="P9" i="4"/>
  <c r="O10" i="4"/>
  <c r="P10" i="4"/>
  <c r="P90" i="1"/>
  <c r="L15" i="4" s="1"/>
  <c r="I4" i="2" s="1"/>
  <c r="H17" i="4"/>
  <c r="H15" i="4"/>
  <c r="H16" i="4"/>
  <c r="H18" i="4"/>
  <c r="H7" i="4"/>
  <c r="H8" i="4"/>
  <c r="L7" i="4"/>
  <c r="L6" i="4"/>
  <c r="L5" i="4"/>
  <c r="L4" i="4"/>
  <c r="L3" i="4"/>
  <c r="H19" i="4"/>
  <c r="H27" i="4"/>
  <c r="H28" i="4"/>
  <c r="H29" i="4"/>
  <c r="H30" i="4"/>
  <c r="H31" i="4"/>
  <c r="H32" i="4"/>
  <c r="H33" i="4"/>
  <c r="H26" i="4"/>
  <c r="H12" i="4"/>
  <c r="H13" i="4"/>
  <c r="H14" i="4"/>
  <c r="L16" i="4" l="1"/>
  <c r="K4" i="2" s="1"/>
  <c r="L14" i="4" l="1"/>
  <c r="H4" i="2" s="1"/>
  <c r="D32" i="4" l="1"/>
  <c r="D19" i="4"/>
  <c r="H4" i="4" l="1"/>
  <c r="H5" i="4"/>
  <c r="H3" i="4"/>
  <c r="D3" i="4"/>
  <c r="D31" i="4"/>
  <c r="D30" i="4"/>
  <c r="D29" i="4"/>
  <c r="D28" i="4"/>
  <c r="D27" i="4"/>
  <c r="D26" i="4"/>
  <c r="D25" i="4"/>
  <c r="D24" i="4"/>
  <c r="D23" i="4"/>
  <c r="D22" i="4"/>
  <c r="D21" i="4"/>
  <c r="D20" i="4"/>
  <c r="D18" i="4"/>
  <c r="D17" i="4"/>
  <c r="D14" i="4"/>
  <c r="D12" i="4"/>
  <c r="D11" i="4"/>
  <c r="D10" i="4"/>
  <c r="D8" i="4"/>
  <c r="D7" i="4"/>
  <c r="D5" i="4"/>
  <c r="D6" i="4"/>
  <c r="D9" i="4"/>
  <c r="D15" i="4"/>
  <c r="D13" i="4"/>
  <c r="D16" i="4"/>
  <c r="D4" i="4"/>
  <c r="D33" i="4" l="1"/>
  <c r="B4" i="2" s="1"/>
</calcChain>
</file>

<file path=xl/sharedStrings.xml><?xml version="1.0" encoding="utf-8"?>
<sst xmlns="http://schemas.openxmlformats.org/spreadsheetml/2006/main" count="8072" uniqueCount="3093">
  <si>
    <t>SALES DEPARTMENT</t>
  </si>
  <si>
    <t>TOTAL NO LEADS</t>
  </si>
  <si>
    <t>TODAY</t>
  </si>
  <si>
    <t>YESTURDAY</t>
  </si>
  <si>
    <t>DAY BRFORE</t>
  </si>
  <si>
    <t>TOTAL VALUE:</t>
  </si>
  <si>
    <t>PO RECEIVED</t>
  </si>
  <si>
    <t>YEAR</t>
  </si>
  <si>
    <t>MONTH</t>
  </si>
  <si>
    <t>NEW LEADS</t>
  </si>
  <si>
    <t>Sr no</t>
  </si>
  <si>
    <t>Date</t>
  </si>
  <si>
    <t>Company Name</t>
  </si>
  <si>
    <t>Location</t>
  </si>
  <si>
    <t>States</t>
  </si>
  <si>
    <t>Product Type</t>
  </si>
  <si>
    <t>Capacity / Specs</t>
  </si>
  <si>
    <t>Phone</t>
  </si>
  <si>
    <t>Email</t>
  </si>
  <si>
    <t>Inquiry Status</t>
  </si>
  <si>
    <t>Contact Person</t>
  </si>
  <si>
    <t>Lead Source</t>
  </si>
  <si>
    <t>Lead Owner</t>
  </si>
  <si>
    <t>Quotation No</t>
  </si>
  <si>
    <t>Quotation Date</t>
  </si>
  <si>
    <t>Expected Order Value</t>
  </si>
  <si>
    <t xml:space="preserve">Quotation Status  </t>
  </si>
  <si>
    <t>Order loss Analysis</t>
  </si>
  <si>
    <t>Remarks</t>
  </si>
  <si>
    <t>BAHRAIN WORKSHOP COMPANY</t>
  </si>
  <si>
    <t xml:space="preserve">Kingdom of Bahrain </t>
  </si>
  <si>
    <t>International</t>
  </si>
  <si>
    <t>EOT Crane</t>
  </si>
  <si>
    <t xml:space="preserve">SG EOT Crane of 1MT Capacity </t>
  </si>
  <si>
    <t>QUOTATION REQ.</t>
  </si>
  <si>
    <t>Ganesh Kelkar</t>
  </si>
  <si>
    <t>EXISTING CUS.</t>
  </si>
  <si>
    <t>RAVI</t>
  </si>
  <si>
    <t>Discussion Ongoing</t>
  </si>
  <si>
    <t>PINNACLE MOBILITY SOLUTIONS</t>
  </si>
  <si>
    <t>CHAKAN</t>
  </si>
  <si>
    <t>Maharashtra</t>
  </si>
  <si>
    <t>Others</t>
  </si>
  <si>
    <t>Supply of Man Lifter</t>
  </si>
  <si>
    <t>Lakshya malhotra</t>
  </si>
  <si>
    <t>ATHARVA ENTERPRISES</t>
  </si>
  <si>
    <t>Pune</t>
  </si>
  <si>
    <t>Monorail</t>
  </si>
  <si>
    <t>Monorail System of 125KG Capacity</t>
  </si>
  <si>
    <t xml:space="preserve"> &lt;atharvaenterprises9999@gmail.com&gt;</t>
  </si>
  <si>
    <t>Rakesh sir</t>
  </si>
  <si>
    <t>IN PROGRESS</t>
  </si>
  <si>
    <t>Batliboi ltd,</t>
  </si>
  <si>
    <t>S/G EOT crane of 3MT</t>
  </si>
  <si>
    <t>MAIL</t>
  </si>
  <si>
    <t>VIKRAM</t>
  </si>
  <si>
    <t>Indo farm Equipments Pvt Ltd</t>
  </si>
  <si>
    <t xml:space="preserve">Solan </t>
  </si>
  <si>
    <t>Madhya Pradesh</t>
  </si>
  <si>
    <t>Supply of SG EOT of 2T 3T 15T</t>
  </si>
  <si>
    <t>shokenderchhillar@indofarm.in</t>
  </si>
  <si>
    <t>sondeep lohan</t>
  </si>
  <si>
    <t>SG01SV</t>
  </si>
  <si>
    <t>SMH Rail India Pvt Ltd</t>
  </si>
  <si>
    <t>Hydrabad</t>
  </si>
  <si>
    <t>Telangana</t>
  </si>
  <si>
    <t>Supply of SG EOT of10T</t>
  </si>
  <si>
    <t>srikanth@shmrail.com.my</t>
  </si>
  <si>
    <t>srikanth</t>
  </si>
  <si>
    <t>VIVEK</t>
  </si>
  <si>
    <t>Perfect Engineering</t>
  </si>
  <si>
    <t>Hoist</t>
  </si>
  <si>
    <t>Electric Wire Rope Hoist</t>
  </si>
  <si>
    <t>mk7276164@gmail.com</t>
  </si>
  <si>
    <t>WIN</t>
  </si>
  <si>
    <t>Maaz Sir</t>
  </si>
  <si>
    <t>INDIAMART</t>
  </si>
  <si>
    <t>SAKSHI</t>
  </si>
  <si>
    <t>PO Received</t>
  </si>
  <si>
    <t>A</t>
  </si>
  <si>
    <t>Jib Crane</t>
  </si>
  <si>
    <t>FAKE</t>
  </si>
  <si>
    <t>DNYANESHVAR UTTAM DIXIT</t>
  </si>
  <si>
    <t>Dwarkesh Engineering Works India</t>
  </si>
  <si>
    <t>Gujarat</t>
  </si>
  <si>
    <t>dewaircompressor@gmail.com</t>
  </si>
  <si>
    <t>CONTACTED</t>
  </si>
  <si>
    <t>sanjay patel</t>
  </si>
  <si>
    <t>Bazaar Hai</t>
  </si>
  <si>
    <t>Jharkhand</t>
  </si>
  <si>
    <t>Gantry Crane</t>
  </si>
  <si>
    <t>Jay Shankar</t>
  </si>
  <si>
    <t>IB Packaging</t>
  </si>
  <si>
    <t>electric chain hoists</t>
  </si>
  <si>
    <t>stores@ibpackaging.com</t>
  </si>
  <si>
    <t>PRAVIN PARMAR</t>
  </si>
  <si>
    <t>Jignesh</t>
  </si>
  <si>
    <t>MUMBAI</t>
  </si>
  <si>
    <t>jigneshkabani@gmail.com</t>
  </si>
  <si>
    <t>LOST</t>
  </si>
  <si>
    <t>Jignaesh</t>
  </si>
  <si>
    <t xml:space="preserve">TRADEINDIA </t>
  </si>
  <si>
    <t>BHASKAR INDUSTRIES</t>
  </si>
  <si>
    <t>bhaskarindustries21@gmail.com</t>
  </si>
  <si>
    <t>Vivek B Boritkar</t>
  </si>
  <si>
    <t>Arcelor Mittal Nippon Steel India</t>
  </si>
  <si>
    <t>Kanti</t>
  </si>
  <si>
    <t>Eot cranes</t>
  </si>
  <si>
    <t>sahuabhishekkumar022@gmail.com</t>
  </si>
  <si>
    <t>Abhi Sahu</t>
  </si>
  <si>
    <t>Psr enterprise</t>
  </si>
  <si>
    <t>Hyderabad</t>
  </si>
  <si>
    <t>Electric wire rope hoist</t>
  </si>
  <si>
    <t>srikanthreddy9926@gmail.com</t>
  </si>
  <si>
    <t>Shrikant reddy</t>
  </si>
  <si>
    <t>Advance Tooling Solution</t>
  </si>
  <si>
    <t>Wagholi</t>
  </si>
  <si>
    <t>LCS</t>
  </si>
  <si>
    <t xml:space="preserve">500kg LCS System with Support structure </t>
  </si>
  <si>
    <t>8446050108/9881207098</t>
  </si>
  <si>
    <t>raut.shailendra@gmail.com</t>
  </si>
  <si>
    <t>Shailendra raut</t>
  </si>
  <si>
    <t>REFRENCE</t>
  </si>
  <si>
    <t>LCS01SV</t>
  </si>
  <si>
    <t>In Progress</t>
  </si>
  <si>
    <t>Karjat, Maharashtra, India</t>
  </si>
  <si>
    <t>Electric Hoist</t>
  </si>
  <si>
    <t>sonujohare25@gmail.com</t>
  </si>
  <si>
    <t>Ganesh Johare</t>
  </si>
  <si>
    <t>THE SECRET WONDERS</t>
  </si>
  <si>
    <t>Karur, Tamil Nadu, India</t>
  </si>
  <si>
    <t>Tamil Nadu</t>
  </si>
  <si>
    <t>Portable Gantry Cranes</t>
  </si>
  <si>
    <t>kameshsaravanan07@gmail.com</t>
  </si>
  <si>
    <t>Kamesh</t>
  </si>
  <si>
    <t>Jai Bharat Roadways Corporation</t>
  </si>
  <si>
    <t>1st Floor, Office No 111, Prestige Chamber, Kalyan Street, Carnac Bunder, Masjid Bunder, Mumbai, Maharashtra, India</t>
  </si>
  <si>
    <t>gautam.4@hotmail.com</t>
  </si>
  <si>
    <t>Pooja Jagdish Soni</t>
  </si>
  <si>
    <t>Vrushali Panels &amp; Electricals</t>
  </si>
  <si>
    <t>Varve Bk Pune</t>
  </si>
  <si>
    <t>2MT Jib crane floor mounted</t>
  </si>
  <si>
    <t>8660418059/9270726073</t>
  </si>
  <si>
    <t>vrushalipanels@outlook.com</t>
  </si>
  <si>
    <t xml:space="preserve">Vrushali </t>
  </si>
  <si>
    <t>Closed</t>
  </si>
  <si>
    <t>SPM Metals</t>
  </si>
  <si>
    <t>No.150, Mariamman Kovil Street, Tiruppur, Tamil Nadu, India</t>
  </si>
  <si>
    <t>Industrial Floor Crane</t>
  </si>
  <si>
    <t>guru.june10@gmail.com</t>
  </si>
  <si>
    <t>Muthu Kumar Guruprasath</t>
  </si>
  <si>
    <t>SJM Enterprises</t>
  </si>
  <si>
    <t>Survey No 2/15, Electricity No.215, Pillaganahalli Village, Uttarahalli Hobli, Bengaluru, Karnataka, India</t>
  </si>
  <si>
    <t>mjsenterprises18@yahoo.com</t>
  </si>
  <si>
    <t>Shuiab Ahmed</t>
  </si>
  <si>
    <t>Titus  engineering</t>
  </si>
  <si>
    <t>Bharuch, Gujarat, India</t>
  </si>
  <si>
    <t>Electrical Wire Rope Hoist</t>
  </si>
  <si>
    <t>montumoyal957@gmail.com</t>
  </si>
  <si>
    <t>Montu Moyal</t>
  </si>
  <si>
    <t>Belagavi, Karnataka, India</t>
  </si>
  <si>
    <t>Electric Wire Rope Hoist 1000kg</t>
  </si>
  <si>
    <t>lohar</t>
  </si>
  <si>
    <t>Shri Durga Oil Mill Kichha</t>
  </si>
  <si>
    <t>Rudrapur Road  Near Fci Godown Kichha  Udham Singh Nagar, Rudrapur, Uttarakhand, India</t>
  </si>
  <si>
    <t>Uttarakhand</t>
  </si>
  <si>
    <t>Industrial Cranes, 35 Ton</t>
  </si>
  <si>
    <t>shridurgaoilmills@gmail.com</t>
  </si>
  <si>
    <t>Abhinav Goyal</t>
  </si>
  <si>
    <t>Sapco Brews India Private Limited</t>
  </si>
  <si>
    <t>UGF -19 Ozone Center  Sector 12, Faridabad, Haryana, India</t>
  </si>
  <si>
    <t>Haryana</t>
  </si>
  <si>
    <t>Double Girder EOT Cranes</t>
  </si>
  <si>
    <t>sapcobrews@gmail.com</t>
  </si>
  <si>
    <t>Shirish Pandey</t>
  </si>
  <si>
    <t>Labtech Analytical Solutions</t>
  </si>
  <si>
    <t>Mumbai, Maharashtra, India</t>
  </si>
  <si>
    <t>Trolley Hoists</t>
  </si>
  <si>
    <t>dinesh.verma607@gmail.com</t>
  </si>
  <si>
    <t>dinesh verma</t>
  </si>
  <si>
    <t>Varma Printing Press</t>
  </si>
  <si>
    <t>Shivaji Road, Parbhani, Maharashtra, India</t>
  </si>
  <si>
    <t>Industrial Double Girder EOT Crane</t>
  </si>
  <si>
    <t>varmapress@gmail.com</t>
  </si>
  <si>
    <t>kedar verma</t>
  </si>
  <si>
    <t>Perfect Auto Body Builders</t>
  </si>
  <si>
    <t>K-7, Opposite Chakan Oil Mil M.I.D.C Kupwad, Sangli, Maharashtra, India</t>
  </si>
  <si>
    <t>End Carriage System, Capacity: 2-50 Ton</t>
  </si>
  <si>
    <t>perfect_autobody@yahoo.co.in</t>
  </si>
  <si>
    <t>Yunus Beg</t>
  </si>
  <si>
    <t>Kalinga Nagar Industrial Area, Odisha, India</t>
  </si>
  <si>
    <t>Odisha</t>
  </si>
  <si>
    <t>bijaykumarsethy19@gmail.com</t>
  </si>
  <si>
    <t>Bijay Kumar Sethy</t>
  </si>
  <si>
    <t>Unicast Alloys Private Limited</t>
  </si>
  <si>
    <t>Flat 104, C-Block,  Avinashi Road, Coimbatore, Tamil Nadu, India</t>
  </si>
  <si>
    <t>End Carriage</t>
  </si>
  <si>
    <t>vasudevan@unitedgroupcompanies.com</t>
  </si>
  <si>
    <t>Vasudevan</t>
  </si>
  <si>
    <t>PMAC</t>
  </si>
  <si>
    <t>Chengalpattu, Tamil Nadu, India</t>
  </si>
  <si>
    <t>Manipulator</t>
  </si>
  <si>
    <t>Industrial Manipulators</t>
  </si>
  <si>
    <t>THANISH KUMAR R R</t>
  </si>
  <si>
    <t>Atrico Tools Shop</t>
  </si>
  <si>
    <t>Greater Noida, Uttar Pradesh, India</t>
  </si>
  <si>
    <t>Uttar Pradesh</t>
  </si>
  <si>
    <t>Single Girder EOT Cranes, 5-10 Ton</t>
  </si>
  <si>
    <t>attrico.sales4@gmail.com</t>
  </si>
  <si>
    <t>Nidhi Bhati</t>
  </si>
  <si>
    <t>J P Traders</t>
  </si>
  <si>
    <t>GALA NO 04,MARKET YARD ROAD, GULAB APPARTMENT, NEAR PARKALE BANGLOW,BARAMATI Shop No. I- 11, Phase 2,,411009,Baramati, Baramati, Maharashtra, India</t>
  </si>
  <si>
    <t>Electric Chain Hoist</t>
  </si>
  <si>
    <t>narayanpote000@gmail.com</t>
  </si>
  <si>
    <t>Pote Narayan</t>
  </si>
  <si>
    <t>JAN-HT005SV</t>
  </si>
  <si>
    <t>Gandhinagar, Gujarat, India</t>
  </si>
  <si>
    <t>Wire Rope Hoists</t>
  </si>
  <si>
    <t>Mukesh Kumar</t>
  </si>
  <si>
    <t>Pedvak Cranes Pvt. Ltd</t>
  </si>
  <si>
    <t>purchase@pedvak.com</t>
  </si>
  <si>
    <t>s siva Prasada rao</t>
  </si>
  <si>
    <t>GK Service</t>
  </si>
  <si>
    <t>111a Agraharam Street Vengankudi Village Mannachanallur Taluk, Tiruchirappalli, Tamil Nadu, India</t>
  </si>
  <si>
    <t> Jib Cranes</t>
  </si>
  <si>
    <t>georgewashington580@gmail.com</t>
  </si>
  <si>
    <t>George Washington</t>
  </si>
  <si>
    <t>Advanced Bolting solutions</t>
  </si>
  <si>
    <t>Portable Crane</t>
  </si>
  <si>
    <t>dhananjay.warane@absgroup.in</t>
  </si>
  <si>
    <t>Dhananjay Warane</t>
  </si>
  <si>
    <t>SILICA INFRA PROJECT</t>
  </si>
  <si>
    <t>New Delhi, Delhi, India</t>
  </si>
  <si>
    <t>10 Ton Portal Gantry Crane</t>
  </si>
  <si>
    <t>nisha@silicagroup.co.in</t>
  </si>
  <si>
    <t>NISHA RAJPUT</t>
  </si>
  <si>
    <t>Srikar Biotech Private Limited</t>
  </si>
  <si>
    <t>Nacharam, Secunderabad, Telangana, India</t>
  </si>
  <si>
    <t>support@srikargroup.com</t>
  </si>
  <si>
    <t>sanjay</t>
  </si>
  <si>
    <t>Ahmedabad, Gujarat, India</t>
  </si>
  <si>
    <t>Chain Hoist Electric</t>
  </si>
  <si>
    <t>DEV ENGINEERING</t>
  </si>
  <si>
    <t>Jamshedpur, Jharkhand, India</t>
  </si>
  <si>
    <t>3 Ton Single Girder EOT Crane Manf.</t>
  </si>
  <si>
    <t>souravmishra0310@gmail.com</t>
  </si>
  <si>
    <t>Sourav</t>
  </si>
  <si>
    <t>Portable Cranes</t>
  </si>
  <si>
    <t>NOT INTERESTED</t>
  </si>
  <si>
    <t>gopali</t>
  </si>
  <si>
    <t>The Globet Crane Industries</t>
  </si>
  <si>
    <t>Plot No 283, Ground Floor, Pocket - B, DSIDC Sector - 4, Bawana Industrial Area, North West Delhi,, New Delhi, Delhi, India</t>
  </si>
  <si>
    <t>Cranes,</t>
  </si>
  <si>
    <t>neerajgupta20241988@gmail.com</t>
  </si>
  <si>
    <t>Neeraj Gupta</t>
  </si>
  <si>
    <t>Skmd Electrica</t>
  </si>
  <si>
    <t>swamyss280794@gimal.com</t>
  </si>
  <si>
    <t>Rangaswamy s</t>
  </si>
  <si>
    <t>Sangita industries</t>
  </si>
  <si>
    <t>Uran Islampur, Maharashtra, India</t>
  </si>
  <si>
    <t>jib crane</t>
  </si>
  <si>
    <t>abhijeetshinde3303@gmail.com</t>
  </si>
  <si>
    <t>Abhijeet Shinde</t>
  </si>
  <si>
    <t>Poltary</t>
  </si>
  <si>
    <t>Pune, Maharashtra, India</t>
  </si>
  <si>
    <t>Material Handling System</t>
  </si>
  <si>
    <t>ajittambe@yahoo.com</t>
  </si>
  <si>
    <t>ajeet</t>
  </si>
  <si>
    <t>abhishek mobile</t>
  </si>
  <si>
    <t>Hoshangabad, Madhya Pradesh, India</t>
  </si>
  <si>
    <t>X Y Rail System</t>
  </si>
  <si>
    <t>rajkushwahasm@gmail.com</t>
  </si>
  <si>
    <t>NOT RECEIVED</t>
  </si>
  <si>
    <t>Vilas Transcore Limited</t>
  </si>
  <si>
    <t>Vadodara, Gujarat, India</t>
  </si>
  <si>
    <t>Kbk Light Crane System</t>
  </si>
  <si>
    <t>ashishpa23@yahoo.com</t>
  </si>
  <si>
    <t>ashish patel</t>
  </si>
  <si>
    <t>Earth Acquirer Engineering Corporation</t>
  </si>
  <si>
    <t>111,VIHAV SUPRIMES,OPP ISKON HEIGHTS,Vadodara Building No. 207, Manjalpur,390011,Vadodara, Vadodara, Gujarat, India</t>
  </si>
  <si>
    <t>Overhead Crane</t>
  </si>
  <si>
    <t>earthacquirer@gmail.com</t>
  </si>
  <si>
    <t>Himanshu Thakkar</t>
  </si>
  <si>
    <t>AV Cranes</t>
  </si>
  <si>
    <t>Room No. 5, Sunita Niwas, Road No 16, Kisan Nagar No 2, Near Shiv Mandir, Thane, Maharashtra, India</t>
  </si>
  <si>
    <t>Material Handling Systems</t>
  </si>
  <si>
    <t>tulsirao.ob@gmail.com</t>
  </si>
  <si>
    <t>Tulsirao Bhaskarrao Obinindi</t>
  </si>
  <si>
    <t>MAYURESH ENGINEERING</t>
  </si>
  <si>
    <t>Pirangut</t>
  </si>
  <si>
    <t xml:space="preserve">Pneumatic Hoist </t>
  </si>
  <si>
    <t>mayureshengineers.purchase@gmail.com</t>
  </si>
  <si>
    <t>JAN-HT06SV</t>
  </si>
  <si>
    <t>On Hold</t>
  </si>
  <si>
    <t>Siddheshwar Iron And Steel Pvt. Ltd.</t>
  </si>
  <si>
    <t>Plot No.29/2/B, At Post Khed, TQ Norh Solapur, Solapur, Maharashtra, India</t>
  </si>
  <si>
    <t>beskarumar@gmail.com</t>
  </si>
  <si>
    <t>Umar Beskar</t>
  </si>
  <si>
    <t>M. J. Cement Products</t>
  </si>
  <si>
    <t>1223,Salgaon,Jambharmala,Mkg Road,Kudal,Sindhudurg, Kudal, Maharashtra, India</t>
  </si>
  <si>
    <t>Pillar Mounted Jib Crane</t>
  </si>
  <si>
    <t>Himmat Bhimji Patel</t>
  </si>
  <si>
    <t>shree krishna metal work</t>
  </si>
  <si>
    <t>Industrial Gantry Crane Solutions</t>
  </si>
  <si>
    <t>abhay9156273029@gmail.com</t>
  </si>
  <si>
    <t>Abhay</t>
  </si>
  <si>
    <t>Yansefu Inks &amp; Coatings Pvt. Ltd.</t>
  </si>
  <si>
    <t>Alwar, Rajasthan, India</t>
  </si>
  <si>
    <t>Rajasthan</t>
  </si>
  <si>
    <t>mvnn19@gmail.com</t>
  </si>
  <si>
    <t>Vinod Kumar</t>
  </si>
  <si>
    <t>jrctradingworkmate@gmail.com</t>
  </si>
  <si>
    <t>raja</t>
  </si>
  <si>
    <t>Economy Process Solutions Pvt. Ltd</t>
  </si>
  <si>
    <t>khopoli</t>
  </si>
  <si>
    <t>Offer for Supply of CHAIN PULLY BLOCK 5 TON</t>
  </si>
  <si>
    <t>Ratish.Waghmare@economysolutions.in</t>
  </si>
  <si>
    <t>Ratish</t>
  </si>
  <si>
    <t>Jan-OQ01SV</t>
  </si>
  <si>
    <t>Clarification Pending</t>
  </si>
  <si>
    <t>bihar</t>
  </si>
  <si>
    <t>Bihar</t>
  </si>
  <si>
    <t>deepakkumarsah6960@gmail.com</t>
  </si>
  <si>
    <t>deepak kumar</t>
  </si>
  <si>
    <t>pune</t>
  </si>
  <si>
    <t>Balkrishna Suresh Shirke</t>
  </si>
  <si>
    <t>Nagpur</t>
  </si>
  <si>
    <t>light crane system</t>
  </si>
  <si>
    <t>rahulraju.ra2@gmail.com</t>
  </si>
  <si>
    <t>rahul raju</t>
  </si>
  <si>
    <t>ACE COATING INDIA PVT LTD</t>
  </si>
  <si>
    <t xml:space="preserve">Bhosari </t>
  </si>
  <si>
    <t xml:space="preserve">Flame Proof Hoist </t>
  </si>
  <si>
    <t>97306 21899/ 90498 11125‬</t>
  </si>
  <si>
    <t>projects@aceindia.co.in'</t>
  </si>
  <si>
    <t>JAN-HT007SV</t>
  </si>
  <si>
    <t>Quotation Sent</t>
  </si>
  <si>
    <t>mumbai</t>
  </si>
  <si>
    <t>single girder eot cranes'.</t>
  </si>
  <si>
    <t>bhasin_batt@hotmail.com</t>
  </si>
  <si>
    <t>rajeev basin</t>
  </si>
  <si>
    <t>shree motar garage</t>
  </si>
  <si>
    <t>Paranda</t>
  </si>
  <si>
    <t>Single girder eot cranes</t>
  </si>
  <si>
    <t>moneshwarmore7020@gmail.com</t>
  </si>
  <si>
    <t>moneshwar more</t>
  </si>
  <si>
    <t>AEROCOM AUTOMTIVES PVT. LTD</t>
  </si>
  <si>
    <t>kejariwaldinesh@gmail.com</t>
  </si>
  <si>
    <t>DINESH KEJARIWAL</t>
  </si>
  <si>
    <t>KIRLOSKAR PNEUMATICS CO. LTD</t>
  </si>
  <si>
    <t>Jib Crane of 1000KG Capacity</t>
  </si>
  <si>
    <t>99 2242 4143</t>
  </si>
  <si>
    <t>'yogesh.patil@kirloskar.com'</t>
  </si>
  <si>
    <t>Yogesh Patil</t>
  </si>
  <si>
    <t>JAN-HT08SV</t>
  </si>
  <si>
    <t>SMH RAIL INDIA PVT LTD</t>
  </si>
  <si>
    <t xml:space="preserve">JibCrane of 1MT &amp;  2MT Capacity </t>
  </si>
  <si>
    <t>Srikantha</t>
  </si>
  <si>
    <t>JAN-JC05SV</t>
  </si>
  <si>
    <t>ENDO KOGYO INDIA LTD.</t>
  </si>
  <si>
    <t xml:space="preserve">of Jib Crane of 250kg &amp; 500kg Capacity </t>
  </si>
  <si>
    <t>'Akshay Salunkhe' &lt;eki1@endo-india.co.in&gt;</t>
  </si>
  <si>
    <t xml:space="preserve">Akshay </t>
  </si>
  <si>
    <t>JAN-JC06SV</t>
  </si>
  <si>
    <t xml:space="preserve">Datta Electricals </t>
  </si>
  <si>
    <t xml:space="preserve">SG EOT Crane of 10MT Capacity </t>
  </si>
  <si>
    <t>'Datta Electricals' &lt;electricals@dattaenterprises.co.in&gt;</t>
  </si>
  <si>
    <t>Mangalgatti.M.J</t>
  </si>
  <si>
    <t>MALLESH</t>
  </si>
  <si>
    <t>JAN-SG02SV</t>
  </si>
  <si>
    <t>Pooja Enterprises</t>
  </si>
  <si>
    <t>H No 5434 Kolhapur, Kolhapur, Maharashtra, India</t>
  </si>
  <si>
    <t>sankpal143@gmail.com</t>
  </si>
  <si>
    <t>New</t>
  </si>
  <si>
    <t>hero cycles</t>
  </si>
  <si>
    <t>Bageshwar, Uttarakhand, India</t>
  </si>
  <si>
    <t>Pneumatic Manipulator</t>
  </si>
  <si>
    <t>kamalpandey3005@gmail.com</t>
  </si>
  <si>
    <t>Kamal Pandey</t>
  </si>
  <si>
    <t>Gandhidham, Gujarat, India</t>
  </si>
  <si>
    <t>3 Ton Electric Chain Hoist</t>
  </si>
  <si>
    <t>vijaypatel.mech08@gmail.com</t>
  </si>
  <si>
    <t>Vijaypatel</t>
  </si>
  <si>
    <t>Infofil</t>
  </si>
  <si>
    <t>Bharuch</t>
  </si>
  <si>
    <t>nnayal@gmail.com</t>
  </si>
  <si>
    <t>Nirpendra Singh Nayal</t>
  </si>
  <si>
    <t>Perundurai</t>
  </si>
  <si>
    <t>ms electric chain hoist</t>
  </si>
  <si>
    <t>RAMESH NAIK</t>
  </si>
  <si>
    <t>Mit College Of Engineering</t>
  </si>
  <si>
    <t>Industrial Monorail Crane</t>
  </si>
  <si>
    <t>abhijeet.santosh.gawade@gmail.com</t>
  </si>
  <si>
    <t>Abhijeet Santosh Gawade</t>
  </si>
  <si>
    <t>Saharsh Technocrafts</t>
  </si>
  <si>
    <t>295/1/4, Bicholi Hapsi, Bicholi Hapsi Road, Indore, Madhya Pradesh, India</t>
  </si>
  <si>
    <t>mantrisankum@rediffmail.com</t>
  </si>
  <si>
    <t>Sanjay Mantri</t>
  </si>
  <si>
    <t>Siddhivinayak Distributors</t>
  </si>
  <si>
    <t>115,Shop, No Vighnahar, Sankul, Narayangaon, Junnar,, Pune, Maharashtra, India</t>
  </si>
  <si>
    <t>sthorat207@gmail.com</t>
  </si>
  <si>
    <t>Sagar Kerbhau Thorat</t>
  </si>
  <si>
    <t>P. G Conversions</t>
  </si>
  <si>
    <t>Patel Industrial Estate, Building No. 5, Unit No. 110 Gaurai Pada, Vasai, Maharashtra, India</t>
  </si>
  <si>
    <t>pg_conversions@yahoo.com</t>
  </si>
  <si>
    <t>Aashish Goradia</t>
  </si>
  <si>
    <t>Nisha Agarbaati</t>
  </si>
  <si>
    <t>Ahmedabad</t>
  </si>
  <si>
    <t>vikrambhaichaudhary1994@gmail.com</t>
  </si>
  <si>
    <t>Rutvik Chaudhary</t>
  </si>
  <si>
    <t>D Scon Construction Private Limited</t>
  </si>
  <si>
    <t>Eot crane</t>
  </si>
  <si>
    <t>dsconconstruction@gmail.com</t>
  </si>
  <si>
    <t>DIPAK SHIRKE</t>
  </si>
  <si>
    <t>Tirupati</t>
  </si>
  <si>
    <t>Andhra Pradesh</t>
  </si>
  <si>
    <t>Rahman Ali</t>
  </si>
  <si>
    <t>Vertex Automation System Private Limited</t>
  </si>
  <si>
    <t>H-39 Surajpur Industrial Area Site-c Greater Noida  Gautam Buddha Nagar New Delhi, Greater Noida, Uttar Pradesh, India</t>
  </si>
  <si>
    <t>gauravan92@gmail.com</t>
  </si>
  <si>
    <t>Gourav Anand</t>
  </si>
  <si>
    <t>Yogi Enterprises</t>
  </si>
  <si>
    <t>S No 35, Dattawadi, Akurdi, Haveli, Pimpri Chinchwad, Maharashtra, India</t>
  </si>
  <si>
    <t>Portable Gantry Crane</t>
  </si>
  <si>
    <t>sachin</t>
  </si>
  <si>
    <t>Arm welder pvt Ltd</t>
  </si>
  <si>
    <t xml:space="preserve">Manipulator of 400KG Capacity </t>
  </si>
  <si>
    <t>'Swapnil Kashid' &lt;automation.bo@armwelders.com&gt;</t>
  </si>
  <si>
    <t xml:space="preserve">Swapnil Kashid </t>
  </si>
  <si>
    <t>Jan-MN01SV</t>
  </si>
  <si>
    <t>within 2-3days 23-01</t>
  </si>
  <si>
    <t>WIPRO PARI</t>
  </si>
  <si>
    <t>VILLAGE DHANGARWADI</t>
  </si>
  <si>
    <t>Jib Crane of 500kg 1T &amp; 5T</t>
  </si>
  <si>
    <t>e' &lt;vishwajeet.b@wipropari.com&gt;</t>
  </si>
  <si>
    <t>'Vishwajeet V. Bodagir</t>
  </si>
  <si>
    <t>JAN-JC08SV</t>
  </si>
  <si>
    <t>SGP ELECTROPNEUMATICS</t>
  </si>
  <si>
    <t>'sales@gpe.net.in'</t>
  </si>
  <si>
    <t>Kiran</t>
  </si>
  <si>
    <t>JAN-JC09SV</t>
  </si>
  <si>
    <t>need tackle</t>
  </si>
  <si>
    <t>PARC ROBOTICS SYSTEM PVT LTD</t>
  </si>
  <si>
    <t>CHAKAN PUNE</t>
  </si>
  <si>
    <t>Electric chain Hoist of 250kg</t>
  </si>
  <si>
    <t>'parcpurchase@parcrobotics.in'</t>
  </si>
  <si>
    <t>dnynesh</t>
  </si>
  <si>
    <t>Jan-JC09SV</t>
  </si>
  <si>
    <t>MR Nirmal Industries</t>
  </si>
  <si>
    <t>S no B 21,HNO 4060,Ramchandra nagar,Dhanakawadi Kolewadi Road, Jambhulwadi Lake, Jambhulwadi,411043,Pune, Pune, Maharashtra, India</t>
  </si>
  <si>
    <t>Electric Floor Cranes, 5 Ton</t>
  </si>
  <si>
    <t>sandypoman99@gmail.com</t>
  </si>
  <si>
    <t>Vishal Poman</t>
  </si>
  <si>
    <t>NA</t>
  </si>
  <si>
    <t>KINGDOM OF BAHRAIN</t>
  </si>
  <si>
    <t xml:space="preserve">Design of Support structure of EOT Crane </t>
  </si>
  <si>
    <t>'gk@bwcbah.com'</t>
  </si>
  <si>
    <t xml:space="preserve">Ganesh </t>
  </si>
  <si>
    <t>JAN-OQ008SV</t>
  </si>
  <si>
    <t>RIJ ENGINEERING PVT. LTD. (FORGE DIV.),</t>
  </si>
  <si>
    <t>Chakan</t>
  </si>
  <si>
    <t>Monorail System  </t>
  </si>
  <si>
    <t>'maint.ht@rijeng.in'</t>
  </si>
  <si>
    <t>Dass</t>
  </si>
  <si>
    <t>Dec-MN003SV--RE</t>
  </si>
  <si>
    <t xml:space="preserve">Transfer trolley </t>
  </si>
  <si>
    <t>Ganeshsir</t>
  </si>
  <si>
    <t>Jan-OQ09SV</t>
  </si>
  <si>
    <t>Karnataka</t>
  </si>
  <si>
    <t>laxmichand.raigar43@gmail.com</t>
  </si>
  <si>
    <t>Laxmi Chand Tanwer</t>
  </si>
  <si>
    <t>hazrat baba tajuddin trust</t>
  </si>
  <si>
    <t>Electric Single Girder Eot Crane</t>
  </si>
  <si>
    <t>iqbalveljee@hotmail.com</t>
  </si>
  <si>
    <t>Iqbal Veljee</t>
  </si>
  <si>
    <t>Premier Rolling Shutters</t>
  </si>
  <si>
    <t>Erode</t>
  </si>
  <si>
    <t> EOT Crane</t>
  </si>
  <si>
    <t>babupremiershutters1099@gmail.com</t>
  </si>
  <si>
    <t>Velligiri babu</t>
  </si>
  <si>
    <t>Bellary</t>
  </si>
  <si>
    <t>industrial cranes</t>
  </si>
  <si>
    <t>abdul</t>
  </si>
  <si>
    <t>FOUNDRY EQUIPMENT ENGINEERS</t>
  </si>
  <si>
    <t>Kolhapur - Maharashtra</t>
  </si>
  <si>
    <t>pneumatic manipulator</t>
  </si>
  <si>
    <t>foundryequipment77@gmail.com</t>
  </si>
  <si>
    <t>RAVI CHIRPUTKAR</t>
  </si>
  <si>
    <t>COMPLETED</t>
  </si>
  <si>
    <t>Dhanaprakash Industrial Corporation</t>
  </si>
  <si>
    <t>Pimpri</t>
  </si>
  <si>
    <t>electric wire rope hoist</t>
  </si>
  <si>
    <t>sakshi shinde</t>
  </si>
  <si>
    <t>Aomegaa Tech Fencing Industry</t>
  </si>
  <si>
    <t>D.No.3/35, Sundakapatti, Vadamalampatti, Krishnagiri, Tamil Nadu, India</t>
  </si>
  <si>
    <t>Jib Cranes</t>
  </si>
  <si>
    <t>kirubataniesh114@gmail.com</t>
  </si>
  <si>
    <t>Kirubanandhan</t>
  </si>
  <si>
    <t>Sri Vinayaka Hydraulic</t>
  </si>
  <si>
    <t>Opp Santhi Theatre 120 3 711 P.n.road Sivasakthi Complex Tirupur, Tiruppur, Tamil Nadu, India</t>
  </si>
  <si>
    <t>5 Ton Single Girder Gantry Crane</t>
  </si>
  <si>
    <t>srivinayakahydraulic@gmail.com</t>
  </si>
  <si>
    <t>G Anandaraj</t>
  </si>
  <si>
    <t>Srishti Constructions</t>
  </si>
  <si>
    <t>House No. 39, 2nd Main, Muneshwara Layout, Street Mannarayana Palya, Near Karnataka Housing Quarters, Bengaluru, Karnataka, India</t>
  </si>
  <si>
    <t>C-Rail System</t>
  </si>
  <si>
    <t>sampangiramh@gmail.com</t>
  </si>
  <si>
    <t>Sampangiram Hanumaiah</t>
  </si>
  <si>
    <t>Rajkot, Gujarat, India</t>
  </si>
  <si>
    <t>Material Handling Machines &amp; Systems</t>
  </si>
  <si>
    <t>bhanderivedant057@gmail.com</t>
  </si>
  <si>
    <t>fake</t>
  </si>
  <si>
    <t>Vedant Bhanderi</t>
  </si>
  <si>
    <t>Foundry equipment engineers</t>
  </si>
  <si>
    <t>Industrial Pneumatic Manipulator for Core Material Lifting</t>
  </si>
  <si>
    <t>sagarr.fee@gmail.com</t>
  </si>
  <si>
    <t>Gayatri Sagar</t>
  </si>
  <si>
    <t>TCP 2 Army Cantonment, Faridkot Division, Faridkot, Punjab, India</t>
  </si>
  <si>
    <t>VINOD SINGH</t>
  </si>
  <si>
    <t>PITTI ENGINEERING LTD</t>
  </si>
  <si>
    <t xml:space="preserve">SG EOT Crane of 5MT </t>
  </si>
  <si>
    <t xml:space="preserve"> &lt;manojkumar.m@pitti.in&gt;</t>
  </si>
  <si>
    <t>M. Manoj Kuma</t>
  </si>
  <si>
    <t>Jan-SG06SV</t>
  </si>
  <si>
    <t>TATA AUTOCOMP GOTION GREEN ENERGY SOLUTIONS</t>
  </si>
  <si>
    <t xml:space="preserve">Electric Chain Hoist of 500KG &amp; 1MT Capacity </t>
  </si>
  <si>
    <t>'Kiran Deore (TACO-EV)' &lt;kiran.deore@tacogotion.com&gt;</t>
  </si>
  <si>
    <t xml:space="preserve">Kiran Deore </t>
  </si>
  <si>
    <t>JAN-HT010SV</t>
  </si>
  <si>
    <t>SYSCON TRADING &amp; MECHANICAL SERVICES CO.W.L.L</t>
  </si>
  <si>
    <t xml:space="preserve">Kingdom of Bharain </t>
  </si>
  <si>
    <t>Jib Crane 2MT</t>
  </si>
  <si>
    <t>'crane@syscon.bh'</t>
  </si>
  <si>
    <t>Avadhut Patil</t>
  </si>
  <si>
    <t>Combat Robotics India Pvt Ltd </t>
  </si>
  <si>
    <t>Electric Wire Rope Hoist Of 10MT Capacity</t>
  </si>
  <si>
    <t>'aditya.tahakik@combatrobotics.in'</t>
  </si>
  <si>
    <t>Aditya Tahakik</t>
  </si>
  <si>
    <t>JAN-JC10SV</t>
  </si>
  <si>
    <t>Shubhada Polymers Products Pvt. Ltd.</t>
  </si>
  <si>
    <t>NEW Mumbai</t>
  </si>
  <si>
    <t>'Viru Parab' &lt;viru.parab@shubhadapolymers.com&gt;</t>
  </si>
  <si>
    <t>Viru Parab.</t>
  </si>
  <si>
    <t>JAN-HT05SV</t>
  </si>
  <si>
    <t>VARC INTERNATIONAL PVT LTD</t>
  </si>
  <si>
    <t>Chhatrapati Sambhajinagar</t>
  </si>
  <si>
    <t>Single Girder EOT Crane</t>
  </si>
  <si>
    <t>Anil Thale</t>
  </si>
  <si>
    <t>Monorail Crane</t>
  </si>
  <si>
    <t>user</t>
  </si>
  <si>
    <t>Agriculture</t>
  </si>
  <si>
    <t>Parseoni, Maharashtra, India</t>
  </si>
  <si>
    <t>Industrial EOT Crane Systems</t>
  </si>
  <si>
    <t>sagarrewatkar908@gmail.com</t>
  </si>
  <si>
    <t>Sagar Rewatkar</t>
  </si>
  <si>
    <t>Electrodrive Powertrain Solutions Pvt. Ltd.</t>
  </si>
  <si>
    <t>TRICHY ROAD, 97/3, VADAKKU SAMBALA THOTTAM, KANNAMPALAYAM, SULUR TALUK, Coimbatore, Tamil Nadu, India</t>
  </si>
  <si>
    <t>hr2@electraev.com</t>
  </si>
  <si>
    <t>Nikhil Kumar</t>
  </si>
  <si>
    <t>Goa Tissue</t>
  </si>
  <si>
    <t>Sanvordem, Goa, Goa, India</t>
  </si>
  <si>
    <t>dhiraj_shetkar@rediffmail.com</t>
  </si>
  <si>
    <t>Dhiraj</t>
  </si>
  <si>
    <t>Akber Engineering Work</t>
  </si>
  <si>
    <t>khan.akbar1212@gmail.com</t>
  </si>
  <si>
    <t>Akaber</t>
  </si>
  <si>
    <t>Bhoot Nath Construction Company</t>
  </si>
  <si>
    <t>779 Gumnawara  Pichhor Gumnawara Pithhor, Jhansi, Uttar Pradesh, India</t>
  </si>
  <si>
    <t>EOT Crane Manufacturer</t>
  </si>
  <si>
    <t>sachin.upadhyay51@gmail.com</t>
  </si>
  <si>
    <t>Sachin Upadhyay</t>
  </si>
  <si>
    <t>G Technical Resource</t>
  </si>
  <si>
    <t>Material Lifting Cranes</t>
  </si>
  <si>
    <t>prajapatiajay675@gmail.com</t>
  </si>
  <si>
    <t>Ajay Prajapati</t>
  </si>
  <si>
    <t>Mirit Laser Tech</t>
  </si>
  <si>
    <t>Velu Pune</t>
  </si>
  <si>
    <t>ajaikulkarni669@gmail.com</t>
  </si>
  <si>
    <t>ajay</t>
  </si>
  <si>
    <t>Pranav Engineering Works</t>
  </si>
  <si>
    <t>M.No. 1290, Anthurne, Indapur, Pune, Maharashtra, India</t>
  </si>
  <si>
    <t>10 Ton Electric Wire Rope Hoist</t>
  </si>
  <si>
    <t>sablekv1222@gmail.com</t>
  </si>
  <si>
    <t>Kishor Vaman Sabale</t>
  </si>
  <si>
    <t>Nashik, Maharashtra, India</t>
  </si>
  <si>
    <t>500 Electric Hoist, 0.5 Ton</t>
  </si>
  <si>
    <t>sagar_india@outlook.in</t>
  </si>
  <si>
    <t>Archana Singh</t>
  </si>
  <si>
    <t>PROCCESS</t>
  </si>
  <si>
    <t>MERINO INDUSTRIES LTD</t>
  </si>
  <si>
    <t xml:space="preserve">Vadodala </t>
  </si>
  <si>
    <t xml:space="preserve">1T Jib Crane with Hoist </t>
  </si>
  <si>
    <t>santoshkumardas@merinoindia.com'</t>
  </si>
  <si>
    <t>Santosh Das</t>
  </si>
  <si>
    <t>JAN-JC011SV</t>
  </si>
  <si>
    <t xml:space="preserve">Kirloskar Pneumatics Co Ltd </t>
  </si>
  <si>
    <t>Hadapsar Pune</t>
  </si>
  <si>
    <t>yogesh.patil@kirloskar.com'</t>
  </si>
  <si>
    <t>Yogesh B Patil</t>
  </si>
  <si>
    <t>PARANJPE AUTOCAST PVT LTD</t>
  </si>
  <si>
    <t>Shirwal</t>
  </si>
  <si>
    <t>Monorail System of 2Mt</t>
  </si>
  <si>
    <t>ojyadav@paranjapeautocast.com'</t>
  </si>
  <si>
    <t>Kiran Yadav</t>
  </si>
  <si>
    <t>JAN-MN06SV</t>
  </si>
  <si>
    <t>Ultra Corpotech Ltd</t>
  </si>
  <si>
    <t>nwarang@ultracorpotech.com'</t>
  </si>
  <si>
    <t>Nitin Warang</t>
  </si>
  <si>
    <t>JAN-MN02SV</t>
  </si>
  <si>
    <t xml:space="preserve">1T Jib Crane &amp; 250kg Support structure </t>
  </si>
  <si>
    <t>eki1@endo-india.co.in</t>
  </si>
  <si>
    <t>Akshay Salunke</t>
  </si>
  <si>
    <t xml:space="preserve">JAN -Mail </t>
  </si>
  <si>
    <t>Hanuman Engineering</t>
  </si>
  <si>
    <t>Flat No. B-304, Gat No. 140/1, 11 K County, Borhadewadi, Moshi, Pune, Maharashtra, India</t>
  </si>
  <si>
    <t>hanumaneng95@gmail.com</t>
  </si>
  <si>
    <t>Audumbar Survase</t>
  </si>
  <si>
    <t>Faridabad, Haryana, India</t>
  </si>
  <si>
    <t>Sumit Kumar</t>
  </si>
  <si>
    <t>Saffron Techmech</t>
  </si>
  <si>
    <t>Shed No-112, Aarya Ind. Park, Village- Kubadthal, Ta-Daskroi, Opp-Vivekanand Ind. Park, Ahmedabad, Gujarat, India</t>
  </si>
  <si>
    <t>saffrontechmech@outlook.in</t>
  </si>
  <si>
    <t>Yash Panchal</t>
  </si>
  <si>
    <t>Gantry Crane (5 T Capacity)</t>
  </si>
  <si>
    <t>Palus, Maharashtra, India</t>
  </si>
  <si>
    <t>abhisalunkhe07@gmail.com</t>
  </si>
  <si>
    <t>Abhijeet</t>
  </si>
  <si>
    <t>IPE Global Ltd</t>
  </si>
  <si>
    <t>Mysuru, Karnataka, India</t>
  </si>
  <si>
    <t>ramyamadhusudhan3@gmail.com</t>
  </si>
  <si>
    <t>Ramya AM</t>
  </si>
  <si>
    <t>Vishal Automobiles</t>
  </si>
  <si>
    <t>64,Dada Estate,Sanand Cross Road,Sarkhej, Ahmedabad, Gujarat, India</t>
  </si>
  <si>
    <t> 7.5 Ton Electric Chain Hoist</t>
  </si>
  <si>
    <t>bhavanimotocraft@gmail.com</t>
  </si>
  <si>
    <t>Mukeshbhai Bhupendrabhai Solanki</t>
  </si>
  <si>
    <t>Arham Hi-Tech Design And Solution Pvt.Ltd</t>
  </si>
  <si>
    <t>2, Ground, Gamdevi Ambika Temple Trust Compound, Kirol, Vidyavihar, Suburban, Mumbai, Maharashtra, India</t>
  </si>
  <si>
    <t xml:space="preserve">T chain Hoist 6Mtr HOL Power trolley </t>
  </si>
  <si>
    <t>sales@arhamcomposite.com</t>
  </si>
  <si>
    <t>vijay</t>
  </si>
  <si>
    <t>JAN-HT013SV</t>
  </si>
  <si>
    <t>not fitted in there req</t>
  </si>
  <si>
    <t>crane</t>
  </si>
  <si>
    <t>akshaydsabale@gmail.com</t>
  </si>
  <si>
    <t>AKSHAY Sabale</t>
  </si>
  <si>
    <t>pattishwara</t>
  </si>
  <si>
    <t>Coimbatore, Tamil Nadu, India</t>
  </si>
  <si>
    <t>2 Ton Electric Hoist</t>
  </si>
  <si>
    <t>smahesh7662@gmail.com</t>
  </si>
  <si>
    <t>Maheshwaran</t>
  </si>
  <si>
    <t>Vistaar Solutions</t>
  </si>
  <si>
    <t>City Arcade, Shop No. 12, Plot No. 9, Sector 5, Navi Mumbai, Maharashtra, India</t>
  </si>
  <si>
    <t>himank@vistaarsolutions.in</t>
  </si>
  <si>
    <t>Himank Konde</t>
  </si>
  <si>
    <t>S.M.Traders</t>
  </si>
  <si>
    <t>Gangarampur</t>
  </si>
  <si>
    <t>West Bengal</t>
  </si>
  <si>
    <t>s.m.traders.dd@gmail.com</t>
  </si>
  <si>
    <t>Himansu Sarkar</t>
  </si>
  <si>
    <t xml:space="preserve">PARAG INDUSTRIES </t>
  </si>
  <si>
    <t>Chakan Shikrapur</t>
  </si>
  <si>
    <t xml:space="preserve">festooning System </t>
  </si>
  <si>
    <t>paragempire@gmail.com'</t>
  </si>
  <si>
    <t>JAN-OQ03SV</t>
  </si>
  <si>
    <t>high cost</t>
  </si>
  <si>
    <t>FM LOGISTIC,</t>
  </si>
  <si>
    <t>Baner Pune</t>
  </si>
  <si>
    <t>Jib Crane Foundation Template &amp; Bolts</t>
  </si>
  <si>
    <t>piyush.shinde@fmlogistic.com</t>
  </si>
  <si>
    <t>Piyush Shinde</t>
  </si>
  <si>
    <t>JAN-OQ04SV</t>
  </si>
  <si>
    <t>KIRLOSKAR OIL ENGINE LTD</t>
  </si>
  <si>
    <t xml:space="preserve">Kagal Kolhapur </t>
  </si>
  <si>
    <t>Electric Chain Hoist of 1000kg Capacity</t>
  </si>
  <si>
    <t>kishor.agale@kirloskar.com'</t>
  </si>
  <si>
    <t xml:space="preserve">kishor agale </t>
  </si>
  <si>
    <t>JAN-HT12SV</t>
  </si>
  <si>
    <t>Pithampur, Madhya Pradesh, India</t>
  </si>
  <si>
    <t>Single Beam EOT Crane</t>
  </si>
  <si>
    <t>Ashish</t>
  </si>
  <si>
    <t>swatah.ai</t>
  </si>
  <si>
    <t>Crane Under Light</t>
  </si>
  <si>
    <t>abhinav@swatah.ai</t>
  </si>
  <si>
    <t>ABHINAV BHARTI</t>
  </si>
  <si>
    <t>Zeal Institute</t>
  </si>
  <si>
    <t xml:space="preserve">Katraj Pune </t>
  </si>
  <si>
    <t>levin.c.v.5346@gmail.com'</t>
  </si>
  <si>
    <t>levin cv</t>
  </si>
  <si>
    <t>JAN-LCS10SV</t>
  </si>
  <si>
    <t>S P M India Ltd.</t>
  </si>
  <si>
    <t>KT No 182, GDR Tech Ville Block A, 30th KM Bangalore -Mysore Highway, Ketaganahalli Village,Bidadi Hobli Ramanagara Taluk, Ramanagara, Karnataka, India</t>
  </si>
  <si>
    <t>Industrial Pneumatic Manipulator</t>
  </si>
  <si>
    <t>design@spmil.com</t>
  </si>
  <si>
    <t>Mithu</t>
  </si>
  <si>
    <t>FEB-MN01SV-F01</t>
  </si>
  <si>
    <t>VINAYAK ENTERPRISES</t>
  </si>
  <si>
    <t>eot crane</t>
  </si>
  <si>
    <t>vikashmanjhi1987@gmail.com</t>
  </si>
  <si>
    <t>VINAYAK</t>
  </si>
  <si>
    <t>ravi</t>
  </si>
  <si>
    <t>uttar pradesh</t>
  </si>
  <si>
    <t>Mayank Yadav</t>
  </si>
  <si>
    <t>Traveling cranes</t>
  </si>
  <si>
    <t>SK Print Solutions Pvt Ltd</t>
  </si>
  <si>
    <t>Single Girder Goliath Crane of 3MT Capacity.</t>
  </si>
  <si>
    <t xml:space="preserve"> &lt;ajay.dg@ekamobility.com&gt;</t>
  </si>
  <si>
    <t>Ajay Gunnal'</t>
  </si>
  <si>
    <t>JAN-GC001SV</t>
  </si>
  <si>
    <t>Shringar engineering and energy systems</t>
  </si>
  <si>
    <t>Bengaluru, Karnataka, India</t>
  </si>
  <si>
    <t>Karnatka</t>
  </si>
  <si>
    <t>Electric Chain Pillar Crane </t>
  </si>
  <si>
    <t>gowri.gowdaiah01@gmail.com</t>
  </si>
  <si>
    <t>gwari</t>
  </si>
  <si>
    <t>lcs</t>
  </si>
  <si>
    <t>Siddharth</t>
  </si>
  <si>
    <t>Suntech Engineering Corporation</t>
  </si>
  <si>
    <t>plot No T-80 , Gala No J-05 Mangalmurti Ind. T Block  Chinchwad, Pune, Maharashtra, India</t>
  </si>
  <si>
    <t>suntec.ec@gmail.com</t>
  </si>
  <si>
    <t>victor</t>
  </si>
  <si>
    <t>MG Divine Enterprise</t>
  </si>
  <si>
    <t>0, Garhi Rahna Ganauli Road, Garhi Bus Stop, Garhi, Raipur Rani, Haryana, India</t>
  </si>
  <si>
    <t>MS Portable Gantry Crane</t>
  </si>
  <si>
    <t>sainiyarr066@gmail.com</t>
  </si>
  <si>
    <t>Hunny Saini</t>
  </si>
  <si>
    <t>LIFTSAFE CRANES INDIA PVT. LTD</t>
  </si>
  <si>
    <t xml:space="preserve">KURULI </t>
  </si>
  <si>
    <t>liftsafesales' &lt;liftsafesales@gmail.com&gt;</t>
  </si>
  <si>
    <t>JAN-HT14SV</t>
  </si>
  <si>
    <t>Kolkata</t>
  </si>
  <si>
    <t>Dhiman Shah</t>
  </si>
  <si>
    <t>portable jib cranes'</t>
  </si>
  <si>
    <t>Reliable Enterprises</t>
  </si>
  <si>
    <t>S No 54, bande nagar,khadi machine chowk, Kondhwa, Pune, Maharashtra, India</t>
  </si>
  <si>
    <t>Single Girder Hoist Crane</t>
  </si>
  <si>
    <t>reliable.enterprises@ymail.com</t>
  </si>
  <si>
    <t>Hitesh Kitawat</t>
  </si>
  <si>
    <t>Kanpur, Uttar Pradesh, India</t>
  </si>
  <si>
    <t>Jyoti Gupta</t>
  </si>
  <si>
    <t>Iqra scrap trders</t>
  </si>
  <si>
    <t>Darwaha, Maharashtra, India</t>
  </si>
  <si>
    <t>iqrascrap7191@gmail.com</t>
  </si>
  <si>
    <t>Abdul Nadim</t>
  </si>
  <si>
    <t>DRAN Engg.</t>
  </si>
  <si>
    <t>Electric Hoists</t>
  </si>
  <si>
    <t>dipali</t>
  </si>
  <si>
    <t>Sadashiv Rajput</t>
  </si>
  <si>
    <t>Plot No.R-849, TTC Industrial Area, Rabale Midc, Navi Mumbai, Maharashtra, India</t>
  </si>
  <si>
    <t>EOT Crane </t>
  </si>
  <si>
    <t>production.unit1@enggmech.com</t>
  </si>
  <si>
    <t>Prabhu K</t>
  </si>
  <si>
    <t>mackon</t>
  </si>
  <si>
    <t>Mumbai</t>
  </si>
  <si>
    <t>makonbs@gmail.com</t>
  </si>
  <si>
    <t>Aryan ispat Pvt limited</t>
  </si>
  <si>
    <t>Bhadrak</t>
  </si>
  <si>
    <t>kumarnateshbbs705@gmail.com</t>
  </si>
  <si>
    <t>Naresh kuanr</t>
  </si>
  <si>
    <t>Bengaluru</t>
  </si>
  <si>
    <t>susmita</t>
  </si>
  <si>
    <t>Vinayak India Ltd</t>
  </si>
  <si>
    <t>Thoothukudi, Tamil Nadu, India</t>
  </si>
  <si>
    <t>abhirami.p@rinac.com</t>
  </si>
  <si>
    <t>Abhirami</t>
  </si>
  <si>
    <t>Kolhapur, Maharashtra, India</t>
  </si>
  <si>
    <t>Industrial Electric Hoist</t>
  </si>
  <si>
    <t>project@acebrain.com</t>
  </si>
  <si>
    <t>Aniket</t>
  </si>
  <si>
    <t>Godawri Spherocast Private Limited</t>
  </si>
  <si>
    <t>Post Office Tasimbly, Ambala Naraingarh Road, Humayunpur-Village, Near Handesra Punjab, Lalru, Mohali, Punjab, India</t>
  </si>
  <si>
    <t>Punjab</t>
  </si>
  <si>
    <t>Industrial Electric Manipulators</t>
  </si>
  <si>
    <t>sam.g55@gmail.com</t>
  </si>
  <si>
    <t>Samir Gupta</t>
  </si>
  <si>
    <t>Sri Shyam Engg.Works</t>
  </si>
  <si>
    <t>RENGALIPALI CAMP,N.H-06,R.P.CAMP,BARGARH Near Ambapali Choke,bolangir Road,768028,Bargarh, Bargarh, Odisha, India</t>
  </si>
  <si>
    <t>Wall Mounted Jib Crane</t>
  </si>
  <si>
    <t>Krishna Agarwal</t>
  </si>
  <si>
    <t>DEEPAK</t>
  </si>
  <si>
    <t>Bhanpura, Madhya Pradesh, India</t>
  </si>
  <si>
    <t>Overhead Travelling Cranes</t>
  </si>
  <si>
    <t>Shah Alam Sayd</t>
  </si>
  <si>
    <t>5 Ton Electric Wire Rope Hoist</t>
  </si>
  <si>
    <t>syed</t>
  </si>
  <si>
    <t>ojaspatil2025@gmail.com</t>
  </si>
  <si>
    <t>ojas</t>
  </si>
  <si>
    <t>Pochampalle, Telangana, India</t>
  </si>
  <si>
    <t>Motorized Chain Hoist</t>
  </si>
  <si>
    <t>bade</t>
  </si>
  <si>
    <t>Kirloskar Pneumatic co ltd</t>
  </si>
  <si>
    <t>Saswad</t>
  </si>
  <si>
    <t>single girder EOT Crane 3MT</t>
  </si>
  <si>
    <t>kiran.nikam@kirloskar.com'</t>
  </si>
  <si>
    <t>kiran nikam</t>
  </si>
  <si>
    <t>JAN-SG08SV</t>
  </si>
  <si>
    <t>In june it will be final</t>
  </si>
  <si>
    <t>PINNACLE MOBILITY SOLUTIONS (INSTOR INDIA),</t>
  </si>
  <si>
    <t>kOREGOAN bHIMA</t>
  </si>
  <si>
    <t>prashant.z@instorindia.com</t>
  </si>
  <si>
    <t>Keshav</t>
  </si>
  <si>
    <t>JAN-JC13SV</t>
  </si>
  <si>
    <t>Pithampur</t>
  </si>
  <si>
    <t xml:space="preserve">jib crane of 250kg &amp; 1T Capacity </t>
  </si>
  <si>
    <t>Rajiv Falodiya' &lt;rajiv.f@ekamobility.com&gt;</t>
  </si>
  <si>
    <t>Rajiv Foladiya</t>
  </si>
  <si>
    <t>JAN-JC14SV</t>
  </si>
  <si>
    <t xml:space="preserve">Monorail system of 1T Capacity </t>
  </si>
  <si>
    <t>JAN-MN14SV</t>
  </si>
  <si>
    <t>EDWARDS INDIA (ATLAS COPCO GROUP)</t>
  </si>
  <si>
    <t xml:space="preserve">Chakan </t>
  </si>
  <si>
    <t>SG EOt Crane of 2&amp;3T Capacity</t>
  </si>
  <si>
    <t>alok.deshmukh@atlascopco.com'</t>
  </si>
  <si>
    <t>alok Mali</t>
  </si>
  <si>
    <t>JAN-SG13SV</t>
  </si>
  <si>
    <t>JCB India Ltd</t>
  </si>
  <si>
    <t xml:space="preserve">Jaipur </t>
  </si>
  <si>
    <t xml:space="preserve">5T SG EOT Crane </t>
  </si>
  <si>
    <t>Harjeet Singh' &lt;harjeet.singh@jcb.com&gt;</t>
  </si>
  <si>
    <t>Harjeet singh</t>
  </si>
  <si>
    <t>JAN SG14SV</t>
  </si>
  <si>
    <t>all not received</t>
  </si>
  <si>
    <t xml:space="preserve">Pall Corporation </t>
  </si>
  <si>
    <t>Birdawade, Vinayak' &lt;vinayak_birdawade@ap.pall.com&gt;</t>
  </si>
  <si>
    <t>Vinayak Birdawade</t>
  </si>
  <si>
    <t>JAN-SG12SV</t>
  </si>
  <si>
    <t>nbcc</t>
  </si>
  <si>
    <t>Delhi, Delhi, India</t>
  </si>
  <si>
    <t>sunil.k@nbccindia.com</t>
  </si>
  <si>
    <t>Sunil Kumar</t>
  </si>
  <si>
    <t>FEB DG01SV</t>
  </si>
  <si>
    <t>Sahara Engineering</t>
  </si>
  <si>
    <t>CHAWL NO.02,ROOM NO.18,VIJAY RAHIWASHI SANGH,NR KHANDOBA MANDIR,SG BARVE MARG,KURLA EAST Kurla Kamgar Nagar CHS Ltd. S. G. Barve Marg,, Mumbai, Maharashtra, India</t>
  </si>
  <si>
    <t>Industrial Manipulator</t>
  </si>
  <si>
    <t>sandeep98prajapati@gmail.com</t>
  </si>
  <si>
    <t>Sandip Prajapati</t>
  </si>
  <si>
    <t>Bokaro Distillery Private Limited</t>
  </si>
  <si>
    <t>Bokaro, Jharkhand, India</t>
  </si>
  <si>
    <t>Monorail Cranes</t>
  </si>
  <si>
    <t>jaytomar0203@gmail.com</t>
  </si>
  <si>
    <t>Jay Wardhan</t>
  </si>
  <si>
    <t>Panruti, Tamil Nadu, India</t>
  </si>
  <si>
    <t>saravansurya69@gmail.com</t>
  </si>
  <si>
    <t>Saravan Jayasurya</t>
  </si>
  <si>
    <t>Ashatura Glass Company</t>
  </si>
  <si>
    <t>Mehsana, Gujarat, India</t>
  </si>
  <si>
    <t>bharatparsia@gmail.com</t>
  </si>
  <si>
    <t>dharat</t>
  </si>
  <si>
    <t>Sant Baba Fabrication</t>
  </si>
  <si>
    <t>Solapur, Maharashtra, India</t>
  </si>
  <si>
    <t>somnathpatmas4574@gmail.com</t>
  </si>
  <si>
    <t>somnath</t>
  </si>
  <si>
    <t>MS Electric Chain Hoist</t>
  </si>
  <si>
    <t>Chhotelal</t>
  </si>
  <si>
    <t>Ajhuwa, Uttar Pradesh, India</t>
  </si>
  <si>
    <t>Electric Chain Hoist 2 Ton Only Up Down</t>
  </si>
  <si>
    <t>nayabm035@gmail.com</t>
  </si>
  <si>
    <t>HH</t>
  </si>
  <si>
    <t>Gaurav store</t>
  </si>
  <si>
    <t>Bahraich, Uttar Pradesh, India</t>
  </si>
  <si>
    <t>at173615@gmail.com</t>
  </si>
  <si>
    <t>Gurav</t>
  </si>
  <si>
    <t>S G Engineering Services</t>
  </si>
  <si>
    <t>SR NO 224/2/7, Mauli Niwas, Tukai Nagar, Dighi Road, Pune, Maharashtra, India</t>
  </si>
  <si>
    <t>Material Handling </t>
  </si>
  <si>
    <t>sgengg2014@gmail.com</t>
  </si>
  <si>
    <t>Anand Reddy</t>
  </si>
  <si>
    <t>Electric Chain Hoist with Electric Trolley</t>
  </si>
  <si>
    <t>lalsk7403@gmail.com</t>
  </si>
  <si>
    <t>SK Lal</t>
  </si>
  <si>
    <t>Munippa Industries</t>
  </si>
  <si>
    <t>S.F.343-B, Green View Telecom Colony, Vilankurich Village, Peelamedu, Coimbatore, Tamil Nadu, India</t>
  </si>
  <si>
    <t>Neelamegam Mohandass</t>
  </si>
  <si>
    <t>Sangamner</t>
  </si>
  <si>
    <t>single girder eot cranes</t>
  </si>
  <si>
    <t>teel.rajendra@gmail.com</t>
  </si>
  <si>
    <t>Shashank Narayan Kolapkar</t>
  </si>
  <si>
    <t>The Exclusive</t>
  </si>
  <si>
    <t>Jamshedpur</t>
  </si>
  <si>
    <t>exclusivejsr@hotmail.com</t>
  </si>
  <si>
    <t>Kailash Kumar Nagelia</t>
  </si>
  <si>
    <t>Rajput naitik</t>
  </si>
  <si>
    <t>3/349-1 First Floor, G V D Nagar Perur Chettipalayam, Postal Colony, Coimbatore, Tamil Nadu, India</t>
  </si>
  <si>
    <t>globaltechcbe1627@gmail.com</t>
  </si>
  <si>
    <t>Sathish Kumar</t>
  </si>
  <si>
    <t>Megha Ciment Pipe</t>
  </si>
  <si>
    <t>Meghacement Pipe,Botad, Botad, Gujarat, India</t>
  </si>
  <si>
    <t>MS Mounted Jib Crane</t>
  </si>
  <si>
    <t>nilesh patel</t>
  </si>
  <si>
    <t>Joel Process Engineering Private Limited</t>
  </si>
  <si>
    <t>100 Ton Heavy Duty Gantry Crane</t>
  </si>
  <si>
    <t>gonsalvesjoel2000@gmail.com</t>
  </si>
  <si>
    <t>Joel Johnson Gonsalves</t>
  </si>
  <si>
    <t>Bharat Forge Ltd</t>
  </si>
  <si>
    <t>Baramati midc</t>
  </si>
  <si>
    <t>ib crane of 1T, 1.5T &amp; 500kg</t>
  </si>
  <si>
    <t>MallikarjunBillur@bharatforge.com'</t>
  </si>
  <si>
    <t xml:space="preserve">Mallikarjaun </t>
  </si>
  <si>
    <t>JAN-JC015SV</t>
  </si>
  <si>
    <t>Heavy Duty Cranes</t>
  </si>
  <si>
    <t>0, Dadupur Govindpur, Sidcul Haridwar, Haridwar, Uttarakhand, India</t>
  </si>
  <si>
    <t>nafees52438@gmail.com</t>
  </si>
  <si>
    <t>Jendamark India Private Limited</t>
  </si>
  <si>
    <t>Gat No 736,733, Pune-Bangalore Highway, At Post Velu, Tal- Bhor, Pune, Maharashtra, India</t>
  </si>
  <si>
    <t>sandipan@jendamark.in</t>
  </si>
  <si>
    <t>Sandipan Sake</t>
  </si>
  <si>
    <t>EOT Crane Service</t>
  </si>
  <si>
    <t>DESAI QA</t>
  </si>
  <si>
    <t>Medha Servo Drives Private Limited</t>
  </si>
  <si>
    <t>Hyderabad, Telangana, India</t>
  </si>
  <si>
    <t>brcmurthy2577@gmail.com</t>
  </si>
  <si>
    <t>Ramachandra Murthy</t>
  </si>
  <si>
    <t>techno ind</t>
  </si>
  <si>
    <t>jayanti.parmar@technoelevators.com</t>
  </si>
  <si>
    <t>Rakesh enterprises</t>
  </si>
  <si>
    <t>Gandhinagar</t>
  </si>
  <si>
    <t>Heavy Duty Eot Crane</t>
  </si>
  <si>
    <t>rakesh patel</t>
  </si>
  <si>
    <t>Pollachi</t>
  </si>
  <si>
    <t>rajesh</t>
  </si>
  <si>
    <t>urja techniques india pvt ltd</t>
  </si>
  <si>
    <t>kalyan</t>
  </si>
  <si>
    <t>contract@urjatransformers.com</t>
  </si>
  <si>
    <t>kishor</t>
  </si>
  <si>
    <t>SRL Design Den</t>
  </si>
  <si>
    <t>shabbar1972@gmail.com</t>
  </si>
  <si>
    <t>mohammad</t>
  </si>
  <si>
    <t>Indore, Madhya Pradesh, India</t>
  </si>
  <si>
    <t> Wire Rope</t>
  </si>
  <si>
    <t>sharadpali1980@gmail.com</t>
  </si>
  <si>
    <t>Sharad Kumar Pali</t>
  </si>
  <si>
    <t>Megatech Industries</t>
  </si>
  <si>
    <t>71, Mahadev Industrial Estate V-3, Celluloz Mill Compound, On Canal, CTM Ramol Road, Ramol, Ahmedabad, Gujarat, India</t>
  </si>
  <si>
    <t>megatechindustries0101@gmail.com</t>
  </si>
  <si>
    <t>Devang Patel</t>
  </si>
  <si>
    <t>Darshit Corporation</t>
  </si>
  <si>
    <t>2 Ton Chain Hoist</t>
  </si>
  <si>
    <t>sanjay bhai</t>
  </si>
  <si>
    <t>Bathinda, Punjab, India</t>
  </si>
  <si>
    <t>Wire Rope Chain Hoist</t>
  </si>
  <si>
    <t>97harjeet97@gmail.com</t>
  </si>
  <si>
    <t>Hardeep Singh</t>
  </si>
  <si>
    <t>Construction Business</t>
  </si>
  <si>
    <t>Bhilwara, Rajasthan, India</t>
  </si>
  <si>
    <t>Material Lifting Crane</t>
  </si>
  <si>
    <t>Satyanarayan</t>
  </si>
  <si>
    <t>HYDRABAD</t>
  </si>
  <si>
    <t xml:space="preserve">1T Jib Crane </t>
  </si>
  <si>
    <t>K Bhaskara Rao Kollu' &lt;bhaskar@smhrail.com.my&gt;</t>
  </si>
  <si>
    <t>Bhaskar</t>
  </si>
  <si>
    <t>JAN-JC15SV</t>
  </si>
  <si>
    <t>Dismantling Modification</t>
  </si>
  <si>
    <t>ganesh.godambe@jcb.com'</t>
  </si>
  <si>
    <t>Ganesh Godambe</t>
  </si>
  <si>
    <t>JAN-OQ06SV</t>
  </si>
  <si>
    <t>5T Hoist</t>
  </si>
  <si>
    <t>Dipak Lagad' &lt;Dipak.Lagad@jcb.com&gt;</t>
  </si>
  <si>
    <t>Dipak lagad</t>
  </si>
  <si>
    <t>JAN-HT15SV</t>
  </si>
  <si>
    <t xml:space="preserve">Arhan Technology </t>
  </si>
  <si>
    <t>LCS Support Structure of 250kg</t>
  </si>
  <si>
    <t>assembly@arhan.co.in'</t>
  </si>
  <si>
    <t>ajay pardeshi</t>
  </si>
  <si>
    <t>2,99,000.00</t>
  </si>
  <si>
    <t>S.S.engineering</t>
  </si>
  <si>
    <t>pune, Pune, Maharashtra, India</t>
  </si>
  <si>
    <t>navajadhav8@gmail.com</t>
  </si>
  <si>
    <t>NAVNATH SUBHASH JADHAV</t>
  </si>
  <si>
    <t>Bhabhar, Gujarat, India</t>
  </si>
  <si>
    <t>tejabhaiprajapati170@gmail.com</t>
  </si>
  <si>
    <t>Tejabhai</t>
  </si>
  <si>
    <t>ravikiran engg</t>
  </si>
  <si>
    <t>ravisutar24425@gmail.com</t>
  </si>
  <si>
    <t>ravindra</t>
  </si>
  <si>
    <t>Jib-cranes</t>
  </si>
  <si>
    <t>chirag8357@gmail.com</t>
  </si>
  <si>
    <t>chirag</t>
  </si>
  <si>
    <t>Amruta Enterprises</t>
  </si>
  <si>
    <t>SR No.83, Sonai Shankar Ind. Estate,Near, Shinde Bridge Shivane,, Pune, Maharashtra, India</t>
  </si>
  <si>
    <t>Chain Hoist</t>
  </si>
  <si>
    <t>sunil.k@amrutaenterprises.com</t>
  </si>
  <si>
    <t>Sunil Karambelkar</t>
  </si>
  <si>
    <t>Kushinagar, Uttar Pradesh, India</t>
  </si>
  <si>
    <t>manish</t>
  </si>
  <si>
    <t>Rushi Gokhale</t>
  </si>
  <si>
    <t>Pimpri Chinchwad, Maharashtra, India</t>
  </si>
  <si>
    <t>Shatayuraj</t>
  </si>
  <si>
    <t>Sun Rock Synergy</t>
  </si>
  <si>
    <t>Plot No C-5, NU - 4, nr Anand Marg School, Sapna Nagar, Gandhidham, Gujarat, India</t>
  </si>
  <si>
    <t>EOT Cranes</t>
  </si>
  <si>
    <t>info@sunrocksynergy.com</t>
  </si>
  <si>
    <t>Fateh Singh Rathore</t>
  </si>
  <si>
    <t>Spider Texs</t>
  </si>
  <si>
    <t>42,42/1 Murugan Nagar Vilankurichi Coimbatore, Coimbatore, Tamil Nadu, India</t>
  </si>
  <si>
    <t>spidertexs@gmail.com</t>
  </si>
  <si>
    <t>Samykannu Babyjohn</t>
  </si>
  <si>
    <t>manishghule39@gmail.com</t>
  </si>
  <si>
    <t>manish ghule</t>
  </si>
  <si>
    <t>Shubham Hydraulics</t>
  </si>
  <si>
    <t>Milkat No- 1734, Medankarwadi, Chakan, Pune, Maharashtra, India</t>
  </si>
  <si>
    <t>shubham.hydraluic@gmail.com</t>
  </si>
  <si>
    <t>Shubham Manjare</t>
  </si>
  <si>
    <t>Danfoss</t>
  </si>
  <si>
    <t>a.t.u.ldixit007@gmail.com</t>
  </si>
  <si>
    <t>Atul Dixit</t>
  </si>
  <si>
    <t>55555kunalpatil@gmail.com</t>
  </si>
  <si>
    <t>kunal</t>
  </si>
  <si>
    <t>Bhartiya Ispat Udhyog Mandir</t>
  </si>
  <si>
    <t>10-11, Kenpura Road, Rani, Rajasthan, India</t>
  </si>
  <si>
    <t>rani@bhartiyaispat.com</t>
  </si>
  <si>
    <t>C. L. Jain</t>
  </si>
  <si>
    <t>Sonu Fastener</t>
  </si>
  <si>
    <t>Electric chain hoists</t>
  </si>
  <si>
    <t>sonufastner@yahoo.com</t>
  </si>
  <si>
    <t>Baljit Singh Rehan</t>
  </si>
  <si>
    <t>P j Engineering</t>
  </si>
  <si>
    <t>dinesh</t>
  </si>
  <si>
    <t>Hotel heightview residency</t>
  </si>
  <si>
    <t>Dehra</t>
  </si>
  <si>
    <t>Jib crane</t>
  </si>
  <si>
    <t>amit agarwal</t>
  </si>
  <si>
    <t xml:space="preserve">A RAymond Chennai </t>
  </si>
  <si>
    <t xml:space="preserve">Plot No S21, 
 Vallam Vadagal, Taluk, 
Sriperumbudur
</t>
  </si>
  <si>
    <t>EOT Crane of 5T &amp; 3T</t>
  </si>
  <si>
    <t>humayun.mallick@araymond.com</t>
  </si>
  <si>
    <t xml:space="preserve">Humayun </t>
  </si>
  <si>
    <t>JAN-SG01SV</t>
  </si>
  <si>
    <t>KSB Pumps Ltd</t>
  </si>
  <si>
    <t>Shirwal Pune</t>
  </si>
  <si>
    <t>Dismantling &amp; Installation of Jib Crane</t>
  </si>
  <si>
    <t>Devendra.Kapade@ksb.com'</t>
  </si>
  <si>
    <t>Devendra Kapade</t>
  </si>
  <si>
    <t>JAN-OQ07SV</t>
  </si>
  <si>
    <t>Master Handlers Pvt.Ltd.</t>
  </si>
  <si>
    <t>EOT Crane of 10MT Capacity</t>
  </si>
  <si>
    <t>pur2@masterhandlers.com'</t>
  </si>
  <si>
    <t>Naagesh Jadhav</t>
  </si>
  <si>
    <t>JAN-DG02SV</t>
  </si>
  <si>
    <t>44,74,441.11</t>
  </si>
  <si>
    <t>jcb iNDIA ltd</t>
  </si>
  <si>
    <t xml:space="preserve">500kg &amp; 1T Jib crane </t>
  </si>
  <si>
    <t>&lt;musharrafali.syed@jcb.com&gt;</t>
  </si>
  <si>
    <t>Musharrafali Syed</t>
  </si>
  <si>
    <t>JAN-JC17SV</t>
  </si>
  <si>
    <t>MOVETECH CONVEYORS PVT LTD</t>
  </si>
  <si>
    <t xml:space="preserve">Busbar </t>
  </si>
  <si>
    <t>' &lt;mdshinde@movetechconveyors.in&gt;</t>
  </si>
  <si>
    <t>Mangesh Shinde</t>
  </si>
  <si>
    <t>JAN-OQ08SV</t>
  </si>
  <si>
    <t xml:space="preserve">Ultra corpotech </t>
  </si>
  <si>
    <t xml:space="preserve"> Nighoje Chakan</t>
  </si>
  <si>
    <t xml:space="preserve">Jib Crane of 2MT Capacity </t>
  </si>
  <si>
    <t>skshirsagar@ultracorpotech.com'</t>
  </si>
  <si>
    <t xml:space="preserve">Sanjay shirsagar </t>
  </si>
  <si>
    <t>JAN-JC19SV</t>
  </si>
  <si>
    <t>KPCL</t>
  </si>
  <si>
    <t xml:space="preserve">Hadapsar </t>
  </si>
  <si>
    <t>LCS sytem with support structure 1T</t>
  </si>
  <si>
    <t xml:space="preserve"> &lt;rushikesh.tawade@kirloskar.com&gt;</t>
  </si>
  <si>
    <t>Rushikesh tawade</t>
  </si>
  <si>
    <t>JAN-LCS011SV</t>
  </si>
  <si>
    <t>MRF LTD</t>
  </si>
  <si>
    <t>Verna</t>
  </si>
  <si>
    <t>Goa</t>
  </si>
  <si>
    <t>Wall Mounted Jib Crane of 500kg Capacity</t>
  </si>
  <si>
    <t>dhiraj.shetkar@mrfmail.com'</t>
  </si>
  <si>
    <t xml:space="preserve">Dhiraj </t>
  </si>
  <si>
    <t>JAN-JC016SV</t>
  </si>
  <si>
    <t xml:space="preserve">DUNKUN ENGG LTD </t>
  </si>
  <si>
    <t xml:space="preserve">Ranjangoan </t>
  </si>
  <si>
    <t>SG Goliath Crane of 3+3 MT Capacity</t>
  </si>
  <si>
    <t>shailesh.paithankar@duncanengg.com'</t>
  </si>
  <si>
    <t xml:space="preserve">Shailesh </t>
  </si>
  <si>
    <t>Jan-GC05SV</t>
  </si>
  <si>
    <t>Bajarang Crane Service</t>
  </si>
  <si>
    <t>kunaldpawar1010@gmail.com</t>
  </si>
  <si>
    <t>\</t>
  </si>
  <si>
    <t>Disha Enterprises</t>
  </si>
  <si>
    <t>Prayagraj, Uttar Pradesh, India</t>
  </si>
  <si>
    <t>vm3304@gmail.com</t>
  </si>
  <si>
    <t>Virendra Nath Mishra</t>
  </si>
  <si>
    <t>Badri Rai &amp; Co.</t>
  </si>
  <si>
    <t>Near Radha Krishna Mandhir, Satation Road, Duliajan, Naharkatiya, Assam, India</t>
  </si>
  <si>
    <t>Assam</t>
  </si>
  <si>
    <t>Dhirendra Pratap Singh</t>
  </si>
  <si>
    <t>Bhausaheb Namdeo Pawar</t>
  </si>
  <si>
    <t>3 RD Floor, Room No 301, Abhishek Home, Near Raj Palace, Khariwad, Daman, Dadra and Nagar Haveli and Daman and Diu, India</t>
  </si>
  <si>
    <t>Sangam Pawar</t>
  </si>
  <si>
    <t>5 Ton Single Girder EOT Cranes</t>
  </si>
  <si>
    <t>mostafamondal098@gmail.com</t>
  </si>
  <si>
    <t>Mostafa Mondal</t>
  </si>
  <si>
    <t>Confiar Engineers</t>
  </si>
  <si>
    <t>Ground Floor, Godown No. Unit No. B-18, Dhruv Industrial Park,Koyanavele, Industrial, Taloja Midc, Navi Mumbai, Maharashtra, India</t>
  </si>
  <si>
    <t>confiarengineers@gmail.com</t>
  </si>
  <si>
    <t>Vaibhav Mestri</t>
  </si>
  <si>
    <t>Marwar-Jn, Rajasthan, India</t>
  </si>
  <si>
    <t>Heavy Duty Wire Rope Hoist</t>
  </si>
  <si>
    <t>jk768844@gmail.com</t>
  </si>
  <si>
    <t>Mohhamed JAVED</t>
  </si>
  <si>
    <t>Ossaak India</t>
  </si>
  <si>
    <t>A 20, Behind Stadium, Kirti Nagar, Bareilly, Uttar Pradesh, India</t>
  </si>
  <si>
    <t>Single Girder EOT Cranes</t>
  </si>
  <si>
    <t>sales1@ossaak.com</t>
  </si>
  <si>
    <t>RK Parajapati</t>
  </si>
  <si>
    <t>UV Enterprises</t>
  </si>
  <si>
    <t>1st Floor, Flat No 273, SS Iii, Sector-6, Navi Mumbai, Maharashtra, India</t>
  </si>
  <si>
    <t>Wire Ropes</t>
  </si>
  <si>
    <t>jaiambeprint2014@gmail.com</t>
  </si>
  <si>
    <t>Hetal Jitendra Chambariya</t>
  </si>
  <si>
    <t>Hardik Metal Works</t>
  </si>
  <si>
    <t>K-141,Phase-Viii Focal Point  Ludhiana  Ludhiana, Ludhiana, Punjab, India</t>
  </si>
  <si>
    <t>honeymehta75@gmail.com</t>
  </si>
  <si>
    <t>Honey Kumar Mehta</t>
  </si>
  <si>
    <t>Triz Automations And Robotics Private Limited</t>
  </si>
  <si>
    <t>G -709, Near Velu Phata, Velu, Pune, Maharashtra, India</t>
  </si>
  <si>
    <t>purchase@trizsystems.com</t>
  </si>
  <si>
    <t>Kajal Shelar</t>
  </si>
  <si>
    <t>Real Engineering</t>
  </si>
  <si>
    <t>PLOT NO-24,29-SURVEY NO-54/1, RK INDUSTRIAL PARK PHASE-1, OPP.BHARAT BENZ SHOW ROOM, RAJKOT-AHEMDAB No. 5th Floor, Shree Guru Krupa Tower, Near Moti Tanki Chowk, Shubhash Road,360001,Rajkot, Rajkot, Gujarat, India</t>
  </si>
  <si>
    <t>babulalmehta@hotmail.com</t>
  </si>
  <si>
    <t>Babulal Mehta</t>
  </si>
  <si>
    <t xml:space="preserve">EOT Crane </t>
  </si>
  <si>
    <t>Susshil</t>
  </si>
  <si>
    <t xml:space="preserve">S R INDUSTRIES </t>
  </si>
  <si>
    <t xml:space="preserve">LCS System  with support structure </t>
  </si>
  <si>
    <t>srindustries77@gmail.com'</t>
  </si>
  <si>
    <t>FEB-LCS01SV</t>
  </si>
  <si>
    <t>MANE KANCOR INGREDIENTS PRIVATE LTD</t>
  </si>
  <si>
    <t xml:space="preserve">karnataka </t>
  </si>
  <si>
    <t>SG EOT Crane of 7.5MT Capacity</t>
  </si>
  <si>
    <t>&lt;Fenstein.GPAUL@mane.com&gt;</t>
  </si>
  <si>
    <t>G PAUL Fenstein'</t>
  </si>
  <si>
    <t xml:space="preserve">FEB-SGEOT01SV </t>
  </si>
  <si>
    <t xml:space="preserve">PINNACLE MOBILITY SOLUTIONS, </t>
  </si>
  <si>
    <t>Monkey Ladder &amp; Maintenance Platform</t>
  </si>
  <si>
    <t xml:space="preserve"> Sambitkumar.Meher@ekamobility.com</t>
  </si>
  <si>
    <t>Sambit Meher'</t>
  </si>
  <si>
    <t>FEB-OQ01SV</t>
  </si>
  <si>
    <t>Zero Gravity Pneumatic Manipulator of 100kg Capacity</t>
  </si>
  <si>
    <t>78699 58579</t>
  </si>
  <si>
    <t xml:space="preserve"> &lt;Vishal.Pawar@ekamobility.com&gt;</t>
  </si>
  <si>
    <t>Vishal Pawar'</t>
  </si>
  <si>
    <t>FEB-MN01SV</t>
  </si>
  <si>
    <t xml:space="preserve">Hoist of 1 MT Capacity </t>
  </si>
  <si>
    <t>PARC Sales' &lt;sales@parcrobotics.in&gt;</t>
  </si>
  <si>
    <t>SOHAM NALE</t>
  </si>
  <si>
    <t>FEB-HT002SV</t>
  </si>
  <si>
    <t>Underslung</t>
  </si>
  <si>
    <t xml:space="preserve">Underslung Crane of 1MT Capacity </t>
  </si>
  <si>
    <t>vikaspadalkar@bharatforge.com'</t>
  </si>
  <si>
    <t>Vikas padalkar</t>
  </si>
  <si>
    <t>FEB-UC01SV</t>
  </si>
  <si>
    <t>CHakan</t>
  </si>
  <si>
    <t>Electric chain Hoist 1MT</t>
  </si>
  <si>
    <t xml:space="preserve"> &lt;kvkharjul@movetechconveyors.in&gt;</t>
  </si>
  <si>
    <t>Kuldeep Kharjul</t>
  </si>
  <si>
    <t>FEB-HT001SV</t>
  </si>
  <si>
    <t>JENDAMARK INDIA PVT LTD</t>
  </si>
  <si>
    <t>velu pune</t>
  </si>
  <si>
    <t>Jib Crane with Air Balancer of 150kg Capacity</t>
  </si>
  <si>
    <t>sandipan@jendamark.in'</t>
  </si>
  <si>
    <t>Sandipan</t>
  </si>
  <si>
    <t>FEB JC01SV</t>
  </si>
  <si>
    <t>pto dec</t>
  </si>
  <si>
    <t>Architects United</t>
  </si>
  <si>
    <t>Prabhat Road, Pune</t>
  </si>
  <si>
    <t>SG EOT Crane of 5MT &amp; Monorail System of 5MT</t>
  </si>
  <si>
    <t xml:space="preserve"> &lt;au@architectsunited.co.in&gt;</t>
  </si>
  <si>
    <t>Rashm</t>
  </si>
  <si>
    <t>FEB-SGEOT1SV</t>
  </si>
  <si>
    <t xml:space="preserve">JSW Green Tech </t>
  </si>
  <si>
    <t xml:space="preserve">SAmbhajinagar </t>
  </si>
  <si>
    <t>Utility Structure</t>
  </si>
  <si>
    <t>brijesh.patel@jsw.in'</t>
  </si>
  <si>
    <t>Brijesh Patel</t>
  </si>
  <si>
    <t>FEB -OQ2SV</t>
  </si>
  <si>
    <t>THERMOPAC PROCESS ENGINEERING LLP</t>
  </si>
  <si>
    <t>SG EOT Crane of 10MT</t>
  </si>
  <si>
    <t xml:space="preserve"> &lt;pe2@thermopac.in&gt;</t>
  </si>
  <si>
    <t>Rohan Ambre</t>
  </si>
  <si>
    <t>FEB-SG003SV</t>
  </si>
  <si>
    <t>SR Infra Construction Pvt Ltd</t>
  </si>
  <si>
    <t>Bulandshahr, Uttar Pradesh, India</t>
  </si>
  <si>
    <t>5 Ton Single Girder Overhead Crane</t>
  </si>
  <si>
    <t>sal143mankhan@gmail.com</t>
  </si>
  <si>
    <t>Salmaan Khan</t>
  </si>
  <si>
    <t>Danfoss systems Ltd.</t>
  </si>
  <si>
    <t>Aurangabad, Maharashtra, India</t>
  </si>
  <si>
    <t>kedar.shewalkar@danfoss.com</t>
  </si>
  <si>
    <t>robin</t>
  </si>
  <si>
    <t>Civil Contructor</t>
  </si>
  <si>
    <t>Ashok Pal</t>
  </si>
  <si>
    <t>Flame Solren Pvt Ltd</t>
  </si>
  <si>
    <t>Surat, Gujarat, India</t>
  </si>
  <si>
    <t>EOT Crane 7.5ton</t>
  </si>
  <si>
    <t>purchase.flamesolren@gmail.com</t>
  </si>
  <si>
    <t>Pratik Rana</t>
  </si>
  <si>
    <t>R A Classes</t>
  </si>
  <si>
    <t>EOT Crane Double Beam Design</t>
  </si>
  <si>
    <t>manish.subhash@indiamart.com</t>
  </si>
  <si>
    <t>Manish Subhash</t>
  </si>
  <si>
    <t>Anjar, Gujarat, India</t>
  </si>
  <si>
    <t>PRADEEP Shukla</t>
  </si>
  <si>
    <t>Sampat Engineering</t>
  </si>
  <si>
    <t>narhe, Pune, Maharashtra, India</t>
  </si>
  <si>
    <t>Industrial Cranes</t>
  </si>
  <si>
    <t>prasad.desai020@gmail.com</t>
  </si>
  <si>
    <t>prasad</t>
  </si>
  <si>
    <t>GI Flexible Industries</t>
  </si>
  <si>
    <t>A-179, Gopal Charan Industrial Plots-2, Kujad-Bakrol Road, Ahmedabad, Gujarat, India</t>
  </si>
  <si>
    <t>inquiry.support@giflexible.com</t>
  </si>
  <si>
    <t>Dinesh Goswami</t>
  </si>
  <si>
    <t>girishdgoswami@gmail.com</t>
  </si>
  <si>
    <t>ritesh</t>
  </si>
  <si>
    <t>Electric Wire Rope Chain Mechanical Hoist</t>
  </si>
  <si>
    <t>Migglee Trading Company</t>
  </si>
  <si>
    <t>Near Kalbhor Hights, Gat No 2 Pashanlkar Baug, Loni Kalbhor Near Odha, Tal Haveli, Pune, Maharashtra, India</t>
  </si>
  <si>
    <t>Electric Wire Rope Chain </t>
  </si>
  <si>
    <t>miggleetraders65@gmail.com</t>
  </si>
  <si>
    <t>Amarjeet Kadam</t>
  </si>
  <si>
    <t>Dmh Trends</t>
  </si>
  <si>
    <t>Electric Chain Hoist 500 Kg</t>
  </si>
  <si>
    <t>Corinthian</t>
  </si>
  <si>
    <t>3/36,FATIMA BUILDING,DONGARI, 13TH DHARAMSHALA ROAD,,MASJID BUNDER House No.05,401208,Mumbai, Mumbai, Maharashtra, India</t>
  </si>
  <si>
    <t>imraanabbas1982@gmail.com</t>
  </si>
  <si>
    <t>IMRAN ABBAS</t>
  </si>
  <si>
    <t xml:space="preserve">Vedanta Group </t>
  </si>
  <si>
    <t xml:space="preserve">Bokaro, Jharkhand </t>
  </si>
  <si>
    <t>Loadcell with Display</t>
  </si>
  <si>
    <t>Ayush.Kumar6@vedanta.co.in'</t>
  </si>
  <si>
    <t>Ayush.Kumar</t>
  </si>
  <si>
    <t>FEB-OQ03SV</t>
  </si>
  <si>
    <t>30,00,000</t>
  </si>
  <si>
    <t>ALEX GRINDERS</t>
  </si>
  <si>
    <t>LONAVWALA, pune</t>
  </si>
  <si>
    <t xml:space="preserve">LCS SYSTEM with Support Structure of 500kg Capacity </t>
  </si>
  <si>
    <t>engineering@alexgrinders.com'</t>
  </si>
  <si>
    <t>Amol</t>
  </si>
  <si>
    <t>FEB-LCS04SV</t>
  </si>
  <si>
    <t>8,93,894</t>
  </si>
  <si>
    <t>Jsr Enterprises</t>
  </si>
  <si>
    <t>Lucknow, Uttar Pradesh, India</t>
  </si>
  <si>
    <t>Double Girder Gantry Crane, 150 Ton</t>
  </si>
  <si>
    <t>om.ambalika@gmail.com</t>
  </si>
  <si>
    <t>om</t>
  </si>
  <si>
    <t>Soumya Pujari</t>
  </si>
  <si>
    <t>soumyapujari@sammoninfra.com</t>
  </si>
  <si>
    <t>Nivia Electricals</t>
  </si>
  <si>
    <t>MANDLIK NAGAR TOPH SHERKHANIA PALOURA JAMMU 181121, Bedarwah, Jammu &amp; Kashmir, India</t>
  </si>
  <si>
    <t>shapu789@gmail.com</t>
  </si>
  <si>
    <t>Puneet Sharma</t>
  </si>
  <si>
    <t>Ali Mohammamd</t>
  </si>
  <si>
    <t>Jaipur, Rajasthan, India</t>
  </si>
  <si>
    <t>5 TON Single Girder Overhead Crane, Span: 10-20 m</t>
  </si>
  <si>
    <t>aliraja53@gmail.com</t>
  </si>
  <si>
    <t>PW R&amp;B Department South Kashmir</t>
  </si>
  <si>
    <t>Yari Pora, Jammu &amp; Kashmir, India</t>
  </si>
  <si>
    <t>zakirbhat52@gmail.com</t>
  </si>
  <si>
    <t>Zahoor Bhat</t>
  </si>
  <si>
    <t>tta</t>
  </si>
  <si>
    <t>samsam19782001@gmail.com</t>
  </si>
  <si>
    <t>Sampathkumar</t>
  </si>
  <si>
    <t>DiFACTO Robotics</t>
  </si>
  <si>
    <t> XY rails</t>
  </si>
  <si>
    <t>vinayak.ik@difacto.com</t>
  </si>
  <si>
    <t>Vinayak I.K</t>
  </si>
  <si>
    <t>Anand Dalwale</t>
  </si>
  <si>
    <t>JM Road, Opp Sancheti Hospital, Pune, Maharashtra, India</t>
  </si>
  <si>
    <t>hoist</t>
  </si>
  <si>
    <t>dalwaleanand@hotmail.com</t>
  </si>
  <si>
    <t xml:space="preserve">Wipro Pari </t>
  </si>
  <si>
    <t xml:space="preserve">Dhangarwada </t>
  </si>
  <si>
    <t xml:space="preserve">500KG JIB Crane </t>
  </si>
  <si>
    <t xml:space="preserve"> &lt;mukund.s.2@wipropari.com&gt;</t>
  </si>
  <si>
    <t>Mukund</t>
  </si>
  <si>
    <t>FEB-JC03SV</t>
  </si>
  <si>
    <t>Prabhat Fabricators</t>
  </si>
  <si>
    <t>3rd Floor, Apartment No /Flat No 5, Ganga Apartment , Sector No 16 , Raje Shivaji Nagar ,Chikhali,, Pimpri Chinchwad, Maharashtra, India</t>
  </si>
  <si>
    <t>Jitendra Choudhary</t>
  </si>
  <si>
    <t>Kuldeep</t>
  </si>
  <si>
    <t>Samson Group</t>
  </si>
  <si>
    <t xml:space="preserve">Khed Midc </t>
  </si>
  <si>
    <t xml:space="preserve">Q point Solutions </t>
  </si>
  <si>
    <t>Vadgoansheri, Wagholi</t>
  </si>
  <si>
    <t>SG EOT CRane of 1T</t>
  </si>
  <si>
    <t>mustafa@qpointsolutions.com'</t>
  </si>
  <si>
    <t xml:space="preserve">Mustafa </t>
  </si>
  <si>
    <t>FEB-SG002SV</t>
  </si>
  <si>
    <t>M L Industries</t>
  </si>
  <si>
    <t>Chennai, Tamil Nadu, India</t>
  </si>
  <si>
    <t>edith.24091999@gmail.com</t>
  </si>
  <si>
    <t>Srinivasan</t>
  </si>
  <si>
    <t>Bhilad, Gujarat, India</t>
  </si>
  <si>
    <t>3 Ton Single Girder EOT Crane, Span: 8.7 Mtr.</t>
  </si>
  <si>
    <t>pappu.mahto@vmach.in</t>
  </si>
  <si>
    <t>mehto</t>
  </si>
  <si>
    <t>Bajaj Enterprises</t>
  </si>
  <si>
    <t>26- A, Scheme No. 94,Sector H, Vijay Udyog Nagar, Indore, Madhya Pradesh, India</t>
  </si>
  <si>
    <t>adibajaj174@gmail.com</t>
  </si>
  <si>
    <t>Aditya Bajaj</t>
  </si>
  <si>
    <t>prabhakarsavulgay@gmail.com</t>
  </si>
  <si>
    <t>Parbha</t>
  </si>
  <si>
    <t>M.S. Industries</t>
  </si>
  <si>
    <t>S NO.67 , H.NO.7 NR. KAMALA GULABRANI  KATRAJ, Pune, Maharashtra, India</t>
  </si>
  <si>
    <t>sohammore94@gmail.com</t>
  </si>
  <si>
    <t>Soham More</t>
  </si>
  <si>
    <t>Unique Enterprises</t>
  </si>
  <si>
    <t>Pap-S-109 &amp; 110, Unnamed Road, Chakan Industrial Area Phase 2, Siddhant, Chakan, Pune, Maharashtra, India</t>
  </si>
  <si>
    <t>unent.pune@gmail.com</t>
  </si>
  <si>
    <t>MANOJ VILAS JAGTAP</t>
  </si>
  <si>
    <t>ganesh</t>
  </si>
  <si>
    <t>Prologic Mechtronics Pvt Ltd</t>
  </si>
  <si>
    <t>Single Girder EOT Cranes 20T</t>
  </si>
  <si>
    <t>rajendrapatil@prologicmechatronics.com</t>
  </si>
  <si>
    <t>FEB-DG01SV-10</t>
  </si>
  <si>
    <t>1,11,11,834</t>
  </si>
  <si>
    <t>DUNKAN ENGINEERING LTD</t>
  </si>
  <si>
    <t>Electric Chain Hoist of 1MT.</t>
  </si>
  <si>
    <t>del.maintenance@duncanengg.com</t>
  </si>
  <si>
    <t>Hrushikesh Pansare.</t>
  </si>
  <si>
    <t>5,25,000</t>
  </si>
  <si>
    <t>Semi Gantry EOT Crane</t>
  </si>
  <si>
    <t>darkdon1234567890@gmail.com</t>
  </si>
  <si>
    <t>ADITYA VIKAS POKHARNA</t>
  </si>
  <si>
    <t>PINNACLE MOBOLITY SOLUTIONS</t>
  </si>
  <si>
    <t>FEB-SG03SV</t>
  </si>
  <si>
    <t>31,56,888</t>
  </si>
  <si>
    <t xml:space="preserve">Mahindra &amp; mahindra </t>
  </si>
  <si>
    <t xml:space="preserve">Electric Wire Rope Hoist of 2MT Capacity </t>
  </si>
  <si>
    <t>Jiddewar.shashank@mahindra.com'</t>
  </si>
  <si>
    <t>FEB-HT04SV</t>
  </si>
  <si>
    <t>Edwards India Ltd</t>
  </si>
  <si>
    <t>Dismantling &amp; Installation of Support structure</t>
  </si>
  <si>
    <t>alok.deshmukh@atlascopco.com</t>
  </si>
  <si>
    <t>Alok Deshmukh</t>
  </si>
  <si>
    <t>FEB-OQ04SV</t>
  </si>
  <si>
    <t xml:space="preserve">KPCL </t>
  </si>
  <si>
    <t>Hadapsar</t>
  </si>
  <si>
    <t>SG EOT Crane of 3MT &amp; 5MT Capacity</t>
  </si>
  <si>
    <t xml:space="preserve"> &lt;sangramsinh.ghatge@kirloskar.com&gt;</t>
  </si>
  <si>
    <t>Sangramsinh Ghatge (KPCL)'</t>
  </si>
  <si>
    <t>FEB-SG05SV</t>
  </si>
  <si>
    <t>ŠKODA AUTO VOLKSWAGEN INDIA PRIVATE LIMITED</t>
  </si>
  <si>
    <t xml:space="preserve">Mhalunghe </t>
  </si>
  <si>
    <t xml:space="preserve">Monorail System of 1.5T Capacity </t>
  </si>
  <si>
    <t>&lt;extern.abhijeet.nikam@skoda-vw.co.in&gt;</t>
  </si>
  <si>
    <t xml:space="preserve">Nikam, Abhijeet </t>
  </si>
  <si>
    <t>FEB-MN02SV</t>
  </si>
  <si>
    <t>34,37,396.78</t>
  </si>
  <si>
    <t>DiFACTO ROBOTICS &amp; AUTOMATION PVT. LTD</t>
  </si>
  <si>
    <t>BANGALORE</t>
  </si>
  <si>
    <t>XY Rail System with Air Balancer of 100kg</t>
  </si>
  <si>
    <t>Yash Industries</t>
  </si>
  <si>
    <t>Khate Kramank 3964 Survey No.509/42 Lonar-2  Lonar  Buldhana, Lonar, Maharashtra, India</t>
  </si>
  <si>
    <t>Wall Travelling Jib Crane</t>
  </si>
  <si>
    <t>itin sarkate</t>
  </si>
  <si>
    <t>Raditech Hydromatics</t>
  </si>
  <si>
    <t>P-219,0,Unique Park,Unique Park Road,Kolkata,Kolkata, Howrah, West Bengal, India</t>
  </si>
  <si>
    <t>sbdhpl@gmail.com</t>
  </si>
  <si>
    <t>Subhasis Bhattacharya</t>
  </si>
  <si>
    <t>HOFFEN PLASTIC PVT LTD</t>
  </si>
  <si>
    <t>hydrabad</t>
  </si>
  <si>
    <t>Electric Wire Rope Hoist </t>
  </si>
  <si>
    <t>hoffenplastics@gmail.com'</t>
  </si>
  <si>
    <t>FEB-HT06SV</t>
  </si>
  <si>
    <t>Electrical Overhead Traveling Crane</t>
  </si>
  <si>
    <t>atulmatere@gmail.com</t>
  </si>
  <si>
    <t>Atul Kisan Matere</t>
  </si>
  <si>
    <t>Bansal Plastic Udhyog</t>
  </si>
  <si>
    <t>Dubey Ka Parao, Aligarh, Uttar Pradesh, India</t>
  </si>
  <si>
    <t>Industrial Goliath Gantry Crane</t>
  </si>
  <si>
    <t>Ranjeet Kumar Chandra</t>
  </si>
  <si>
    <t>Near Bus Stand, Puruliya, West Bengal, India</t>
  </si>
  <si>
    <t>bibekchandra@ymail.com</t>
  </si>
  <si>
    <t>Vivek Chandra</t>
  </si>
  <si>
    <t>Madurai Vinayak Wiremesh Industries</t>
  </si>
  <si>
    <t>Plot No.18-21, Sri Velevan Nagar, Viraganoor Ring Road, Near Velammal Hospital,, Madurai, Tamil Nadu, India</t>
  </si>
  <si>
    <t>mduvinayakwiremeshindustries@gmail.com</t>
  </si>
  <si>
    <t>Prasanna</t>
  </si>
  <si>
    <t>Lee Hydraulics And Fastenrs Private Limited</t>
  </si>
  <si>
    <t>Plot No.11, Sy. No : 861, IDA Bhongir Town and Mandal., Bhongir, Telangana, India</t>
  </si>
  <si>
    <t>Pneumatic Industrial Manipulator</t>
  </si>
  <si>
    <t>chindam.hruthik@gmail.com</t>
  </si>
  <si>
    <t>Hruthik Chindam</t>
  </si>
  <si>
    <t>Radiant corporation</t>
  </si>
  <si>
    <t>Nagpur, Maharashtra, India</t>
  </si>
  <si>
    <t>vittal.m@radiantcorpn.com</t>
  </si>
  <si>
    <t>katic</t>
  </si>
  <si>
    <t>Karad projects Ltd</t>
  </si>
  <si>
    <t xml:space="preserve">Satara </t>
  </si>
  <si>
    <t>gc pvt ltd</t>
  </si>
  <si>
    <t>Jodhpur</t>
  </si>
  <si>
    <t>shreeniwasbbh@gmail.com</t>
  </si>
  <si>
    <t>Shreeniwas bhawnani</t>
  </si>
  <si>
    <t>GS Peb And Civil Works Private Limited</t>
  </si>
  <si>
    <t>MRF India LTD</t>
  </si>
  <si>
    <t xml:space="preserve">LCS system with support structure </t>
  </si>
  <si>
    <t>FEB-LCS05SV</t>
  </si>
  <si>
    <t>13,63,759.00</t>
  </si>
  <si>
    <t xml:space="preserve">AROR ENGINEERING </t>
  </si>
  <si>
    <t xml:space="preserve">SANY HEAVY INDUSTRY LTD </t>
  </si>
  <si>
    <t>chakan</t>
  </si>
  <si>
    <t xml:space="preserve">Malgudi make Hoist </t>
  </si>
  <si>
    <t>Atul Mate' &lt;atul.mate@sanygroup.com&gt;</t>
  </si>
  <si>
    <t>Atul Mate</t>
  </si>
  <si>
    <t>FEBHT07SV</t>
  </si>
  <si>
    <t xml:space="preserve">NETZSCH TECHNOLOGIES PVT LTD </t>
  </si>
  <si>
    <t>goa</t>
  </si>
  <si>
    <t xml:space="preserve">Dismantling, Loading, Unloading &amp; Installation of Jib Crane </t>
  </si>
  <si>
    <t>Fatan, Manohar' &lt;manohar.fatan@netzsch.com&gt;</t>
  </si>
  <si>
    <t xml:space="preserve">Fatan </t>
  </si>
  <si>
    <t>FEB-OQ05SV</t>
  </si>
  <si>
    <t>Cherai osian</t>
  </si>
  <si>
    <t>pillar mounted jib crane</t>
  </si>
  <si>
    <t>mangijakhars@gmail.com</t>
  </si>
  <si>
    <t>Mangilal</t>
  </si>
  <si>
    <t>L G Balakrishnan &amp; Bros Ltd.</t>
  </si>
  <si>
    <t>Krisnarayapuram Road, Ganapathy, Coimbatore, Tamil Nadu, India</t>
  </si>
  <si>
    <t>Industrial Manipulator, for Material Lifting</t>
  </si>
  <si>
    <t>kannantks123@gmail.com</t>
  </si>
  <si>
    <t>SITE VISIT REQ.</t>
  </si>
  <si>
    <t>SUHAS MANOHAR DESHMANE</t>
  </si>
  <si>
    <t>RAVI GARDEN, Manjri Bk, Pune Division, Pune, Maharashtra, India</t>
  </si>
  <si>
    <t>Goliath</t>
  </si>
  <si>
    <t>Goliath Crane</t>
  </si>
  <si>
    <t>Ambica Enterprise</t>
  </si>
  <si>
    <t>3d/102,Heritage Apartment,Ganesh, Gavde Road Mulund,West, 400080, Mumbai, Maharashtra, India</t>
  </si>
  <si>
    <t>Jitendra Doshi</t>
  </si>
  <si>
    <t>Vel Engineering</t>
  </si>
  <si>
    <t>SF No 199/1, PKD Nagar Narasimhanaickenpalayam, Coimbatore, Tamil Nadu, India</t>
  </si>
  <si>
    <t>Senthil Kumar Logeswari</t>
  </si>
  <si>
    <t>nikhil</t>
  </si>
  <si>
    <t>GAURAV Vijay</t>
  </si>
  <si>
    <t>Dnyandeep Engineering Works</t>
  </si>
  <si>
    <t>Milkat No-4436/97, Old No-4314, 2086 B/2, Dnyandeep Engineering Works, Kirloskarwadi Palus Road Palus, Sangli, Maharashtra, India</t>
  </si>
  <si>
    <t>ajitsalunkhe14@gmail.com</t>
  </si>
  <si>
    <t>ajit</t>
  </si>
  <si>
    <t>suribhe electrical</t>
  </si>
  <si>
    <t>Dewas, Madhya Pradesh, India</t>
  </si>
  <si>
    <t>2 Ton Electric Hoist </t>
  </si>
  <si>
    <t>Kirat International</t>
  </si>
  <si>
    <t>0 97 Iie Sidcul Haridwar Sector 7, Haridwar, Uttarakhand, India</t>
  </si>
  <si>
    <t>headmfg@kiratinternational.com</t>
  </si>
  <si>
    <t>Harpreet</t>
  </si>
  <si>
    <t>kkk</t>
  </si>
  <si>
    <t>Ashwini Enterprises</t>
  </si>
  <si>
    <t>No. 36, HPC Main Road, Hebbal Industrial Area, Opp. Cipet College, Mahalakshmi Layout, Mysuru, Karnataka, India</t>
  </si>
  <si>
    <t>Kadapa, Andhra Pradesh, India</t>
  </si>
  <si>
    <t> Electric Hoist</t>
  </si>
  <si>
    <t>Mr YKS MAHESWARA RAO</t>
  </si>
  <si>
    <t>Gantry Cranes</t>
  </si>
  <si>
    <t>aydeep Patel</t>
  </si>
  <si>
    <t>ATHARVA CRANES AND HOISTS LLP</t>
  </si>
  <si>
    <t>Electric Chain Hoist Of 250kg Capacity</t>
  </si>
  <si>
    <t>sales .' &lt;sales@atharvacranes.com&gt;</t>
  </si>
  <si>
    <t>FEB-HT08SV</t>
  </si>
  <si>
    <t>1,95,000</t>
  </si>
  <si>
    <t>DANFOSS SYSTEM LIMITED</t>
  </si>
  <si>
    <t>Zero Gravity Manipulator of 100kg</t>
  </si>
  <si>
    <t>Kedar Shewalkar' &lt;kedar.shewalkar@danfoss.com&gt;</t>
  </si>
  <si>
    <t>Kedar Shewalkar</t>
  </si>
  <si>
    <t>FEB-MN03SV</t>
  </si>
  <si>
    <t>Prologics LTD</t>
  </si>
  <si>
    <t>Chakan Pune</t>
  </si>
  <si>
    <t>Electric Wire Rope Hoist of 3.2MT Capacity</t>
  </si>
  <si>
    <t>Rajendra Patil' &lt;rajendrapatil@prologicmechatronics.com&gt;</t>
  </si>
  <si>
    <t>Rajendra Patil'</t>
  </si>
  <si>
    <t>CARE LIFTING EQUIPMENTS</t>
  </si>
  <si>
    <t>Aluminum type profile LCS System of 250KG Capacity</t>
  </si>
  <si>
    <t>sales@carelifting.com'</t>
  </si>
  <si>
    <t>FEB-LCS06SV</t>
  </si>
  <si>
    <t>7,99,500.00</t>
  </si>
  <si>
    <t>Shri gurMukhdas Ltd</t>
  </si>
  <si>
    <t>Vadodara Gujrat</t>
  </si>
  <si>
    <t xml:space="preserve">Zero gravity Pneumatic Manipulator of 100KG Capacity </t>
  </si>
  <si>
    <t>Shreeniwasbbh@gmail.com'</t>
  </si>
  <si>
    <t>7,99,500.01</t>
  </si>
  <si>
    <t>Pace tool Assembly</t>
  </si>
  <si>
    <t xml:space="preserve">DG EOT Crane of 10MT Capacity </t>
  </si>
  <si>
    <t>salespune@pacetools.in'</t>
  </si>
  <si>
    <t>soham nikam</t>
  </si>
  <si>
    <t>FEB-DG03SV</t>
  </si>
  <si>
    <t>7,99,500.02</t>
  </si>
  <si>
    <t>Shri Ganesh Collection</t>
  </si>
  <si>
    <t>Dist- Pume, Pune, Maharashtra, India</t>
  </si>
  <si>
    <t>sganesh1892@gmail.com</t>
  </si>
  <si>
    <t>Ganesh Suryawanshi</t>
  </si>
  <si>
    <t>Yallappa</t>
  </si>
  <si>
    <t>yatheeshkn041@gmail.com</t>
  </si>
  <si>
    <t>Yatheesh K N</t>
  </si>
  <si>
    <t>Jalna, Maharashtra, India</t>
  </si>
  <si>
    <t>dgeot</t>
  </si>
  <si>
    <t>yogesh</t>
  </si>
  <si>
    <t>RAJPATH INFRACON PVT LTD</t>
  </si>
  <si>
    <t>Satara, Maharashtra, India</t>
  </si>
  <si>
    <t>aniketbichkule49@gmail.com</t>
  </si>
  <si>
    <t>niket</t>
  </si>
  <si>
    <t>CHAMARAHALLI</t>
  </si>
  <si>
    <t>Gokul Shirgaon MIDC, Maharashtra, India</t>
  </si>
  <si>
    <t>Siddhant Ghevade</t>
  </si>
  <si>
    <t>Gor Gaminiben Ashokkumar</t>
  </si>
  <si>
    <t xml:space="preserve">Winfast solutions </t>
  </si>
  <si>
    <t xml:space="preserve">Support Structure of 250kg Capacity </t>
  </si>
  <si>
    <t>mayur.jagtap@winfastsolution.in'</t>
  </si>
  <si>
    <t xml:space="preserve">Mayur Jagtap </t>
  </si>
  <si>
    <t>FEB-LCS-06SV</t>
  </si>
  <si>
    <t xml:space="preserve">SS cranes </t>
  </si>
  <si>
    <t xml:space="preserve">Electric Chain Hoist 500kg Capacity </t>
  </si>
  <si>
    <t>sscranesindia@gmail.com'</t>
  </si>
  <si>
    <t>FEB-HT10SV</t>
  </si>
  <si>
    <t>Liftsafe Cranes India Pvt. Ltd.</t>
  </si>
  <si>
    <t xml:space="preserve">Electric Chain Hoist 3MT Capacity </t>
  </si>
  <si>
    <t>pratiksha</t>
  </si>
  <si>
    <t>FEB-HT11SV</t>
  </si>
  <si>
    <t>Pinnacle Mobility Solutions</t>
  </si>
  <si>
    <t>Floor Mounted Jib Crane of 2000KG Capacity</t>
  </si>
  <si>
    <t>anil.m@ekamobility.com'</t>
  </si>
  <si>
    <t>rajiv</t>
  </si>
  <si>
    <t>JAN JC014SV</t>
  </si>
  <si>
    <t>52,00,000.00</t>
  </si>
  <si>
    <t>SPM INDIA LTD</t>
  </si>
  <si>
    <t xml:space="preserve">Flame Proof Hoist of 1MT Capacity </t>
  </si>
  <si>
    <t>purchase SPM' &lt;purchase@spmil.com&gt;</t>
  </si>
  <si>
    <t>angam</t>
  </si>
  <si>
    <t>FEB-MN12SV</t>
  </si>
  <si>
    <t>Accurate Engineering Company</t>
  </si>
  <si>
    <t>Manual Jib Crane</t>
  </si>
  <si>
    <t>pramod.kunjir10@gmail.com</t>
  </si>
  <si>
    <t>pramod</t>
  </si>
  <si>
    <t>Anusha Infratech</t>
  </si>
  <si>
    <t>1007, Waghodia GIDC, Vadodara, Gujarat, India</t>
  </si>
  <si>
    <t>anushainfratech@gmail.com</t>
  </si>
  <si>
    <t>Pravardhan Shetty</t>
  </si>
  <si>
    <t>Navnirmiti Composites Innovative Solutions LLP</t>
  </si>
  <si>
    <t>Block No T-153/1, Midc, Bhosari, Gala No 88, Mahasainik Industrial Estate, Telco Midc Road, Philips Chowk, Near Lear Corporation Company, Pimpri Chinchwad, Pune, Maharashtra, India</t>
  </si>
  <si>
    <t>eot</t>
  </si>
  <si>
    <t>navnirmiti@protonmail.com</t>
  </si>
  <si>
    <t>Navnirmiti Composites Innovative Solution</t>
  </si>
  <si>
    <t>KSB INDIA LTD</t>
  </si>
  <si>
    <t>SHIRWAL</t>
  </si>
  <si>
    <t>Wall Mounted Jib Crane of 500KG Capacity</t>
  </si>
  <si>
    <t>Devendra kapde</t>
  </si>
  <si>
    <t>Rimko India</t>
  </si>
  <si>
    <t>Bangalaru</t>
  </si>
  <si>
    <t xml:space="preserve">DG EOT CRANE OF 30MT </t>
  </si>
  <si>
    <t>sales@rimcoindia.com'</t>
  </si>
  <si>
    <t>FEB-DG02SV</t>
  </si>
  <si>
    <t>58,88,697.67</t>
  </si>
  <si>
    <t>Sri Krishna Rock Tools</t>
  </si>
  <si>
    <t>Sambalpur, Odisha, India</t>
  </si>
  <si>
    <t>5 ton Crane</t>
  </si>
  <si>
    <t>nrk.sbp@gmail.com</t>
  </si>
  <si>
    <t>N</t>
  </si>
  <si>
    <t>JIB</t>
  </si>
  <si>
    <t>Valliappa &amp; Co</t>
  </si>
  <si>
    <t>373 Periyar Nagar, Pudukkottai, Tamil Nadu, India</t>
  </si>
  <si>
    <t>MONORAIL</t>
  </si>
  <si>
    <t>valliappaandcompany@gmail.com</t>
  </si>
  <si>
    <t>Chockalingam</t>
  </si>
  <si>
    <t>My Store</t>
  </si>
  <si>
    <t>at Post, Satara, Maharashtra, India</t>
  </si>
  <si>
    <t>shubhamfarkade150@gmail.com</t>
  </si>
  <si>
    <t>Shubham Store</t>
  </si>
  <si>
    <t>PR Industries</t>
  </si>
  <si>
    <t>Ground Floor Gat No 162, 163, 164 P,  B-801 Chikhali Vishnu Vihar, Jadhav, Pune, Maharashtra, India</t>
  </si>
  <si>
    <t>Floor Mounted Jib Crane</t>
  </si>
  <si>
    <t>dp919569@gmail.com</t>
  </si>
  <si>
    <t>Devendra</t>
  </si>
  <si>
    <t>Rajinder Shop</t>
  </si>
  <si>
    <t>205, New Baldev Nagar, Arjun Singh Nagar, Jalandhar, Punjab, India</t>
  </si>
  <si>
    <t>ELECTRIC HOIST</t>
  </si>
  <si>
    <t>rajinderkang071@gmail.com</t>
  </si>
  <si>
    <t>R</t>
  </si>
  <si>
    <t xml:space="preserve">Delval flow Tech </t>
  </si>
  <si>
    <t xml:space="preserve">Shirwal </t>
  </si>
  <si>
    <t xml:space="preserve">LCS System of 1MT with Support Structure of 2MT Capacity </t>
  </si>
  <si>
    <t>mrajput@delvalflow.com'</t>
  </si>
  <si>
    <t>Rajput</t>
  </si>
  <si>
    <t>FEB-LCS08SV</t>
  </si>
  <si>
    <t>INDEVA ERGOMATIC INDIA PRIVATE LIMITED</t>
  </si>
  <si>
    <t>Festoonoing System</t>
  </si>
  <si>
    <t xml:space="preserve"> &lt;purchase@indeva-ergomatic.co.in&gt;</t>
  </si>
  <si>
    <t>Nikhil Konde</t>
  </si>
  <si>
    <t>FEB-FS01SV</t>
  </si>
  <si>
    <t>FORBES MARSHALL</t>
  </si>
  <si>
    <t>sbelambe@forbesmarshall.com'</t>
  </si>
  <si>
    <t>FEB-HT13SV</t>
  </si>
  <si>
    <t xml:space="preserve">Bahrain Workshop </t>
  </si>
  <si>
    <t xml:space="preserve">kingdom of Bahrain </t>
  </si>
  <si>
    <t xml:space="preserve">Pillar Mounted Jib Crane of 2MT Capacity </t>
  </si>
  <si>
    <t>gk@bwcbah.com'</t>
  </si>
  <si>
    <t>Ganesh sir</t>
  </si>
  <si>
    <t>FEB-JC01SV</t>
  </si>
  <si>
    <t>Nandi Farm</t>
  </si>
  <si>
    <t>chetn46@gmail.com</t>
  </si>
  <si>
    <t>CHETAN</t>
  </si>
  <si>
    <t>dineshdamorkismat242@gmail.com</t>
  </si>
  <si>
    <t>Damor Dinesh Bhai Kabirbhsi</t>
  </si>
  <si>
    <t>PARTH</t>
  </si>
  <si>
    <t> Gantry Cranes</t>
  </si>
  <si>
    <t xml:space="preserve">Portable Gantry Crane of 1MT Capacity </t>
  </si>
  <si>
    <t>FEB-PC01SV</t>
  </si>
  <si>
    <t>Endo Kogyo Ltd</t>
  </si>
  <si>
    <t>Kondhwa, Pune</t>
  </si>
  <si>
    <t xml:space="preserve">Support Structure </t>
  </si>
  <si>
    <t>8600-120-115</t>
  </si>
  <si>
    <t xml:space="preserve"> &lt;eki1@endo-india.co.in&gt;</t>
  </si>
  <si>
    <t>Akshay Salunkhe</t>
  </si>
  <si>
    <t>9,26,795.00</t>
  </si>
  <si>
    <t>Eka Mobility Solutions</t>
  </si>
  <si>
    <t>Floor Crane of 250kg Capacity</t>
  </si>
  <si>
    <t>&lt;Vishal.Pawar@ekamobility.com&gt;</t>
  </si>
  <si>
    <t xml:space="preserve">Vishal Pawar' </t>
  </si>
  <si>
    <t>FEB-FC01SV</t>
  </si>
  <si>
    <t xml:space="preserve">Jib Crane of 1MT Capacity </t>
  </si>
  <si>
    <t>pankaj.damare@ekamobility.com'</t>
  </si>
  <si>
    <t>Pankaj Damare</t>
  </si>
  <si>
    <t>FEB-JC06SV</t>
  </si>
  <si>
    <t>5,60,000</t>
  </si>
  <si>
    <t>SGP  Electropneumatics</t>
  </si>
  <si>
    <t xml:space="preserve">Supply of Support Structure </t>
  </si>
  <si>
    <t>Newton G P' &lt;newton@gpe.net.in&gt;</t>
  </si>
  <si>
    <t>Newton</t>
  </si>
  <si>
    <t>FEB-LCS09SV</t>
  </si>
  <si>
    <t>sarth solar</t>
  </si>
  <si>
    <t>sarthakdhanve@gmail.com</t>
  </si>
  <si>
    <t>SARTHAK PRASHANT DHANAVE</t>
  </si>
  <si>
    <t>Clay Kids</t>
  </si>
  <si>
    <t>21/22, Ashapura Industries Estate, NR. Alankar Boiler, Gidc Vatva, Ahmedabad, Gujarat, India</t>
  </si>
  <si>
    <t>3 HP Electric Wire Rope Hoist</t>
  </si>
  <si>
    <t>claykids.ind@gmail.com</t>
  </si>
  <si>
    <t>Pooja Joshi</t>
  </si>
  <si>
    <t>WiproPari</t>
  </si>
  <si>
    <t>Dhangarwadi Pune</t>
  </si>
  <si>
    <t xml:space="preserve">Electric Chain Hoist </t>
  </si>
  <si>
    <t xml:space="preserve"> &lt;shantinath.k@wipropari.com&gt;</t>
  </si>
  <si>
    <t>Shantinath S. Kudache</t>
  </si>
  <si>
    <t>FEB-HT015SV</t>
  </si>
  <si>
    <t>3,36,411</t>
  </si>
  <si>
    <t>Thirumalai Steels &amp; Traders</t>
  </si>
  <si>
    <t>24/3, Workshop Corner, Mettur Dam, Mettur, Tamil Nadu, India</t>
  </si>
  <si>
    <t>Brintha Rajendran</t>
  </si>
  <si>
    <t>Ghaziabad, Uttar Pradesh, India</t>
  </si>
  <si>
    <t>ra.engineers.gzb@gmail.com</t>
  </si>
  <si>
    <t>Arshad Ahmed</t>
  </si>
  <si>
    <t>Jay Khodiyar Electricals &amp; Electronics</t>
  </si>
  <si>
    <t>Shop No.12 Shakti Complex, Bharuch, Gujarat, India</t>
  </si>
  <si>
    <t>Wire Rope Hoist</t>
  </si>
  <si>
    <t>jkee.dahej@gmail.com</t>
  </si>
  <si>
    <t>Modulex Moduler Buildings Pvt Ltd</t>
  </si>
  <si>
    <t>Reg Off: A82 Indapur MIDC,, Pune, Maharashtra, India</t>
  </si>
  <si>
    <t>chetan.chavan@modulex.in</t>
  </si>
  <si>
    <t>chetan</t>
  </si>
  <si>
    <t>Sri Vari CNC And Automation</t>
  </si>
  <si>
    <t>D.No-2, Iswarya Illam, Balaji Nagar, P&amp;T Colony, Coimbatore, Tamil Nadu, India</t>
  </si>
  <si>
    <t>dharanikumarsenthil@gmail.com</t>
  </si>
  <si>
    <t>Sri Vari Cnc And Automation</t>
  </si>
  <si>
    <t>Krishna Kripa Industries</t>
  </si>
  <si>
    <t>15 Kalyan Colony  Sikar House  Jaipur, Jaipur, Rajasthan, India</t>
  </si>
  <si>
    <t>lokeshsharma9358@gmail.com</t>
  </si>
  <si>
    <t>Lokesh</t>
  </si>
  <si>
    <t>Hah Engineering Private Limited</t>
  </si>
  <si>
    <t>H.No. 1-5-269/1/1, Bakaram, Musheerabad, Hyderabad, Telangana, India</t>
  </si>
  <si>
    <t>Double Girder Gantry Cranes</t>
  </si>
  <si>
    <t>info.steel@hahgroup.in</t>
  </si>
  <si>
    <t>Zaffer Miya</t>
  </si>
  <si>
    <t>Siddesh Engineering Works</t>
  </si>
  <si>
    <t>5 A, Rukma Udhog Industrial Premises, Thane, Maharashtra, India</t>
  </si>
  <si>
    <t>dayanandpatil73@gmail.com</t>
  </si>
  <si>
    <t>Dayanand Patil</t>
  </si>
  <si>
    <t>Chirag Enterprises</t>
  </si>
  <si>
    <t>Thane, Maharashtra, India</t>
  </si>
  <si>
    <t>Carlstahl Craftsman Eseries Power Trolley</t>
  </si>
  <si>
    <t>jainc0537@gmail.com</t>
  </si>
  <si>
    <t>Virar, Maharashtra, India</t>
  </si>
  <si>
    <t>Akshta Gawas</t>
  </si>
  <si>
    <t>Single Girder Cranes</t>
  </si>
  <si>
    <t>surajphule11@gmail.com</t>
  </si>
  <si>
    <t>Suraj Phule</t>
  </si>
  <si>
    <t>Jib Crane .</t>
  </si>
  <si>
    <t>mk.yadav150780@gmail.com</t>
  </si>
  <si>
    <t>MADHAVENDRA YADAV</t>
  </si>
  <si>
    <t>Coulomb Litech Pvt. Ltd.</t>
  </si>
  <si>
    <t>Plot No D-18, Midc Taloja Industrial Area, Village Pendhar, Padghe Panvel, Dharam Kanta, Navi Mumbai, Maharashtra, India</t>
  </si>
  <si>
    <t>Double Girder Gantry Crane</t>
  </si>
  <si>
    <t>ammeyasathe17@gmail.com</t>
  </si>
  <si>
    <t>Ameya Sathe</t>
  </si>
  <si>
    <t>ARUN IMPEX ELECTRICALS PVT LTD</t>
  </si>
  <si>
    <t>amesimpex.engg@gmail.com</t>
  </si>
  <si>
    <t>Saho  Industry</t>
  </si>
  <si>
    <t>pankajletsbegin@gmail.com</t>
  </si>
  <si>
    <t>Material Handling</t>
  </si>
  <si>
    <t>shibin8689@gmail.com</t>
  </si>
  <si>
    <t>Shibin A</t>
  </si>
  <si>
    <t>orbit metform pvt ltd</t>
  </si>
  <si>
    <t>naitik.gosar@rediffmail.com</t>
  </si>
  <si>
    <t>Ashok Gosar</t>
  </si>
  <si>
    <t>polymatech</t>
  </si>
  <si>
    <t>Kancheepuram, Tamil Nadu, India</t>
  </si>
  <si>
    <t>prakashmmn25@gmail.com</t>
  </si>
  <si>
    <t>Prakash</t>
  </si>
  <si>
    <t>Shree Balaji Impex</t>
  </si>
  <si>
    <t>Ground Floor, Gala No 4 To 7, Bldg No A, Akhil Industrial Estate, Waliv Road, Vasai Virar, Vasai, Maharashtra, India</t>
  </si>
  <si>
    <t>Tejas Shantilal Shah</t>
  </si>
  <si>
    <t>Shimoga, Karnataka, India</t>
  </si>
  <si>
    <t>hidu78600@gmail.com</t>
  </si>
  <si>
    <t>Hidayath</t>
  </si>
  <si>
    <t>PILLAR GLOBAL</t>
  </si>
  <si>
    <t xml:space="preserve">LCS System of 1MT Capacity </t>
  </si>
  <si>
    <t>pranav.bafna@piller.de'</t>
  </si>
  <si>
    <t>FEB-LCS10SV</t>
  </si>
  <si>
    <t>Salem, Tamil Nadu, India</t>
  </si>
  <si>
    <t>J.J.Alluminium Pvt. Ltd.</t>
  </si>
  <si>
    <t>Plot No. 117, Road No. 6, Kathwada G. I. D. C., Kathwada, Odhav, Ahmedabad, Gujarat, India</t>
  </si>
  <si>
    <t>Automation</t>
  </si>
  <si>
    <t>sutarmahesh71@gmail.com</t>
  </si>
  <si>
    <t>Jatin Kansara</t>
  </si>
  <si>
    <t>Mandi, Himachal Pradesh, India</t>
  </si>
  <si>
    <t>Himachal Pradesh</t>
  </si>
  <si>
    <t>gkunal192@gmail.com</t>
  </si>
  <si>
    <t>Best Welding Solutions</t>
  </si>
  <si>
    <t>S.F.No.137/1a2, D.No.50/2, Barathi Street, Chennavedapatti, Coimbatore, Tamil Nadu, India</t>
  </si>
  <si>
    <t>info@bestweldingsolutions.in</t>
  </si>
  <si>
    <t>MAHESH A</t>
  </si>
  <si>
    <t>Rational Engineers Ltd</t>
  </si>
  <si>
    <t>Single Girder Kbk Rail System, 0.5 Ton</t>
  </si>
  <si>
    <t>ritesh.gajankar@rationalengineers.com</t>
  </si>
  <si>
    <t>Ritesh Gajankar</t>
  </si>
  <si>
    <t>Ashish Tripathi</t>
  </si>
  <si>
    <t>Vapi, Gujarat, India</t>
  </si>
  <si>
    <t>15 Ton eot</t>
  </si>
  <si>
    <t>at8854028@gmail.com</t>
  </si>
  <si>
    <t>Cranemen Services</t>
  </si>
  <si>
    <t>1st Floor, 5d/8d, Railway Road, Nit Faridabad, Faridabad, Haryana, India</t>
  </si>
  <si>
    <t>Atul Sharma</t>
  </si>
  <si>
    <t>Bhavani Shoppe</t>
  </si>
  <si>
    <t>Ground Floor, 10-120, Bhavanishoppe, Gandhi Road Ext, Chittoor, Andhra Pradesh, India</t>
  </si>
  <si>
    <t>Light Crane</t>
  </si>
  <si>
    <t>babubmc@icloud.com</t>
  </si>
  <si>
    <t>Unitech Power Transmission Ltd.</t>
  </si>
  <si>
    <t>Plot No. 14 A, Sector 3, Pithampur, Indore, Madhya Pradesh, India</t>
  </si>
  <si>
    <t>Wall Mounted Overload Protection Device</t>
  </si>
  <si>
    <t>kartikey1269@gmail.com</t>
  </si>
  <si>
    <t>Kartikey Shrivastava</t>
  </si>
  <si>
    <t>PIMPLE GURAV</t>
  </si>
  <si>
    <t>Pillar Mounted Jib Crane of 500kg Capacity</t>
  </si>
  <si>
    <t>rakesh varne</t>
  </si>
  <si>
    <t>FEB-JC07SV</t>
  </si>
  <si>
    <t xml:space="preserve">LEO Engineering </t>
  </si>
  <si>
    <t>ydrabad</t>
  </si>
  <si>
    <t xml:space="preserve">DG EOT Crane of 15MT Capacity </t>
  </si>
  <si>
    <t>projects@leoengineer.com'</t>
  </si>
  <si>
    <t xml:space="preserve">Sanket patil </t>
  </si>
  <si>
    <t xml:space="preserve">FEB-05DGEOT </t>
  </si>
  <si>
    <t>29,18,989.00</t>
  </si>
  <si>
    <t>Accurate Engineering</t>
  </si>
  <si>
    <t>Pillar Mounted Jib Crane of 1500KG Capacity</t>
  </si>
  <si>
    <t>application@accurate.co.in'</t>
  </si>
  <si>
    <t>Electric Chain Hoist 2MT Capacity</t>
  </si>
  <si>
    <t>FEB-HT14SV</t>
  </si>
  <si>
    <t>kabirkhan122114@gmail.com</t>
  </si>
  <si>
    <t>kabir khan</t>
  </si>
  <si>
    <t>gnspct@gmail.com</t>
  </si>
  <si>
    <t>nazim khan</t>
  </si>
  <si>
    <t>delhi</t>
  </si>
  <si>
    <t>govind</t>
  </si>
  <si>
    <t>eot cranes</t>
  </si>
  <si>
    <t>smshadwares@gmail.com</t>
  </si>
  <si>
    <t>Syed Ali</t>
  </si>
  <si>
    <t>Duncan Engg LTD</t>
  </si>
  <si>
    <t>RanjanGoan</t>
  </si>
  <si>
    <t>SG Goliath Crane of 10MT Capacity</t>
  </si>
  <si>
    <t xml:space="preserve">Rushikesh </t>
  </si>
  <si>
    <t>FEB-SG01SV</t>
  </si>
  <si>
    <t>28,16,856.00</t>
  </si>
  <si>
    <t>Kuruli</t>
  </si>
  <si>
    <t>Electric Chain Hoist 3.2MT Capacity</t>
  </si>
  <si>
    <t>Pratiksha</t>
  </si>
  <si>
    <t>FEB-HT2SV</t>
  </si>
  <si>
    <t>Bharat Forge LTD</t>
  </si>
  <si>
    <t xml:space="preserve">Baramati </t>
  </si>
  <si>
    <t>Semi Goliath crane of 3MT Capacity</t>
  </si>
  <si>
    <t xml:space="preserve">   77740 37342 </t>
  </si>
  <si>
    <t xml:space="preserve"> &lt;babasaheb.patil@bharatforge.com&gt;</t>
  </si>
  <si>
    <t>Babasaheb Patil</t>
  </si>
  <si>
    <t>FEB-03GC</t>
  </si>
  <si>
    <t>22,12,801</t>
  </si>
  <si>
    <t>MODULEX MODULER BUILDING PVT LTD,</t>
  </si>
  <si>
    <t xml:space="preserve">Portable Gantry crane of 3MT Capacity </t>
  </si>
  <si>
    <t>chetan.chavan@modulex.in'</t>
  </si>
  <si>
    <t>Chetan Chavan</t>
  </si>
  <si>
    <t xml:space="preserve">FEB-04PC </t>
  </si>
  <si>
    <t>5,40,000.00</t>
  </si>
  <si>
    <t xml:space="preserve">Endo Kogyo Pvt Ltd </t>
  </si>
  <si>
    <t>Support Structure for 1T &amp; 500kg  LCS</t>
  </si>
  <si>
    <t>&lt;eki1@endo-india.co.in&gt;</t>
  </si>
  <si>
    <t>Akshay Salunkhe'</t>
  </si>
  <si>
    <t xml:space="preserve">11,59,136.00 </t>
  </si>
  <si>
    <t>Bagalkot</t>
  </si>
  <si>
    <t> Jib Crane</t>
  </si>
  <si>
    <t>mekkrontechnocrafts@gmail.com</t>
  </si>
  <si>
    <t>pradeep</t>
  </si>
  <si>
    <t>R D Enterprises</t>
  </si>
  <si>
    <t>GAT NO 1573,J K WAREHOUSE,TALAWADE ROAD,HAVELI GAT NO 1573 TALAWADE ROAD J K WAREHOUSE HAVELI,413114,Baramati, Pune, Maharashtra, India</t>
  </si>
  <si>
    <t>sachinpune2006@gmail.com</t>
  </si>
  <si>
    <t xml:space="preserve">JCB INDIA LTD </t>
  </si>
  <si>
    <t xml:space="preserve">Extension of Gantry </t>
  </si>
  <si>
    <t>pratik.patil@jcb.com'</t>
  </si>
  <si>
    <t xml:space="preserve">Pratik Patil </t>
  </si>
  <si>
    <t>FEB-05 23/2/26</t>
  </si>
  <si>
    <t xml:space="preserve">Mahindra &amp; Mahindra </t>
  </si>
  <si>
    <t>Underslung Crane of 2MT Capacity</t>
  </si>
  <si>
    <t xml:space="preserve"> &lt;DANE.AMOL@mahindra.com&gt;</t>
  </si>
  <si>
    <t>DANE AMOL'</t>
  </si>
  <si>
    <t>FEB-05 23/2/27</t>
  </si>
  <si>
    <t>TOPSE ENGINEERING</t>
  </si>
  <si>
    <t>SG EOT Crane of 10MT Capacity</t>
  </si>
  <si>
    <t>amol.pawar@topse.in'</t>
  </si>
  <si>
    <t>Amol Pawar</t>
  </si>
  <si>
    <t xml:space="preserve">16- TOPSE-SG10T </t>
  </si>
  <si>
    <t>24,87,436</t>
  </si>
  <si>
    <t>RATIONAL ENGINEERING</t>
  </si>
  <si>
    <t>billing_tippl@rmkinfrastructure.com</t>
  </si>
  <si>
    <t>nagesh</t>
  </si>
  <si>
    <t>power jib crane</t>
  </si>
  <si>
    <t>mukesh nisad</t>
  </si>
  <si>
    <t>Shivam Enterprises</t>
  </si>
  <si>
    <t>Tyrambak Thakare,1,0, A/p Wakhari Deola, Nashik, Maharashtra, India</t>
  </si>
  <si>
    <t>nimbathakare1975@gmail.com</t>
  </si>
  <si>
    <t>Nimba Tryambak Thakare</t>
  </si>
  <si>
    <t>Adf Fabrication</t>
  </si>
  <si>
    <t>Lifting Crane</t>
  </si>
  <si>
    <t>Sohail Sheikh</t>
  </si>
  <si>
    <t>Dar Solutions</t>
  </si>
  <si>
    <t>80,Narsinhdham Society,B/H  Mother School Gotri Road,Vadodara,Vadodara, Vadodara, Gujarat, India</t>
  </si>
  <si>
    <t>dar solutions</t>
  </si>
  <si>
    <t>Om Sai  Engineering</t>
  </si>
  <si>
    <t>sgkondalkar@gmail.com</t>
  </si>
  <si>
    <t>Sita Ram</t>
  </si>
  <si>
    <t>15, Telco Bhosari Road, Pimpri Chinchwad, Maharashtra, India</t>
  </si>
  <si>
    <t>sukhdevprajapati777@gmail.com</t>
  </si>
  <si>
    <t>Sukhdev Prajapati</t>
  </si>
  <si>
    <t>ROOSTER AUTOMATION</t>
  </si>
  <si>
    <t>dinesh.roosterautomation@gmail.com</t>
  </si>
  <si>
    <t>Power jib crane</t>
  </si>
  <si>
    <t>BABA SHIRI Treval s</t>
  </si>
  <si>
    <t xml:space="preserve">Mumbai </t>
  </si>
  <si>
    <t>Spro Industries</t>
  </si>
  <si>
    <t>Flat No 05, Laxmi Park, Plot No 14, CTS No 4768, Mohan Nagar, Pimpri Chinchwad, Maharashtra, India</t>
  </si>
  <si>
    <t>sproindustries22@gmail.com</t>
  </si>
  <si>
    <t>PURUSOTTAM</t>
  </si>
  <si>
    <t>Pitti Engineering</t>
  </si>
  <si>
    <t>tumkur</t>
  </si>
  <si>
    <t>5MT wire rope hoist</t>
  </si>
  <si>
    <t>sai</t>
  </si>
  <si>
    <t>2mt Chain hoist power trolley</t>
  </si>
  <si>
    <t>&lt;JIDDEWAR.SHASHANK@mahindra.com&gt;</t>
  </si>
  <si>
    <t>JIDDEWAR SHASHANK'</t>
  </si>
  <si>
    <t>14-M&amp;M-HT-27/2/26</t>
  </si>
  <si>
    <t>endo kogyo ltd</t>
  </si>
  <si>
    <t>dual arm jib crane</t>
  </si>
  <si>
    <t>19-ENDO-JC-27/02/26</t>
  </si>
  <si>
    <t>BSL ALUMINIUM LTD</t>
  </si>
  <si>
    <t xml:space="preserve">of SG EOT Crane of 5MT &amp; DG EOT Crane of 10MT Capacity </t>
  </si>
  <si>
    <t>jugal@bslaluminiumltd.com</t>
  </si>
  <si>
    <t xml:space="preserve">JUGAL JOSHI </t>
  </si>
  <si>
    <t>10-BSLAL-EOT-27/2/26</t>
  </si>
  <si>
    <t>4,95,88,069</t>
  </si>
  <si>
    <t xml:space="preserve">Crab Trolley of 6MT Capacity </t>
  </si>
  <si>
    <r>
      <rPr>
        <sz val="11"/>
        <color rgb="FF000000"/>
        <rFont val="Calibri"/>
        <scheme val="minor"/>
      </rPr>
      <t>99</t>
    </r>
    <r>
      <rPr>
        <sz val="12"/>
        <color rgb="FF222222"/>
        <rFont val="Tahoma"/>
      </rPr>
      <t> </t>
    </r>
    <r>
      <rPr>
        <sz val="11"/>
        <color rgb="FF222222"/>
        <rFont val="Calibri"/>
        <scheme val="minor"/>
      </rPr>
      <t>2242 5498</t>
    </r>
  </si>
  <si>
    <t>&lt;niranjan.shimpale@kirloskar.com&gt;</t>
  </si>
  <si>
    <t xml:space="preserve">Niranjan Shimpale </t>
  </si>
  <si>
    <t>15-KPCL-HT-27/02/26</t>
  </si>
  <si>
    <t>MECC ALTE INDIA PRIVATE LIMITED</t>
  </si>
  <si>
    <t>Electric Chain Hoist 1MT &amp; 2MT Capacity</t>
  </si>
  <si>
    <t>&lt;vishnu.rathod@meccalte.in&gt;</t>
  </si>
  <si>
    <t>Vishnu Rathod'</t>
  </si>
  <si>
    <t>20-MECCALTE-1T&amp;2T CH</t>
  </si>
  <si>
    <t>8,38,032.00</t>
  </si>
  <si>
    <t>eepos India</t>
  </si>
  <si>
    <t>Velu pune</t>
  </si>
  <si>
    <t xml:space="preserve">Electric chain Hoist of 250, 500, 1T Capacity </t>
  </si>
  <si>
    <t xml:space="preserve"> &lt;akash@eeposcranes.co.in&gt;</t>
  </si>
  <si>
    <t>Akash Subhedar'</t>
  </si>
  <si>
    <t>Mailed</t>
  </si>
  <si>
    <t>eki1@endo-india.co.in'</t>
  </si>
  <si>
    <t>Akshay sir</t>
  </si>
  <si>
    <t>23,03,830.00</t>
  </si>
  <si>
    <t>GK industries</t>
  </si>
  <si>
    <t>1 Ton Crane System</t>
  </si>
  <si>
    <t>gkicbe5@gmail.com</t>
  </si>
  <si>
    <t>GANESH KUMAR A</t>
  </si>
  <si>
    <t>Sm Engineering Construction</t>
  </si>
  <si>
    <t xml:space="preserve"> </t>
  </si>
  <si>
    <t>soundar2301@gmail.com</t>
  </si>
  <si>
    <t>Soundararajan</t>
  </si>
  <si>
    <t>Raygm Engineered Systems Private Limited</t>
  </si>
  <si>
    <t>PL 01, FL 14, Sect 06, Vimal Villa Appt, Pcntda, Moshi SR NO 164/1 INFRONT OF YASHOBHUMI SOCIETY WADMUKHWADI, Pune, Maharashtra, India</t>
  </si>
  <si>
    <t>raygm.project@gmail.com</t>
  </si>
  <si>
    <t>Umesh Borkar</t>
  </si>
  <si>
    <t xml:space="preserve">Windal precision </t>
  </si>
  <si>
    <t xml:space="preserve">LCS System of 250kg Capacity </t>
  </si>
  <si>
    <t xml:space="preserve"> &lt;deepak.rawat@windalsprecision.com&gt;</t>
  </si>
  <si>
    <t>Deepak Rawat'</t>
  </si>
  <si>
    <t>21-Windal-29/02/26</t>
  </si>
  <si>
    <t>44,87,222.00</t>
  </si>
  <si>
    <t>ARYAN ENGINEERING</t>
  </si>
  <si>
    <t xml:space="preserve">SG EOT Crane of 5MT &amp; 7.5MT Capacity </t>
  </si>
  <si>
    <t>aryan.engineering2712@gmail.com'</t>
  </si>
  <si>
    <t>09-ARYANE-29/02/26</t>
  </si>
  <si>
    <t>22,83,507.04</t>
  </si>
  <si>
    <t xml:space="preserve">Ultra Corpotech </t>
  </si>
  <si>
    <t xml:space="preserve">Pillar Mounted Jib Crane of 1MT Capacity </t>
  </si>
  <si>
    <t>agumaste@ultracorpotech.com'</t>
  </si>
  <si>
    <t>Chetan</t>
  </si>
  <si>
    <t>01 -UCPL-01 JC -01 -03 -26</t>
  </si>
  <si>
    <t>14,00,000</t>
  </si>
  <si>
    <t xml:space="preserve">SG Goliath Crane of 10MT Capacity </t>
  </si>
  <si>
    <t>srikanth@smhrail.com.my'</t>
  </si>
  <si>
    <t xml:space="preserve">Srikanth </t>
  </si>
  <si>
    <t>Atlas Copco Pvt Ltd</t>
  </si>
  <si>
    <t>SG EOT Crane of 2MT</t>
  </si>
  <si>
    <t xml:space="preserve"> &lt;alok.deshmukh@atlascopco.com&gt;</t>
  </si>
  <si>
    <t>alok Deshmukh'</t>
  </si>
  <si>
    <t xml:space="preserve">Datta Enterprises </t>
  </si>
  <si>
    <t xml:space="preserve">LCS System of 1T Capacity </t>
  </si>
  <si>
    <t>&lt;shravan@dattaenterprises.com&gt;</t>
  </si>
  <si>
    <t>Shravan Malve</t>
  </si>
  <si>
    <t>Mansi Ganga Builders And Engineers Pvt. Ltd.</t>
  </si>
  <si>
    <t>387, Shahdara, Delhi Division, New Delhi, Delhi, India</t>
  </si>
  <si>
    <t>nad9876khan@gmail.com</t>
  </si>
  <si>
    <t>Nadeem Ullah Khan</t>
  </si>
  <si>
    <t>Angul, Odisha, India</t>
  </si>
  <si>
    <t>Semi Goliath Crane</t>
  </si>
  <si>
    <t>ranjitpradhan787@gmail.com</t>
  </si>
  <si>
    <t>ranjit</t>
  </si>
  <si>
    <t>A. B. Engineering &amp; Fabrication Works</t>
  </si>
  <si>
    <t>S. No. 10, Tukaram Nagar Sinthya Complex, Pune, Maharashtra, India</t>
  </si>
  <si>
    <t>Manual Crane</t>
  </si>
  <si>
    <t>abb702@rediffmail.com</t>
  </si>
  <si>
    <t>Anil Bansode</t>
  </si>
  <si>
    <t>sar corporation</t>
  </si>
  <si>
    <t>ashsayyad229@gmail.com</t>
  </si>
  <si>
    <t>Ashpak Sayyad</t>
  </si>
  <si>
    <t>portable ganty crane</t>
  </si>
  <si>
    <t>Kishor Shelke</t>
  </si>
  <si>
    <t>Ayesha Automobiles</t>
  </si>
  <si>
    <t>Plot No. 7,Opp. State Bank Colony, Takli Sims, Hingna Road,Nagpur, Nagpur, Maharashtra, India</t>
  </si>
  <si>
    <t>wasim</t>
  </si>
  <si>
    <t>Emrald Cure Industries</t>
  </si>
  <si>
    <t>3110, Sanjay Colony Sector 23, Gali No 13, Sector 22, Faridabad, Haryana, India</t>
  </si>
  <si>
    <t>info@emraldcure.com</t>
  </si>
  <si>
    <t>Mukesh Goyal</t>
  </si>
  <si>
    <t>Bharat Machine &amp; Steel Products</t>
  </si>
  <si>
    <t>B-6/2, Jhilmil Industrial Area, Shahdara, New Delhi, Delhi, India</t>
  </si>
  <si>
    <t>bhamachine@yahoo.co.in</t>
  </si>
  <si>
    <t>Yogesh Panchal</t>
  </si>
  <si>
    <t>Yellow Manually Operated JIB Crane,</t>
  </si>
  <si>
    <t>Shivam Lohar</t>
  </si>
  <si>
    <t>pinnacle mobility solutions</t>
  </si>
  <si>
    <t xml:space="preserve">Windshield Manipulator with XY System </t>
  </si>
  <si>
    <t>Anil Malviya</t>
  </si>
  <si>
    <t>08-EKA-MANIPULATOR-04/03/26</t>
  </si>
  <si>
    <t>Ansari Construction</t>
  </si>
  <si>
    <t>1, 01, Bholanath Sahu, Bamra, Govindapur Unit, Sambalpur, Odisha, India</t>
  </si>
  <si>
    <t>Electric Overhead Traveling Crane</t>
  </si>
  <si>
    <t>Md Irfan Ansari</t>
  </si>
  <si>
    <t>Goutham Bhudda</t>
  </si>
  <si>
    <t>8-2-682/32/118, N B Nagar, Road No. 12, Banjara Hill, Hyderabad, Telangana, India</t>
  </si>
  <si>
    <t>balr24539@gmail.com</t>
  </si>
  <si>
    <t>Kunchapu Balraj</t>
  </si>
  <si>
    <t>Accurate Gauging &amp; Instruments Pvt. Ltd.</t>
  </si>
  <si>
    <t>Post Box No 1202 Plot No. 67 Hadapsar Hadapsar Industrial Estate Hadapsar Hadapsar Industrial Estate, Pune, Maharashtra, India</t>
  </si>
  <si>
    <t>vikram@accurategauging.com</t>
  </si>
  <si>
    <t>Vijay Salunke</t>
  </si>
  <si>
    <t>khan34689@gmail.com</t>
  </si>
  <si>
    <t>IRFAN M ABBASI</t>
  </si>
  <si>
    <t>DMH Cranes</t>
  </si>
  <si>
    <t>Gat No 29/1, Mhalunge Ingle Road, Warale, Tal - Khed, Pune, Maharashtra, India</t>
  </si>
  <si>
    <t>ananddesai12@gmail.com</t>
  </si>
  <si>
    <t>Anand Raosaheb Desai</t>
  </si>
  <si>
    <t>CONCENTRIC PUMPS PUNE PVT. LTD</t>
  </si>
  <si>
    <t>LONIKAND, PUNE</t>
  </si>
  <si>
    <t xml:space="preserve">LCS System with Support structure of 250kg Capacity </t>
  </si>
  <si>
    <t>pankaj.giri@concentricab.com'</t>
  </si>
  <si>
    <t>Pankaj giri</t>
  </si>
  <si>
    <t>07-CPPL-LCS 250kg-06/03/26</t>
  </si>
  <si>
    <t>16,00,000</t>
  </si>
  <si>
    <t>Senvion Wind Technology Pvt. Ltd</t>
  </si>
  <si>
    <t>MIDC Baramati</t>
  </si>
  <si>
    <t xml:space="preserve">parts required for 4XM Winch </t>
  </si>
  <si>
    <t xml:space="preserve"> &lt;Prashant.RAJE@senvion.in&gt;</t>
  </si>
  <si>
    <t>Prashant RAJE'</t>
  </si>
  <si>
    <t>05-SWTPL06/03/2026/</t>
  </si>
  <si>
    <t>JENDAMARK INDIA PVT LTD.</t>
  </si>
  <si>
    <t>Velu</t>
  </si>
  <si>
    <t xml:space="preserve">Festooning System </t>
  </si>
  <si>
    <t>&lt;gauravarya@jendamark.in&gt;</t>
  </si>
  <si>
    <t>GAURAV ARYA</t>
  </si>
  <si>
    <t>07-jendamark-festoon-06/03/26</t>
  </si>
  <si>
    <t>Shivam Electricals</t>
  </si>
  <si>
    <t>Vipin Kumar</t>
  </si>
  <si>
    <t>Rockwin Flowmeter India Pvt. Ltd.</t>
  </si>
  <si>
    <t>Cantilever Jib Crane, 5 Ton</t>
  </si>
  <si>
    <t>deepakkumarsharma59@gmail.com</t>
  </si>
  <si>
    <t>deepak</t>
  </si>
  <si>
    <t>Encorc Powertrans Pvt Ltd Boisar</t>
  </si>
  <si>
    <t xml:space="preserve">BOISAR </t>
  </si>
  <si>
    <t>stores.ept@encorp.in</t>
  </si>
  <si>
    <t>arish</t>
  </si>
  <si>
    <t>20-HT-5T-10/03/26</t>
  </si>
  <si>
    <t>Ujjain, Madhya Pradesh, India</t>
  </si>
  <si>
    <t>Material Handling Machine</t>
  </si>
  <si>
    <t>charan</t>
  </si>
  <si>
    <t>India Tech</t>
  </si>
  <si>
    <t>31/B2 4th Floor Nishan E Manjil Bldg, Near SAI Service Station, Kondhwa Budruk, Pune, Maharashtra, India</t>
  </si>
  <si>
    <t>Electric Wire Rope Hoist 500kg</t>
  </si>
  <si>
    <t>blackberryserver@gmail.com</t>
  </si>
  <si>
    <t>Prabhudas Kadam</t>
  </si>
  <si>
    <t>Kishangarh, Rajasthan, India</t>
  </si>
  <si>
    <t>sumitra</t>
  </si>
  <si>
    <t>Anand Electrical Workshop</t>
  </si>
  <si>
    <t>Amravati, Maharashtra, India</t>
  </si>
  <si>
    <t>jaisingh2801@gmail.com</t>
  </si>
  <si>
    <t>jay singh</t>
  </si>
  <si>
    <t>Mk Enterprises</t>
  </si>
  <si>
    <t>1021, Main Road, Shirwal, Maharashtra, India</t>
  </si>
  <si>
    <t>mudassarkazi554@gmail.com</t>
  </si>
  <si>
    <t>Mudassar Mukashi</t>
  </si>
  <si>
    <t>raj</t>
  </si>
  <si>
    <t>ib crane</t>
  </si>
  <si>
    <t>ramesh</t>
  </si>
  <si>
    <t>anand electricals worka</t>
  </si>
  <si>
    <t>Pillar Jib Crane</t>
  </si>
  <si>
    <t>shree jaganath fabtech</t>
  </si>
  <si>
    <t>Velu, Pune</t>
  </si>
  <si>
    <t>mail</t>
  </si>
  <si>
    <t>2,16,800</t>
  </si>
  <si>
    <t>SIGMA PACKAGING</t>
  </si>
  <si>
    <t>sandip@sigmapacks.com'</t>
  </si>
  <si>
    <t>07-SIGMAPACKS-250kg LCS SYSTEM</t>
  </si>
  <si>
    <t>5,69,588.23</t>
  </si>
  <si>
    <t>Electric Chain Hoist 2MT &amp; 3MT Capacity</t>
  </si>
  <si>
    <t>13-HoffenPlastic-2&amp;3T hoist</t>
  </si>
  <si>
    <t>Bharat forge ltd</t>
  </si>
  <si>
    <t>Baramati</t>
  </si>
  <si>
    <t>Air Reciever of 30CUM &amp; 10CUM Capacity</t>
  </si>
  <si>
    <t>13-BFL-Air receiver-08/03/26</t>
  </si>
  <si>
    <t>1,69,67,000</t>
  </si>
  <si>
    <t>Kalyani Forge Ltd</t>
  </si>
  <si>
    <t xml:space="preserve">LCS SYSTEM Of 250kg Capacity </t>
  </si>
  <si>
    <t>saranggade@bharatforge.com'</t>
  </si>
  <si>
    <t>Sarang gade</t>
  </si>
  <si>
    <t>14-BFL-LCS SYSTEM-250KG-08/03/26</t>
  </si>
  <si>
    <t>8,52,100</t>
  </si>
  <si>
    <t>KOEL</t>
  </si>
  <si>
    <t>HAdapsar</t>
  </si>
  <si>
    <t>Electric Chain Hoist 2MT Capacity with other accessories</t>
  </si>
  <si>
    <t>pankaj.joshi@kirloskar.com'</t>
  </si>
  <si>
    <t>pankaj Joshi</t>
  </si>
  <si>
    <t>14-KOEL KAGAL-2MT -WR HOIST</t>
  </si>
  <si>
    <t>7,60,000.00</t>
  </si>
  <si>
    <t>Carl Stahl Electric Hoists</t>
  </si>
  <si>
    <t>VASU SUBRAMANI</t>
  </si>
  <si>
    <t>Creative Enterprises</t>
  </si>
  <si>
    <t>Plot No 66A, Kattabomman Street, Sri Kamatchiamman Nagar Srinivasapuram, Baraniputhur, Chennai, Tamil Nadu, India</t>
  </si>
  <si>
    <t>creative2020.enterprises@gmail.com</t>
  </si>
  <si>
    <t>vasu sharma</t>
  </si>
  <si>
    <t>uttranchal Ispat  bazpur</t>
  </si>
  <si>
    <t>Udham Singh Nagar, Uttarakhand, India</t>
  </si>
  <si>
    <t>rititarun@gmail.com</t>
  </si>
  <si>
    <t>Tarun.Jain</t>
  </si>
  <si>
    <t>panion corporation</t>
  </si>
  <si>
    <t>Wire Rope for Crane</t>
  </si>
  <si>
    <t>pioneercorp.ind@gmail.com</t>
  </si>
  <si>
    <t>atul</t>
  </si>
  <si>
    <t>Jib Crane of 250kg Capacity</t>
  </si>
  <si>
    <t>rash.wi13@gmail.com</t>
  </si>
  <si>
    <t>anjili</t>
  </si>
  <si>
    <t>Fabweld Engineering</t>
  </si>
  <si>
    <t>1, Riddhi Siddhi Row House, Mankar Nagar, Makhmalabad, Nashik, Maharashtra, India</t>
  </si>
  <si>
    <t>2 Ton Electric Hoist without Trolly</t>
  </si>
  <si>
    <t>sales@fabweld.in</t>
  </si>
  <si>
    <t>FABWELD ENGINEERING</t>
  </si>
  <si>
    <t>CLEANTECH SYSTEM PVT LTD</t>
  </si>
  <si>
    <t>Kasurdi</t>
  </si>
  <si>
    <t>farhan.khan@cleantechsystems.in'</t>
  </si>
  <si>
    <t>Farhan.</t>
  </si>
  <si>
    <t xml:space="preserve">16-Cleantech-250kgjib crane </t>
  </si>
  <si>
    <t>Axis Fire Services</t>
  </si>
  <si>
    <t>H C Tiwari Flat No. 156, D Pocket F Mayur Vihar-Ii, New Delhi, Delhi, India</t>
  </si>
  <si>
    <t>Monorail Hoists</t>
  </si>
  <si>
    <t>axisfireservices@gmail.com</t>
  </si>
  <si>
    <t>Sangam Tiwari</t>
  </si>
  <si>
    <t>price</t>
  </si>
  <si>
    <t>sthagare99@gmail.com</t>
  </si>
  <si>
    <t>Double Girder Modular Trolley of 5MT</t>
  </si>
  <si>
    <t>Yogesh Patil (KPCL)' &lt;yogesh.patil@kirloskar.com&gt;</t>
  </si>
  <si>
    <t>6-KPCL-5T CRABTROLEY</t>
  </si>
  <si>
    <t>22,60,000</t>
  </si>
  <si>
    <t>KALYANI TECHNOFORGE LTD</t>
  </si>
  <si>
    <t>RANJANGOAN</t>
  </si>
  <si>
    <t>Electric Chain Hoist Of 500kg Capacity</t>
  </si>
  <si>
    <t>Dipak.Saste@kalyanitechnoforge.com</t>
  </si>
  <si>
    <t>Dipak saste</t>
  </si>
  <si>
    <t>17-KFL-HOISTC-500KG</t>
  </si>
  <si>
    <t>2,09,884</t>
  </si>
  <si>
    <t>Sonali Enterprise</t>
  </si>
  <si>
    <t>Carl Stahl E53 Chain Hoist</t>
  </si>
  <si>
    <t>monalicrane@gmail.com</t>
  </si>
  <si>
    <t>girish</t>
  </si>
  <si>
    <t>Nikky Engicon Power Private Limited</t>
  </si>
  <si>
    <t>Plot Number 22, C/O- Nitesh Ranjan, Pakauli Main Road, Phulwari, Beside Pakauli Main Road, Pakauli, Patna, Bihar, India</t>
  </si>
  <si>
    <t>nikkyenterprises21@gmail.com</t>
  </si>
  <si>
    <t>nitesh</t>
  </si>
  <si>
    <t>Sri Ragavendra Factory</t>
  </si>
  <si>
    <t>manisiva443@gmail.com</t>
  </si>
  <si>
    <t>mani</t>
  </si>
  <si>
    <t>BRE Engineer.</t>
  </si>
  <si>
    <t>meenakshi temple, Madurai, Tamil Nadu, India</t>
  </si>
  <si>
    <t>dr.eractors@gmail.com</t>
  </si>
  <si>
    <t>vishnu</t>
  </si>
  <si>
    <t xml:space="preserve"> P And S Trading Company</t>
  </si>
  <si>
    <t>Gno. 894, Office No. 1, Borate Wasti Road, Moshi, Near Ganesh Temple, Pimpri Chinchwad, Maharashtra, India</t>
  </si>
  <si>
    <t>pstradingco01@gmail.com</t>
  </si>
  <si>
    <t>pawan</t>
  </si>
  <si>
    <t>Single Girder Gantry Crane</t>
  </si>
  <si>
    <t>ssvprecisionenginnering@gmail.com</t>
  </si>
  <si>
    <t>No Precision</t>
  </si>
  <si>
    <t>Kottayam, Kerala, India</t>
  </si>
  <si>
    <t>Kerala</t>
  </si>
  <si>
    <t>SATHIYANANTHAN</t>
  </si>
  <si>
    <t>1 Ton Monorail Hoist</t>
  </si>
  <si>
    <t>umakant250483@rediffmail.com</t>
  </si>
  <si>
    <t>maka</t>
  </si>
  <si>
    <t>Suraj Industries</t>
  </si>
  <si>
    <t>Plot No A 67, Rohit Enterprises, Tembhurni Midc, Tembhurni Solapur, Solapur, Maharashtra, India</t>
  </si>
  <si>
    <t>surajmaske9090@gmail.com</t>
  </si>
  <si>
    <t>suraj</t>
  </si>
  <si>
    <t>Ayyappan</t>
  </si>
  <si>
    <t>Ariyalur</t>
  </si>
  <si>
    <t>goliath crane</t>
  </si>
  <si>
    <t>ayyappanmmv@gmail.com</t>
  </si>
  <si>
    <t>Micro Print Pack</t>
  </si>
  <si>
    <t>Salem</t>
  </si>
  <si>
    <t>microravishankar@gmail.com</t>
  </si>
  <si>
    <t>rai shankar</t>
  </si>
  <si>
    <t>Electrofab Engineering Services</t>
  </si>
  <si>
    <t xml:space="preserve">UNO Minda Limited   </t>
  </si>
  <si>
    <t>, Chakan Industrial Area</t>
  </si>
  <si>
    <t>2 Ton fully Automatic JIB crane</t>
  </si>
  <si>
    <t>dmahajan1@unominda.com'</t>
  </si>
  <si>
    <t>Dinesh mahajan</t>
  </si>
  <si>
    <t xml:space="preserve">18-UNOMINDA--JC-2MT </t>
  </si>
  <si>
    <t>10,10,000</t>
  </si>
  <si>
    <t>Lonikand</t>
  </si>
  <si>
    <t xml:space="preserve">Pneumatic Manipulator of 50kg Capacity </t>
  </si>
  <si>
    <t>&lt;pankaj.giri@concentricab.com&gt;</t>
  </si>
  <si>
    <t>Giri, Pankaj'</t>
  </si>
  <si>
    <t>20-CPPLMN 30kg -11/03/26</t>
  </si>
  <si>
    <t>28,29,000.00</t>
  </si>
  <si>
    <t>M TECHNICAL</t>
  </si>
  <si>
    <t>VILLAGE KELWADE</t>
  </si>
  <si>
    <t>toolroom_hinj@m-techindia.com'</t>
  </si>
  <si>
    <t xml:space="preserve">Kishor </t>
  </si>
  <si>
    <t>23 -MTECH-PG 3MT -11/03/26</t>
  </si>
  <si>
    <t>Green Gold Enterprises</t>
  </si>
  <si>
    <t>2nd Floor, No 21, 4th Cross M Block Chamraj Pet, Bengaluru, Karnataka, India</t>
  </si>
  <si>
    <t>20 Ton Electric Wire Rope Hoist</t>
  </si>
  <si>
    <t>mohammedarmaankhan648@gmail.com</t>
  </si>
  <si>
    <t>MOHAMMAD ADNAN KHAN</t>
  </si>
  <si>
    <t>ums technologies</t>
  </si>
  <si>
    <t>Portable Electric Hoist Single Phase</t>
  </si>
  <si>
    <t>mpraba958@gmail.com</t>
  </si>
  <si>
    <t>rabhu</t>
  </si>
  <si>
    <t>TN Crane Works</t>
  </si>
  <si>
    <t>48/26.V C Gordon 2 and Street, Chennai, Tamil Nadu, India</t>
  </si>
  <si>
    <t>tncraneworks@gmail.com</t>
  </si>
  <si>
    <t>Tarun Narayan</t>
  </si>
  <si>
    <t>Tumkur, Karnataka, India</t>
  </si>
  <si>
    <t>thimmarajuvv@gmail.com</t>
  </si>
  <si>
    <t>Thimmaraju</t>
  </si>
  <si>
    <t>Ghanshyam Industries</t>
  </si>
  <si>
    <t>12/6/1/1,,PANCHRATNA INDUSTRIAL ESTATE,,B/H RAMOL VATVA EXPRESSWAY OVER BRIDGE,,NR.BARODA EXPRESSWA A/2, Gidc, 438, Awake Offset Compound,388121,Anand, Ahmedabad, Gujarat, India</t>
  </si>
  <si>
    <t>mechghanshyam@yahoo.com</t>
  </si>
  <si>
    <t>Manubhai Patel</t>
  </si>
  <si>
    <t>KS oils</t>
  </si>
  <si>
    <t>bhopal</t>
  </si>
  <si>
    <t>Goliath crane</t>
  </si>
  <si>
    <t>jitendra</t>
  </si>
  <si>
    <t>Machine Shop Maintenance - Head</t>
  </si>
  <si>
    <t>Pune, Pune, Maharashtra, India</t>
  </si>
  <si>
    <t>slondhe@rathigroup.com</t>
  </si>
  <si>
    <t>Satish Londh</t>
  </si>
  <si>
    <t>BORUDE</t>
  </si>
  <si>
    <t>Deolai, Aurangabad Division, India</t>
  </si>
  <si>
    <t>borudemv2015@gmail.com</t>
  </si>
  <si>
    <t>Dehu, Maharashtra, India</t>
  </si>
  <si>
    <t>25 Ton Double Girder EOT Crane</t>
  </si>
  <si>
    <t>pd6217906@gmail.com</t>
  </si>
  <si>
    <t>Pranay Dange</t>
  </si>
  <si>
    <t>AB forging LLP</t>
  </si>
  <si>
    <t>senmohit55@gmail.com</t>
  </si>
  <si>
    <t>DEEPKAUR</t>
  </si>
  <si>
    <t>Apurba Medhi</t>
  </si>
  <si>
    <t>Industrial Heavy Duty EOT Cranes</t>
  </si>
  <si>
    <t>shubham</t>
  </si>
  <si>
    <t>Giriraj Entripeses</t>
  </si>
  <si>
    <t>jalna</t>
  </si>
  <si>
    <t>gorakhjadhav87@gmail.com</t>
  </si>
  <si>
    <t>G K Baviskar</t>
  </si>
  <si>
    <t>ARAI chakan</t>
  </si>
  <si>
    <t>khed</t>
  </si>
  <si>
    <t>Electrical Chain Hoist</t>
  </si>
  <si>
    <t>Navdivya</t>
  </si>
  <si>
    <t>kolkata</t>
  </si>
  <si>
    <t>naveenkumarsethia@gmail.com</t>
  </si>
  <si>
    <t>Naveen Sethia</t>
  </si>
  <si>
    <t>Nirakar engg</t>
  </si>
  <si>
    <t>panaji</t>
  </si>
  <si>
    <t>siddeshrnaik79@gmail.com</t>
  </si>
  <si>
    <t>sidesh</t>
  </si>
  <si>
    <t>Xpress Complete Solutions</t>
  </si>
  <si>
    <t>xpresscsolutions@gmail.com</t>
  </si>
  <si>
    <t>yakub</t>
  </si>
  <si>
    <t>NPCIL</t>
  </si>
  <si>
    <t>Chengalpattu</t>
  </si>
  <si>
    <t>Rohit Chaturvedi</t>
  </si>
  <si>
    <t>Ernakulam</t>
  </si>
  <si>
    <t>arunlal.babu@rrispat.com</t>
  </si>
  <si>
    <t>Arunlal</t>
  </si>
  <si>
    <t>Aira glass trading</t>
  </si>
  <si>
    <t>Secunderabad</t>
  </si>
  <si>
    <t>Naveen Patel Vasalamarri</t>
  </si>
  <si>
    <t>Davanagere, Karnataka, India</t>
  </si>
  <si>
    <t>Heavy Duty EOT Crane</t>
  </si>
  <si>
    <t>DEVIDAKUMAR</t>
  </si>
  <si>
    <t>Rigal Crane Work</t>
  </si>
  <si>
    <t>Dadra, Dadra and Nagar Haveli and Daman and Diu, India</t>
  </si>
  <si>
    <t>regalcranew@gmail.com</t>
  </si>
  <si>
    <t>manzer</t>
  </si>
  <si>
    <t>Gala Precision</t>
  </si>
  <si>
    <t>coolatul1994@gmail.com</t>
  </si>
  <si>
    <t>Jammu, Jammu &amp; Kashmir, India</t>
  </si>
  <si>
    <t>Electrical Chain</t>
  </si>
  <si>
    <t>Dheeraj Singh So Ranjit Singh</t>
  </si>
  <si>
    <t>Fatehpur, Uttar Pradesh, India</t>
  </si>
  <si>
    <t>arunetawah01@gmail.com</t>
  </si>
  <si>
    <t>Arun Kumar Singh</t>
  </si>
  <si>
    <t>Ramdev Pipe Depot</t>
  </si>
  <si>
    <t>Rs No 57/2,Near Basaveshwar Sabha Bhavan,Ghataprabha Road,Gokak,Belagavi, Gokak, Karnataka, India</t>
  </si>
  <si>
    <t>Makana Ram</t>
  </si>
  <si>
    <t>soorajsingh@gmail.com</t>
  </si>
  <si>
    <t>s</t>
  </si>
  <si>
    <t>Larsen Toubro</t>
  </si>
  <si>
    <t>Rahul Mhaske</t>
  </si>
  <si>
    <t>Kheda, Gujarat, India</t>
  </si>
  <si>
    <t>Solanki Nagin Bhai</t>
  </si>
  <si>
    <t>Itech industrial solutions</t>
  </si>
  <si>
    <t>Sipcot Ph 2, Krishnagiri, Tamil Nadu, India</t>
  </si>
  <si>
    <t>Carl Stahl Spares Supplier</t>
  </si>
  <si>
    <t>krgrajiv@gmail.com</t>
  </si>
  <si>
    <t>Itsme</t>
  </si>
  <si>
    <t>vijaygabel</t>
  </si>
  <si>
    <t>Raipur, Chhattisgarh, India</t>
  </si>
  <si>
    <t>vijaygabel30@gmail.com</t>
  </si>
  <si>
    <t>Singh Fabrication</t>
  </si>
  <si>
    <t>sshambhussingh08893@gmail.com</t>
  </si>
  <si>
    <t>Shambhu Singh</t>
  </si>
  <si>
    <t>rameshwar1510@gmail.com</t>
  </si>
  <si>
    <t>nitin</t>
  </si>
  <si>
    <t>Sundram Sastener Chemical</t>
  </si>
  <si>
    <t>Madurai, Tamil Nadu, India</t>
  </si>
  <si>
    <t>anbarasan010777@gmail.com</t>
  </si>
  <si>
    <t>Anbarasan</t>
  </si>
  <si>
    <t>Better Power Services Pvt. Ltd.</t>
  </si>
  <si>
    <t>N/A, A.K Azad Road, Beside SBI ATM, Rehabari, Metropolitan, Guwahati, Assam, India</t>
  </si>
  <si>
    <t>ashmita.paul@betterpower.co.in</t>
  </si>
  <si>
    <t>Ashmita Paul</t>
  </si>
  <si>
    <t>Burima Stores</t>
  </si>
  <si>
    <t>41/A,N A,N A,Gangadhar Kabiraj Lane,Khagra,Murshidabad, Berhampore, West Bengal, India</t>
  </si>
  <si>
    <t>dipeshdas8888@gmail.com</t>
  </si>
  <si>
    <t>Dipesh Das</t>
  </si>
  <si>
    <t>Yogesh Rolling Shutter</t>
  </si>
  <si>
    <t>boraderohit533@gmail.com</t>
  </si>
  <si>
    <t>Apoorva Enterprises</t>
  </si>
  <si>
    <t>arunjha1967@rediffmail.com</t>
  </si>
  <si>
    <t>arun jha</t>
  </si>
  <si>
    <t>Dhansiri Associates</t>
  </si>
  <si>
    <t>Guwahati</t>
  </si>
  <si>
    <t>sdhansiri1@gmail.com</t>
  </si>
  <si>
    <t>Dhansiri</t>
  </si>
  <si>
    <t>Venve Light Metals Ltd</t>
  </si>
  <si>
    <t>vlmetals@yahoo.com</t>
  </si>
  <si>
    <t>G. N B Chowdary</t>
  </si>
  <si>
    <t>mehta tools corporation</t>
  </si>
  <si>
    <t>mehta.tools@hotmil.com</t>
  </si>
  <si>
    <t>Bakul Mehta</t>
  </si>
  <si>
    <t>nashik</t>
  </si>
  <si>
    <t>OMEGA SCIENTIFIC INSTRUMENTS PVT. LTD</t>
  </si>
  <si>
    <t>lokesh@omegascientific.in</t>
  </si>
  <si>
    <t>lokesh</t>
  </si>
  <si>
    <t>BRIJESH TEXTILES</t>
  </si>
  <si>
    <t>Ichalkaranji</t>
  </si>
  <si>
    <t>lionbrijesh@yahoo.co.in</t>
  </si>
  <si>
    <t>Mr. BRIJESH</t>
  </si>
  <si>
    <t>Modification</t>
  </si>
  <si>
    <t xml:space="preserve">Xy System Modi, Dismantling </t>
  </si>
  <si>
    <t>Ajay Gunnal' &lt;ajay.dg@ekamobility.com&gt;</t>
  </si>
  <si>
    <t>Ajay gunnal</t>
  </si>
  <si>
    <t>26-EKA-DS&amp;I-14/3/2026</t>
  </si>
  <si>
    <t>GUDEL INDIA PVT LTD</t>
  </si>
  <si>
    <t xml:space="preserve">SG EOT Crane of 5MT Capacity </t>
  </si>
  <si>
    <t>sagar.satdive@in.gudel.com'</t>
  </si>
  <si>
    <t>Sagar Satideve</t>
  </si>
  <si>
    <t>26-GODEL-EOT5MT-14/3/2026</t>
  </si>
  <si>
    <t>19,73,532.63</t>
  </si>
  <si>
    <t>JYOTI SOLUTIONS</t>
  </si>
  <si>
    <t>bhosari</t>
  </si>
  <si>
    <t>commoditypurchase@jyotisolutionsworks.com'</t>
  </si>
  <si>
    <t>27-JYOTI-HT250KG</t>
  </si>
  <si>
    <t>1,64,588.00</t>
  </si>
  <si>
    <t>Phoenix Engineering Industries</t>
  </si>
  <si>
    <t>First Floor, 130/187, 6th Main 2nd Cross B-Narayanapura, Dooravaninagar Post, Bengaluru, Karnataka, India</t>
  </si>
  <si>
    <t>Rail Light Crane System, Kbk System</t>
  </si>
  <si>
    <t>kaushik.jagadeshan@gmail.com</t>
  </si>
  <si>
    <t xml:space="preserve">Kaushik J
</t>
  </si>
  <si>
    <t>Trupack India</t>
  </si>
  <si>
    <t>Industrial Plot No. 58, Udyog Kendra-I, Ecotech-Iii, Greater Noida, Uttar Pradesh, India</t>
  </si>
  <si>
    <t>vbr90.srivastava@gmail.com</t>
  </si>
  <si>
    <t>Vibhor Srivastava</t>
  </si>
  <si>
    <t>Sitamarhi, Bihar, India</t>
  </si>
  <si>
    <t>5 Ton MS Portable Gantry Cranes</t>
  </si>
  <si>
    <t>alok kumar</t>
  </si>
  <si>
    <t>Chitradurga, Karnataka, India</t>
  </si>
  <si>
    <t>vasukthumati@gmail.com</t>
  </si>
  <si>
    <t>Vasu K T</t>
  </si>
  <si>
    <t>shree infracon</t>
  </si>
  <si>
    <t>Sunshine pre school, Pune Division, Pune, Maharashtra, India</t>
  </si>
  <si>
    <t>shreeinfrcon@gmail.com</t>
  </si>
  <si>
    <t>Prestigeous Scors Pvt. Ltd.</t>
  </si>
  <si>
    <t>17, Gayatri Vihar, Thatipur, Gwalior, Madhya Pradesh, India</t>
  </si>
  <si>
    <t>Sanjay Singh Jadon</t>
  </si>
  <si>
    <t>Turbo Tech</t>
  </si>
  <si>
    <t>Plot No 11a 4 Part Ida Ida Phase 1 Patancheru, Medak, Telangana, India</t>
  </si>
  <si>
    <t>3 Phase Electric Chain Hoist</t>
  </si>
  <si>
    <t>sri4sriram@yahoo.com</t>
  </si>
  <si>
    <t>SRIRAM</t>
  </si>
  <si>
    <t>Institute Of Minerals And Materials Technology Bhubaneswar</t>
  </si>
  <si>
    <t>rajeshmandal100@gmail.com</t>
  </si>
  <si>
    <t>R K Mandal</t>
  </si>
  <si>
    <t>Na</t>
  </si>
  <si>
    <t>Double Speed Electric Chain Hoist</t>
  </si>
  <si>
    <t>gangkarthik3760@gmail.com</t>
  </si>
  <si>
    <t>Karthikeyan</t>
  </si>
  <si>
    <t>Potdar Metal Works</t>
  </si>
  <si>
    <t>First Lane Station Road, Jaysingpur, Jaysingpur, Maharashtra, India</t>
  </si>
  <si>
    <t>Heavy Duty Gantry Crane</t>
  </si>
  <si>
    <t>manju</t>
  </si>
  <si>
    <t>NOV India Pvt. Ltd</t>
  </si>
  <si>
    <t>navi mumbai</t>
  </si>
  <si>
    <t>suraj.bhagat@nov.com</t>
  </si>
  <si>
    <t>suraj bhagat</t>
  </si>
  <si>
    <t>Honesty Overseas</t>
  </si>
  <si>
    <t>Innotech Metalfab</t>
  </si>
  <si>
    <t>Er Amol Bhausaheb</t>
  </si>
  <si>
    <t>Agriculture  Product</t>
  </si>
  <si>
    <t>leaforganics19@gmail.com</t>
  </si>
  <si>
    <t>ketan</t>
  </si>
  <si>
    <t>sobhan</t>
  </si>
  <si>
    <t>vibhav</t>
  </si>
  <si>
    <t>vaibhavbhat29@gmail.com</t>
  </si>
  <si>
    <t>VAIBHAV</t>
  </si>
  <si>
    <t xml:space="preserve">ATLAS COPCO INDIA PVT LTD </t>
  </si>
  <si>
    <t xml:space="preserve">LCS SYSTEM OF 500KG </t>
  </si>
  <si>
    <t>96079 25829</t>
  </si>
  <si>
    <t>yogesh.salunkhe@atlascopco.com'</t>
  </si>
  <si>
    <t xml:space="preserve">Yogesh Salunkhe </t>
  </si>
  <si>
    <t>30/ATLAS COPCO-LCS250kg</t>
  </si>
  <si>
    <t>53,72,000.00</t>
  </si>
  <si>
    <t>DELVAL FLOW CONTROLS INDIA</t>
  </si>
  <si>
    <t>Kapurhol</t>
  </si>
  <si>
    <t xml:space="preserve">Modification of Transfer trolley </t>
  </si>
  <si>
    <t>Navnath Gaikwad' &lt;ngaikwad@delvalflow.com&gt;</t>
  </si>
  <si>
    <t>Navnath gaikwad</t>
  </si>
  <si>
    <t>30/Delval-Transfertrolley-17/03/26</t>
  </si>
  <si>
    <t>KAMAL ENVIROTECH PVT. LTD</t>
  </si>
  <si>
    <t>ALWAR, RAJASTHAN</t>
  </si>
  <si>
    <t xml:space="preserve">Supply of Wagon </t>
  </si>
  <si>
    <t>anand.kulkarni@kamalenvirotech.com'</t>
  </si>
  <si>
    <t>Anaand kulkarni</t>
  </si>
  <si>
    <t>31/KamalEnvirotech-Wagon-17/03/26</t>
  </si>
  <si>
    <t>26,85,000.00</t>
  </si>
  <si>
    <t>PROBOTICS CONTROL</t>
  </si>
  <si>
    <t xml:space="preserve">Jib Crane of 250kg Capacity &amp; Hoist of 500kg Capacity </t>
  </si>
  <si>
    <t>purchase@pcscontrols.in'</t>
  </si>
  <si>
    <t>29 -PROBOTIXLTD-JC -17 -03 -26</t>
  </si>
  <si>
    <t>7,08,513.00</t>
  </si>
  <si>
    <t>DINEX EMISSION SOLUTIONS INDIA PVT. LTD</t>
  </si>
  <si>
    <t xml:space="preserve">Tackle of 5MT Capacity </t>
  </si>
  <si>
    <t>mvp@dinex.in'</t>
  </si>
  <si>
    <t>manoj</t>
  </si>
  <si>
    <t>32/DINEX/OQ /17/17 -03 -26</t>
  </si>
  <si>
    <t>WIKA INSTRUMENTS INDIA PVT. LTD</t>
  </si>
  <si>
    <t xml:space="preserve">Support Column for 2MT EOT Crane </t>
  </si>
  <si>
    <t>Misal, Sanjay' &lt;Sanjay.Misal@wika.com&gt;</t>
  </si>
  <si>
    <t>sanjay misal</t>
  </si>
  <si>
    <t>33-WIKA SUPPORTSTRUCTURE-OQ-17/03/26</t>
  </si>
  <si>
    <t xml:space="preserve">Watson &amp; Challin </t>
  </si>
  <si>
    <t xml:space="preserve">Chimbali </t>
  </si>
  <si>
    <t>LCS SYSTEM Of 1MT Capacity</t>
  </si>
  <si>
    <t xml:space="preserve"> &lt;dlashkare@hendrickson-intl.com&gt;</t>
  </si>
  <si>
    <t>Lashkare, Deepak</t>
  </si>
  <si>
    <t>34-W&amp;C-LCS 1T-17-03-26</t>
  </si>
  <si>
    <t>10,29,219.84</t>
  </si>
  <si>
    <t xml:space="preserve">pinncle Mobility solutions </t>
  </si>
  <si>
    <t>shubhadeep.dutta@ekamobility.com'</t>
  </si>
  <si>
    <t xml:space="preserve">Rajiv </t>
  </si>
  <si>
    <t>1,27,28,250.00</t>
  </si>
  <si>
    <t>SGP Eletropneumatics</t>
  </si>
  <si>
    <t xml:space="preserve">Support Structure of 2MT Capacity </t>
  </si>
  <si>
    <t>' &lt;newton@gpe.net.in&gt;</t>
  </si>
  <si>
    <t>Newton G P</t>
  </si>
  <si>
    <t>36-SGP-LCS SS 2T-18/03/26</t>
  </si>
  <si>
    <t>5,11 ,563.00</t>
  </si>
  <si>
    <t>BHARAT FORGE LTD</t>
  </si>
  <si>
    <t>DG EOT Crane of 5MT capacity</t>
  </si>
  <si>
    <t xml:space="preserve">91 77740 37342 </t>
  </si>
  <si>
    <t>Babasaheb Patil' &lt;babasaheb.patil@bharatforge.com&gt;</t>
  </si>
  <si>
    <t>Babasaheb patil</t>
  </si>
  <si>
    <t>BFL-DGEOT5T -18 -03 -26</t>
  </si>
  <si>
    <t>27,38,287.02</t>
  </si>
  <si>
    <t>TOX PRESSTOTECHNIK INDIA PVT LTD</t>
  </si>
  <si>
    <t>Paud</t>
  </si>
  <si>
    <t>Track for trolleys</t>
  </si>
  <si>
    <t>BTapkir@tox-in.com'</t>
  </si>
  <si>
    <t>AkashWarule</t>
  </si>
  <si>
    <t>37-TOX-TROLLEY -18/03/26</t>
  </si>
  <si>
    <t>SMK Industries</t>
  </si>
  <si>
    <t>Office No. 31, Survey No. 51/2A/2B/3/3, Primavista, Khandoba Chowk, Dhayri, Pune, Maharashtra, India</t>
  </si>
  <si>
    <t>smkinquiry.jd@gmail.com</t>
  </si>
  <si>
    <t>SMK</t>
  </si>
  <si>
    <t>Krivel Technologies</t>
  </si>
  <si>
    <t>31a/22, Krivel Technologies, 4th Cross Main Road, Chennai, Tamil Nadu, India</t>
  </si>
  <si>
    <t>Heavy Duty Jib Crane</t>
  </si>
  <si>
    <t>nvk@krivel.in</t>
  </si>
  <si>
    <t>KRIVEL TECHNOLOGIES</t>
  </si>
  <si>
    <t>sakthivelchinnasamy@gmail.com</t>
  </si>
  <si>
    <t>shakti</t>
  </si>
  <si>
    <t>Ravindra Patil</t>
  </si>
  <si>
    <t>ENGINEERING ENTERPRISES</t>
  </si>
  <si>
    <t>unislyag@kksomanigrp.com</t>
  </si>
  <si>
    <t>Ankur Somani</t>
  </si>
  <si>
    <t>Nashik</t>
  </si>
  <si>
    <t>Sg eot crane</t>
  </si>
  <si>
    <t>nrajendra1570@gmail.com</t>
  </si>
  <si>
    <t>Bapu Nerkar</t>
  </si>
  <si>
    <t>CROWN COATS</t>
  </si>
  <si>
    <t>Solapur</t>
  </si>
  <si>
    <t>goverdhanchavan84@gmail.com</t>
  </si>
  <si>
    <t>Goverdhan Chavan</t>
  </si>
  <si>
    <t>Rajlaxmi Steel And Iron</t>
  </si>
  <si>
    <t>arshwanath Steel Centre</t>
  </si>
  <si>
    <t>Kolhapur</t>
  </si>
  <si>
    <t>heavy duty lifting clamp</t>
  </si>
  <si>
    <t>pritam@parshwanathsteel.com</t>
  </si>
  <si>
    <t>Pritam C. Oswal</t>
  </si>
  <si>
    <t>AJ Contracts</t>
  </si>
  <si>
    <t>balapnorpadari@gmail.com</t>
  </si>
  <si>
    <t>padari</t>
  </si>
  <si>
    <t>Deccan Electro Works</t>
  </si>
  <si>
    <t>raste.deccan@gmail.com</t>
  </si>
  <si>
    <t>Avinash Raste Wasudeo</t>
  </si>
  <si>
    <t>Ludhiana</t>
  </si>
  <si>
    <t>gantry crane</t>
  </si>
  <si>
    <t>adity</t>
  </si>
  <si>
    <t>awmplrpco@gmail.com</t>
  </si>
  <si>
    <t>sunil</t>
  </si>
  <si>
    <t>rakesh</t>
  </si>
  <si>
    <t>Hadpasar</t>
  </si>
  <si>
    <t xml:space="preserve">LCS System &amp; Monorail System of 500kg Capacity </t>
  </si>
  <si>
    <t xml:space="preserve">99 2244 1767                 </t>
  </si>
  <si>
    <t>govardhan.varpe@kirloskar.com</t>
  </si>
  <si>
    <t>Govardhan Varpe</t>
  </si>
  <si>
    <t>38-RE KPCL-LCS &amp; MN 500KG-20-03-26</t>
  </si>
  <si>
    <t>SGP Electropneumatics</t>
  </si>
  <si>
    <t>36-GP E-LCS SS- 2T-18-03-26</t>
  </si>
  <si>
    <t>Ponmen Enterprises</t>
  </si>
  <si>
    <t>No. 1/1, S.F. No. 280/3, Melur, Nayathanpatti, Madurai, Tamil Nadu, India</t>
  </si>
  <si>
    <t>ppoonthamilanppoonthamilan@gmail.com</t>
  </si>
  <si>
    <t>Poonthamilan</t>
  </si>
  <si>
    <t>chromasantosh.n@gmail.com</t>
  </si>
  <si>
    <t>sandeep</t>
  </si>
  <si>
    <t>Hanuman Stone</t>
  </si>
  <si>
    <t>Bharatpur Division, Dholpur, Rajasthan, India</t>
  </si>
  <si>
    <t>kanhaiyagurjar6377@gmail.com</t>
  </si>
  <si>
    <t>Balram</t>
  </si>
  <si>
    <t>shailesh date</t>
  </si>
  <si>
    <t>ganeshsmitaa@gmail.com</t>
  </si>
  <si>
    <t>Vaishali Bharud</t>
  </si>
  <si>
    <t>S No 29/1/2, Gheuntaak, Abhinav College Road, Near Tuljabhavani Mandir, Narhe, Pune, Maharashtra, India</t>
  </si>
  <si>
    <t>nikita.gheuntaak@gmail.com</t>
  </si>
  <si>
    <t>SRI MAHA LAKSHMI INDUSTRIES</t>
  </si>
  <si>
    <t>Madurai</t>
  </si>
  <si>
    <t>ala.narayanan@gmail.com</t>
  </si>
  <si>
    <t>NARAYANAN A L</t>
  </si>
  <si>
    <t>Ganpati Steel</t>
  </si>
  <si>
    <t>Champua</t>
  </si>
  <si>
    <t>prabingupta44@gmail.com</t>
  </si>
  <si>
    <t>Prabin Gupta</t>
  </si>
  <si>
    <t>surat</t>
  </si>
  <si>
    <t>Portable gantry cranes</t>
  </si>
  <si>
    <t>Kajal Bavish</t>
  </si>
  <si>
    <t>Ecolife Polymers</t>
  </si>
  <si>
    <t>3/694,,Vallalar Street, Kuppuswamy Nagar,Sennerkuppum, Chennai, Tamil Nadu, India</t>
  </si>
  <si>
    <t>1 Ton Pillar Mounted Jib Crane</t>
  </si>
  <si>
    <t>vishal@ecolifepolymers.com</t>
  </si>
  <si>
    <t>Maruti Profille</t>
  </si>
  <si>
    <t>Polt Number 10B, Maha Gujrat Industrial Estate Moriya Bavla Road, Ahmedabad, Gujarat, India</t>
  </si>
  <si>
    <t>Pillar Crane</t>
  </si>
  <si>
    <t>jsrmindia@yahoo.com</t>
  </si>
  <si>
    <t>ajay goel</t>
  </si>
  <si>
    <t>forging manipulator</t>
  </si>
  <si>
    <t>NEW</t>
  </si>
  <si>
    <t>Dinex Emission Tools</t>
  </si>
  <si>
    <t>Monorail System of 10MT &amp; 15MT Capacity</t>
  </si>
  <si>
    <t>Prashant Bapu Shendge' &lt;PBS@dinex.in&gt;</t>
  </si>
  <si>
    <t>ACME TOOLINGS</t>
  </si>
  <si>
    <t xml:space="preserve">Electric Chain Hoist 2MT Capacity </t>
  </si>
  <si>
    <t>mgr.purchase@arcepolymers.com'</t>
  </si>
  <si>
    <t xml:space="preserve">K Srinivasa Rao </t>
  </si>
  <si>
    <t>40-ACME-C HOIST-2T</t>
  </si>
  <si>
    <t>2,70,431.00</t>
  </si>
  <si>
    <t>Kagal</t>
  </si>
  <si>
    <t xml:space="preserve">Electric Chain Hoist 1MT &amp; 2MT Capacity </t>
  </si>
  <si>
    <t>Pandurang Kakade (KOEL)' &lt;pandurang.kakade@kirloskar.com&gt;</t>
  </si>
  <si>
    <t>Pandurang Kakde</t>
  </si>
  <si>
    <t xml:space="preserve">LCS SYSTEM OF 500kg &amp; 1T </t>
  </si>
  <si>
    <t>Sachin Pokharkar &lt;Sachin.Pokharkar@bharatforge.com&gt;</t>
  </si>
  <si>
    <t>Sachin Pokharkar</t>
  </si>
  <si>
    <t>44-BFL-LCS 250KG&amp;1T-22-03-26</t>
  </si>
  <si>
    <t>Pitti Engineering LTd</t>
  </si>
  <si>
    <t>Sambhajinagar</t>
  </si>
  <si>
    <t xml:space="preserve">Dismantling Modi &amp; Installation of EOT Jib Crane </t>
  </si>
  <si>
    <t>Ramesh G' &lt;ramesh.g@pitti.in&gt;</t>
  </si>
  <si>
    <t>Ramesh G</t>
  </si>
  <si>
    <t>42-PEL-D,M&amp;I -22.03.26</t>
  </si>
  <si>
    <t>9,15,000.00</t>
  </si>
  <si>
    <t>Cummins Generator Technologies India Pvt Ltd</t>
  </si>
  <si>
    <t>866 994 6189</t>
  </si>
  <si>
    <t>ashutosh.chougule@cummins.com</t>
  </si>
  <si>
    <t>Ashutosh Chougule</t>
  </si>
  <si>
    <t>45-CGTIPL-DM&amp;I-23-03-26</t>
  </si>
  <si>
    <t>Eka mobility Soulutions</t>
  </si>
  <si>
    <t xml:space="preserve">SG EOT Crane of 2MT Capacity </t>
  </si>
  <si>
    <t>SHOBAN RENOLD J</t>
  </si>
  <si>
    <t>Computer Service Centre</t>
  </si>
  <si>
    <t>Tirunelveli, Tamil Nadu, India</t>
  </si>
  <si>
    <t>rpurushoth2003@gmail.com</t>
  </si>
  <si>
    <t>Mason ( A Unit Of Lnbera &amp; Co)</t>
  </si>
  <si>
    <t>Uttar Narikelda, Dakshin Narikelda, Uttar Narikelda, Purba Medinipur, Tamluk, West Bengal, India</t>
  </si>
  <si>
    <t>portable crane</t>
  </si>
  <si>
    <t>sales@lnbera.com</t>
  </si>
  <si>
    <t>ABHISHEK BERA</t>
  </si>
  <si>
    <t>ganeshservies5868@gmail.com</t>
  </si>
  <si>
    <t>Ganesh Services</t>
  </si>
  <si>
    <t>Shri Ganesh Crane Services</t>
  </si>
  <si>
    <t>Kumbhar Wada M.no.56/3/67 Bhosari Gavhane Ali, Pune, Maharashtra, India</t>
  </si>
  <si>
    <t>Hydraulic Gantry</t>
  </si>
  <si>
    <t>shreeganeshcraneservices@gmail.com</t>
  </si>
  <si>
    <t>GANESH Shinde</t>
  </si>
  <si>
    <t>Sudarshan Enterprises</t>
  </si>
  <si>
    <t>J Block, J-431, Bhosari MIDC, Pune, Maharashtra, India</t>
  </si>
  <si>
    <t>sales@sudarshanenterprisespune.in</t>
  </si>
  <si>
    <t>Sudarshan Mane</t>
  </si>
  <si>
    <t>Medak, Telangana, India</t>
  </si>
  <si>
    <t>PERUGU</t>
  </si>
  <si>
    <t xml:space="preserve">Balaji Services </t>
  </si>
  <si>
    <t>abhishek</t>
  </si>
  <si>
    <t>g</t>
  </si>
  <si>
    <t>muhilservice@gmail.com</t>
  </si>
  <si>
    <t>Impact Safety Glass Works Private Limited</t>
  </si>
  <si>
    <t>vikram.d79@gmail.com</t>
  </si>
  <si>
    <t>Vikram Kumar</t>
  </si>
  <si>
    <t>ALSTOM TRANSPORT LNDIA LIMITED</t>
  </si>
  <si>
    <t>Vadodara</t>
  </si>
  <si>
    <t xml:space="preserve">LCS SYSTEM of 500KG Capacity </t>
  </si>
  <si>
    <t>dharmesh-prajapati@alstomgroup.com'</t>
  </si>
  <si>
    <t xml:space="preserve">Dharmesh </t>
  </si>
  <si>
    <t>47-Alstom-LCS500kg</t>
  </si>
  <si>
    <t>12,14,440.00</t>
  </si>
  <si>
    <t>Vinayak Enterprises</t>
  </si>
  <si>
    <t>Plot No. 170,2nd, Floor MP, Nagar Zone-Ii Bhopal 462011, Bhopal, Madhya Pradesh, India</t>
  </si>
  <si>
    <t>10 Ton Double Girder Magnet EOT Construction Cranes</t>
  </si>
  <si>
    <t>mkmishra77@rediffmail.com</t>
  </si>
  <si>
    <t>Manoj Mishra</t>
  </si>
  <si>
    <t xml:space="preserve">Borade Enterprises </t>
  </si>
  <si>
    <t>sambhajinagar</t>
  </si>
  <si>
    <t>boraderohit533@gmail.com'</t>
  </si>
  <si>
    <t>38-BORADE-SGEOT05T-24/03/26</t>
  </si>
  <si>
    <t>17,78,245.80</t>
  </si>
  <si>
    <t>Hardoi</t>
  </si>
  <si>
    <t>anikumar</t>
  </si>
  <si>
    <t>Jai prakash solution</t>
  </si>
  <si>
    <t>Sonipat, Haryana, India</t>
  </si>
  <si>
    <t>jai</t>
  </si>
  <si>
    <t>pmpatil844@gmail.com</t>
  </si>
  <si>
    <t>Prashant Patel</t>
  </si>
  <si>
    <t>Varanasi, Uttar Pradesh, India</t>
  </si>
  <si>
    <t>2 Ton Electric Jib Crane</t>
  </si>
  <si>
    <t>Vedprakash</t>
  </si>
  <si>
    <t>any branded</t>
  </si>
  <si>
    <t>87/2, Kalaburagi Division, Koppal, Karnataka, India</t>
  </si>
  <si>
    <t>shilpanushilpanu@gmail.com</t>
  </si>
  <si>
    <t>Shilpa Kumar</t>
  </si>
  <si>
    <t>Comfort Crane And Fabrication</t>
  </si>
  <si>
    <t>1 st Floor, Shop Number 6, Ravi Kiran Complex, Marg no 1 Kotada Sangani,Shapur, Rajkot, Gujarat, India</t>
  </si>
  <si>
    <t>comfort.craneservice07@gmail.com</t>
  </si>
  <si>
    <t>S.K.Industries</t>
  </si>
  <si>
    <t>IGC, Phase III, SIDCO, Samba, Jammu &amp; Kashmir, India</t>
  </si>
  <si>
    <t>amar_83277@rediffmail.com</t>
  </si>
  <si>
    <t>Electric Floor Cranes,</t>
  </si>
  <si>
    <t>M V Enterprises</t>
  </si>
  <si>
    <t>G 215, ALPHA 2, GREATER NOIDA Gautam Buddha Nagar, Greater Noida, Uttar Pradesh, India</t>
  </si>
  <si>
    <t>mvemukesh57@gmail.com</t>
  </si>
  <si>
    <t>Mukesh Srivastava</t>
  </si>
  <si>
    <t>Dausa, Rajasthan, India</t>
  </si>
  <si>
    <t>rambabuprajapat6@gmail.com</t>
  </si>
  <si>
    <t>Rambabu Prajapat</t>
  </si>
  <si>
    <t>Kd India</t>
  </si>
  <si>
    <t>Flat No O6, Vyas Appt, Gajanan Nagar, Behind Newshreya Nagar, Osmanpura, Aurangabad, Maharashtra, India</t>
  </si>
  <si>
    <t>shaunak.kulkarni100@gmail.com</t>
  </si>
  <si>
    <t>Shaunak FOUND Kulkarni</t>
  </si>
  <si>
    <t xml:space="preserve">Nagar </t>
  </si>
  <si>
    <t xml:space="preserve">existing 3 ton SGEOT Refurbishment of Crane </t>
  </si>
  <si>
    <t>pravin.belhekar@cummins.com</t>
  </si>
  <si>
    <t xml:space="preserve">Pravin Belhekar </t>
  </si>
  <si>
    <t>51-Cummins-REFURBISHMENT-26/03/26</t>
  </si>
  <si>
    <t>KSB LTD</t>
  </si>
  <si>
    <t xml:space="preserve">Electric Wire Rope Hoist 3MT Capacity </t>
  </si>
  <si>
    <t xml:space="preserve">  &lt;AKASH.WARULE-EXT@ksb.com&gt;</t>
  </si>
  <si>
    <t>WARULE, AKASH</t>
  </si>
  <si>
    <t>38-KSBLTD-W R HOIST -27/03/26</t>
  </si>
  <si>
    <t>8,60,000.00</t>
  </si>
  <si>
    <t>Kirloskar Chillars  LTD</t>
  </si>
  <si>
    <t xml:space="preserve">DG EOT 15MT </t>
  </si>
  <si>
    <t xml:space="preserve"> &lt;dhananjay.deshpande@kirloskar.com&gt;</t>
  </si>
  <si>
    <t>Dhanajay Deshpande</t>
  </si>
  <si>
    <t>PRAGATI ELECTRICALS PVT. LTD.</t>
  </si>
  <si>
    <t>amol.gunjal@pragatielectricals.com</t>
  </si>
  <si>
    <t>Amol Gunjal</t>
  </si>
  <si>
    <t>single girder eot crane</t>
  </si>
  <si>
    <t>pushti</t>
  </si>
  <si>
    <t>Bharat Diamond Bourse</t>
  </si>
  <si>
    <t>Chain Electric Hoists</t>
  </si>
  <si>
    <t>bharat.karande@bdbindia.org</t>
  </si>
  <si>
    <t xml:space="preserve"> bharat karande</t>
  </si>
  <si>
    <t>BMSS STEEL INDUATRIES LTD,</t>
  </si>
  <si>
    <t>Chikhli</t>
  </si>
  <si>
    <t>ashishgoradia@goradia.in'</t>
  </si>
  <si>
    <t>Ashish Gordia</t>
  </si>
  <si>
    <t>49-BMSS-DGEOT-15MT -26-03-26</t>
  </si>
  <si>
    <t>25,48,135.00</t>
  </si>
  <si>
    <t>Parker Hannifin India Pvt Ltd</t>
  </si>
  <si>
    <t>Industrial Manipulator </t>
  </si>
  <si>
    <t>soham.dalvi@parker.com</t>
  </si>
  <si>
    <t>soham</t>
  </si>
  <si>
    <t>Press Metal Industries</t>
  </si>
  <si>
    <t>Kbk X Y Rail System</t>
  </si>
  <si>
    <t>mayur@pressmetal.co.in</t>
  </si>
  <si>
    <t>Mayur Mundra</t>
  </si>
  <si>
    <t>KRANO CRANES LLP</t>
  </si>
  <si>
    <t>Modasa</t>
  </si>
  <si>
    <t>yash.shah@kranocranes.com</t>
  </si>
  <si>
    <t>yash</t>
  </si>
  <si>
    <t>Bid, Maharashtra, India</t>
  </si>
  <si>
    <t>ashoksalgude1818@gmail.com</t>
  </si>
  <si>
    <t>Salgue Mude</t>
  </si>
  <si>
    <t>AVER</t>
  </si>
  <si>
    <t>B- 26, Opposite Citi Mall, Office New Link Road, Andheri (W), Mumbai, Maharashtra, India</t>
  </si>
  <si>
    <t>Monorail Crane System</t>
  </si>
  <si>
    <t>ramaya.patel@gmail.com</t>
  </si>
  <si>
    <t>Ramesh Patel</t>
  </si>
  <si>
    <t>ELECTRONICA PLASTIC MACHINES LTD</t>
  </si>
  <si>
    <t>PIRANGUT</t>
  </si>
  <si>
    <t>DG EOT 80T &amp; Semi Goliath Crane of 5MT Capacity</t>
  </si>
  <si>
    <t>project08.cta@gmail.com'</t>
  </si>
  <si>
    <t xml:space="preserve">ANil </t>
  </si>
  <si>
    <t>50&amp;54 ELECTRONICA-DGEOT -28-03-26</t>
  </si>
  <si>
    <t>4,06,54,000.00</t>
  </si>
  <si>
    <t>Anthony Security System</t>
  </si>
  <si>
    <t>Industrial Jib Crane</t>
  </si>
  <si>
    <t>sandip_51@ymail.com</t>
  </si>
  <si>
    <t>sandip</t>
  </si>
  <si>
    <t>Sk Enterprises</t>
  </si>
  <si>
    <t>shobhasuthar7021@gmail.com</t>
  </si>
  <si>
    <t>satish</t>
  </si>
  <si>
    <t>Sandhya Engineering And Fabrication Work</t>
  </si>
  <si>
    <t>N-9, A-116, L-9/1, Jalgaon Road, Shivajinagar, Cidco, Aurangabad, Maharashtra, India</t>
  </si>
  <si>
    <t>ashokjorwar99@gmail.com</t>
  </si>
  <si>
    <t>Ashok Nagorao Jorwar</t>
  </si>
  <si>
    <t>Movetech conveyor Ltd</t>
  </si>
  <si>
    <t>Festooning System</t>
  </si>
  <si>
    <t xml:space="preserve">Kuldeep </t>
  </si>
  <si>
    <t xml:space="preserve">PSR- ELECMECH SERVICES </t>
  </si>
  <si>
    <t>KHANAPUL</t>
  </si>
  <si>
    <t>SG EOT 5T &amp; 10T</t>
  </si>
  <si>
    <t>psr.em.engineeringservices@gmail.com'</t>
  </si>
  <si>
    <t>46-PSR-KV-SG EOT-28-03-26</t>
  </si>
  <si>
    <t>31,60,927.66</t>
  </si>
  <si>
    <t xml:space="preserve">Ring Mill Scale Cart </t>
  </si>
  <si>
    <t>babasaheb.patil@bharatforge.com</t>
  </si>
  <si>
    <t>Craftsman Automation LTD</t>
  </si>
  <si>
    <t xml:space="preserve">Pune, </t>
  </si>
  <si>
    <t>LCS SYSTEM Of 500kg, 250kg</t>
  </si>
  <si>
    <t>esd_craneu3@craftsmanautomation.com</t>
  </si>
  <si>
    <t>S.Kanagaraj</t>
  </si>
  <si>
    <t>Fix design technologies</t>
  </si>
  <si>
    <t>portable Gantry Crane of 5MT</t>
  </si>
  <si>
    <t>Empire Lifting Industries</t>
  </si>
  <si>
    <t>ifting tools and tackles</t>
  </si>
  <si>
    <t>empirelifting2023@gmail.com</t>
  </si>
  <si>
    <t>Amit Ramdas Gaikwad</t>
  </si>
  <si>
    <t>Thiruvananthapuram</t>
  </si>
  <si>
    <t xml:space="preserve">Leo Engineering </t>
  </si>
  <si>
    <t>DG EOT Crane of 15T &amp; 20T</t>
  </si>
  <si>
    <t>factory@leoengineer.com'</t>
  </si>
  <si>
    <t>Details pending</t>
  </si>
  <si>
    <t>V.S.P.N.Packing Industries</t>
  </si>
  <si>
    <t>67, Shiv Ganga Ind.Estate Lakeshwari, Bhagwanpur, Uttarakhand, India</t>
  </si>
  <si>
    <t>vspnpack2007@yahoo.co.in</t>
  </si>
  <si>
    <t>Naveen Garg</t>
  </si>
  <si>
    <t>Navbharat Buildcon Private Limited</t>
  </si>
  <si>
    <t>Aastha Sadan, Jambur Khana, Mama Ka Bazar, Lashkar, Gwalior, Madhya Pradesh, India</t>
  </si>
  <si>
    <t>shrenik@navbharatbuildcon.com</t>
  </si>
  <si>
    <t>Nav Bharat Buildcon Pvt Ltd</t>
  </si>
  <si>
    <t>Sheikh Marine</t>
  </si>
  <si>
    <t>Bhavnagar, Gujarat, India</t>
  </si>
  <si>
    <t>arhansheikh533@gmail.com</t>
  </si>
  <si>
    <t>Arhan Sheikh</t>
  </si>
  <si>
    <t>ronak</t>
  </si>
  <si>
    <t>SHREE AUTOMATIONS AND SYSTEMS</t>
  </si>
  <si>
    <t>Cross rail with required accessories</t>
  </si>
  <si>
    <t>shree.automationandsystem@gmail.com'</t>
  </si>
  <si>
    <t>Ajit Surve</t>
  </si>
  <si>
    <t>58-Shreeauto-Rail Trolley</t>
  </si>
  <si>
    <t>Poineer Engineering</t>
  </si>
  <si>
    <t>vinaymalik@pioneerengineeringsolutions.com'</t>
  </si>
  <si>
    <t>Vinay mali</t>
  </si>
  <si>
    <t>59-PoineerEng-2T JC</t>
  </si>
  <si>
    <t>SHANDONG HEAVY INDUSTRY INDIA PVT.LTD,</t>
  </si>
  <si>
    <t>Hinjewadi</t>
  </si>
  <si>
    <t>KBK Rail Systems Accessories 1000kg</t>
  </si>
  <si>
    <t>prakashdunge@weichai.com'</t>
  </si>
  <si>
    <t>Prakash Dunge</t>
  </si>
  <si>
    <t>02/WEICHAI-LCS A-01/04/26</t>
  </si>
  <si>
    <t>Mecc alte India Ltd</t>
  </si>
  <si>
    <t>sandeep.awari@meccalte.in'</t>
  </si>
  <si>
    <t>Sandip awari</t>
  </si>
  <si>
    <t xml:space="preserve">Kirloskar chillars </t>
  </si>
  <si>
    <t>DG EOT Crane of 15MT Capacity</t>
  </si>
  <si>
    <t>dhananjay.deshpande@kirloskar.com'</t>
  </si>
  <si>
    <t>S No 219, Mahadeonagar, Ghule Vasti, Manjri Road, Hadapsar, Pune, Maharashtra, India</t>
  </si>
  <si>
    <t>shreemauli8080@gmail.com</t>
  </si>
  <si>
    <t>ramchandra sagar</t>
  </si>
  <si>
    <t>own use</t>
  </si>
  <si>
    <t>Rajgurunagar Khed, Maharashtra, India</t>
  </si>
  <si>
    <t xml:space="preserve">Jib Crane 300-700 Kg. </t>
  </si>
  <si>
    <t>Haidar Ali Darveshi</t>
  </si>
  <si>
    <t>aman</t>
  </si>
  <si>
    <t>Sankari</t>
  </si>
  <si>
    <t>electric chain hoist</t>
  </si>
  <si>
    <t>rjpackaging99@gmail.com</t>
  </si>
  <si>
    <t>Darsh Engineering And Fabrication</t>
  </si>
  <si>
    <t>601/7, Chandan Tekdi, Saswad Pune Road, Saswad Tal Purandar, Saswad, Maharashtra, India</t>
  </si>
  <si>
    <t>darshfabrication2019@gmail.com</t>
  </si>
  <si>
    <t>AMIT KUNDLIK MANE</t>
  </si>
  <si>
    <t>Electric Monorail Hoist</t>
  </si>
  <si>
    <t>vanita</t>
  </si>
  <si>
    <t>Musiri</t>
  </si>
  <si>
    <t>double girder eot crane</t>
  </si>
  <si>
    <t>shrinivasan</t>
  </si>
  <si>
    <t>hhg industries pvt ltd</t>
  </si>
  <si>
    <t> Manipulators</t>
  </si>
  <si>
    <t>tushar</t>
  </si>
  <si>
    <t>Pedika Agro (OPC) Private Limited</t>
  </si>
  <si>
    <t>381 Main Road  Pachora  Jalgaon, Pachora, Maharashtra, India</t>
  </si>
  <si>
    <t>pravin borse</t>
  </si>
  <si>
    <t>mayurwaghole123@gmail.com</t>
  </si>
  <si>
    <t>Mayur Sanjay Waghole</t>
  </si>
  <si>
    <t>Ansar Baba Engineering Works</t>
  </si>
  <si>
    <t>267- Mujaur Gali, Peeranwadi, Belgaum, Belgaum, Karnataka, India</t>
  </si>
  <si>
    <t>ansarbelgaum@gmail.com</t>
  </si>
  <si>
    <t>Ansar Ahmed Hubliwale</t>
  </si>
  <si>
    <t>Danver Hydromatics Private Limited</t>
  </si>
  <si>
    <t>10/23, SNC Road, Behala, Kolkata, West Bengal, India</t>
  </si>
  <si>
    <t> Manipulator</t>
  </si>
  <si>
    <t>SANDVIK COROMANT INDIA PVT. LTD</t>
  </si>
  <si>
    <t>Dapodi</t>
  </si>
  <si>
    <t>Winch for 1T Capacity</t>
  </si>
  <si>
    <t>KIRAN NALAGE &lt;kiran.nalage@sandvik.com&gt;</t>
  </si>
  <si>
    <t>Kiran Nalage</t>
  </si>
  <si>
    <t>KSB LIMITED</t>
  </si>
  <si>
    <t>admednagar</t>
  </si>
  <si>
    <t>of Jib Crane of 1MT Capacity</t>
  </si>
  <si>
    <t>&lt;Jaywant.Sutar@ksb.com&gt;</t>
  </si>
  <si>
    <t>Sutar, Jaywant'</t>
  </si>
  <si>
    <t>2 Ton Electric Chain Hoist</t>
  </si>
  <si>
    <t>dangat9666@gmail.com</t>
  </si>
  <si>
    <t>bhi</t>
  </si>
  <si>
    <t>Electrofab Engineering Services Pvt.Ltd</t>
  </si>
  <si>
    <t>plot no. 49B,Sai industrial associates,NR Maharashtra ware house ,nashik road,chowiswadi,charoli, Pimpri Chinchwad, Maharashtra, India</t>
  </si>
  <si>
    <t>atharvpasalkar146@gmail.com</t>
  </si>
  <si>
    <t>athrv</t>
  </si>
  <si>
    <t>Dharni, Maharashtra, India</t>
  </si>
  <si>
    <t>NITESH LAXMAN SEMALKAR</t>
  </si>
  <si>
    <t>Sany India ltd</t>
  </si>
  <si>
    <t>Nikhil warade</t>
  </si>
  <si>
    <t>Atlas copco</t>
  </si>
  <si>
    <t xml:space="preserve">5MT Crab Trollry </t>
  </si>
  <si>
    <t>Eka mobility solutions</t>
  </si>
  <si>
    <t xml:space="preserve">EOT Crane, XY rail,  Manipulator </t>
  </si>
  <si>
    <t>7-EKA MOBILITY-PITHAMPUR-05/04/26</t>
  </si>
  <si>
    <t xml:space="preserve">EOT Crane of 2MT Capacity </t>
  </si>
  <si>
    <t>&lt;sandeep.naikare@cummins.com&gt;</t>
  </si>
  <si>
    <t>Sandeep Naikare</t>
  </si>
  <si>
    <t>Emerson Process Management (India) Pvt. Ltd</t>
  </si>
  <si>
    <t xml:space="preserve">Single Girder EOT Crane of 5MT Capacity </t>
  </si>
  <si>
    <t>&lt;Raviprasad.Savkar@Emerson.com&gt;</t>
  </si>
  <si>
    <t>Savakar, Raviprasad</t>
  </si>
  <si>
    <t>Thane</t>
  </si>
  <si>
    <t>naveenagrawal2007@gmail.com</t>
  </si>
  <si>
    <t>naveen agarwal</t>
  </si>
  <si>
    <t>MITTAL TRADERS</t>
  </si>
  <si>
    <t>Howrah</t>
  </si>
  <si>
    <t>mohitmitt@gmail.com</t>
  </si>
  <si>
    <t>mohit mittal</t>
  </si>
  <si>
    <t>KSB India Ltd</t>
  </si>
  <si>
    <t>Ahmednagar</t>
  </si>
  <si>
    <t>Industrial cranes</t>
  </si>
  <si>
    <t>nagesh talwar</t>
  </si>
  <si>
    <t>Barrackpore</t>
  </si>
  <si>
    <t>heavy duty hydra crane</t>
  </si>
  <si>
    <t>anand gupta</t>
  </si>
  <si>
    <t>INFINITE ENERGY PVT. LTD</t>
  </si>
  <si>
    <t>faridabad</t>
  </si>
  <si>
    <t>9212084932 </t>
  </si>
  <si>
    <t>naval</t>
  </si>
  <si>
    <t>Aakruti Tooling</t>
  </si>
  <si>
    <t>Moi</t>
  </si>
  <si>
    <t xml:space="preserve">12.5MT EOT Crane </t>
  </si>
  <si>
    <t>-aakrutitooling@gmail.com</t>
  </si>
  <si>
    <t>11-AAKRUTI-EOT-12.5T-MOI-05/04/26</t>
  </si>
  <si>
    <t xml:space="preserve">ENERSYS THERMAL LTD </t>
  </si>
  <si>
    <t>5T &amp; 10T Hoist</t>
  </si>
  <si>
    <t>enersys.pune@gmail.com</t>
  </si>
  <si>
    <t>8-ENERGYGS-HOIST -5 &amp; 10T-04/04/26</t>
  </si>
  <si>
    <t>Application Eng.</t>
  </si>
  <si>
    <t>LCS SYSTEM of 500kg &amp; 1T</t>
  </si>
  <si>
    <t>&lt;applicationengg@impregseal.com&gt;</t>
  </si>
  <si>
    <t>9-ApplicationEngg-LCS-500kg1T -05/04/26</t>
  </si>
  <si>
    <t>Aarya And Company</t>
  </si>
  <si>
    <t>Waluj Midc, P No 6, Cidco, Gut No 105, Aurangabad, Maharashtra, India</t>
  </si>
  <si>
    <t>chetanyelikar@yahoo.in</t>
  </si>
  <si>
    <t>Chetan Yelikar</t>
  </si>
  <si>
    <t>Ho Company</t>
  </si>
  <si>
    <t>a/p pimpale,, Indapur, Maharashtra, India</t>
  </si>
  <si>
    <t>yuvraj_kate84@rediffmail.com</t>
  </si>
  <si>
    <t>Kate Yuvraj</t>
  </si>
  <si>
    <t>Chakan, Maharashtra, India</t>
  </si>
  <si>
    <t>VAISHALI</t>
  </si>
  <si>
    <t>Perfect Machine Tools Corporation Limited</t>
  </si>
  <si>
    <t>Plot No. 36, 1st Floor, Rajendra Nagar, Sector- 5, Sahibabad, Uttar Pradesh, India</t>
  </si>
  <si>
    <t>Manipulators</t>
  </si>
  <si>
    <t>pmtdel@pmtcoltd.com</t>
  </si>
  <si>
    <t>S.K. Kapoor</t>
  </si>
  <si>
    <t>nsnkarthik12@gmail.com</t>
  </si>
  <si>
    <t>RAJENDRAN KARTHIK</t>
  </si>
  <si>
    <t>A J Enterprise</t>
  </si>
  <si>
    <t>01, Jani Kalan, Baghpat Road, Jani Buzurg, Near Aiter Tower, Meerut, Uttar Pradesh, India</t>
  </si>
  <si>
    <t>Electric Overhead Crane</t>
  </si>
  <si>
    <t>gufrankhanjanimeerut@gmail.com</t>
  </si>
  <si>
    <t>Gufran Khan</t>
  </si>
  <si>
    <t>mohamaad safik contractor</t>
  </si>
  <si>
    <t>Jodhpur, Rajasthan, India</t>
  </si>
  <si>
    <t>Overhead Mounted Manipulator</t>
  </si>
  <si>
    <t>mohmmad.aslam04@gmail.com</t>
  </si>
  <si>
    <t>aslam</t>
  </si>
  <si>
    <t>horizontal boring machine job work</t>
  </si>
  <si>
    <t>basirboghara26@gmail.com</t>
  </si>
  <si>
    <t>Arsh Boghara</t>
  </si>
  <si>
    <t>Sri Mahalakshmi Engineering Works</t>
  </si>
  <si>
    <t>5-35/227,Shakthi puram,Prashanthi nagar,kukatpally, Hyderabad, Telangana, India</t>
  </si>
  <si>
    <t>srimahalakshmi216@gmail.com</t>
  </si>
  <si>
    <t>Santhosh</t>
  </si>
  <si>
    <t>Andriya Shipping</t>
  </si>
  <si>
    <t>andriyashipping@gmail.com</t>
  </si>
  <si>
    <t>kaushik</t>
  </si>
  <si>
    <t>Universal Marketing Services</t>
  </si>
  <si>
    <t>3 Ton Electric Wire Rope Hoist</t>
  </si>
  <si>
    <t>umsscales@gmail.com</t>
  </si>
  <si>
    <t>Ahilan Natarajan</t>
  </si>
  <si>
    <t>arjunkurhade66967@gmail.com</t>
  </si>
  <si>
    <t>arjun</t>
  </si>
  <si>
    <t>Shiv Enterprises</t>
  </si>
  <si>
    <t>H No 593,Dandavate Galli,Dandavate Galli,Vhanali,Kolhapur, Kolhapur, Maharashtra, India</t>
  </si>
  <si>
    <t>1 Ton Electric Chain Hoist</t>
  </si>
  <si>
    <t>arvinddandwate2@gmail.com</t>
  </si>
  <si>
    <t>anita</t>
  </si>
  <si>
    <t>S B Engineering</t>
  </si>
  <si>
    <t>360, Shivaling Colony, Brahma Nagar, Belagavi, Karnataka, India</t>
  </si>
  <si>
    <t>shubhamwadekar35968@gmail.com</t>
  </si>
  <si>
    <t>CLF PROJECTS PVT LTD</t>
  </si>
  <si>
    <t xml:space="preserve">DG EOT Crane of 15/5MT Capacity </t>
  </si>
  <si>
    <t>purchase.infra@clfprojects.com'</t>
  </si>
  <si>
    <t>10-CLF PROJECTS-15/5T-05/041/26</t>
  </si>
  <si>
    <t>PMI Coaches Pvt Ltd</t>
  </si>
  <si>
    <t>AVINASHJAIN59@GMAIL.COM</t>
  </si>
  <si>
    <t>avinash jain</t>
  </si>
  <si>
    <t>S. H. Engineers</t>
  </si>
  <si>
    <t>Sector No. D-9/10, Industrial Estate, Baramati, Maharashtra, India</t>
  </si>
  <si>
    <t>waseem.shikalkar@gmail.com</t>
  </si>
  <si>
    <t>Waseem Shikalkar</t>
  </si>
  <si>
    <t>Vertex Elevators India</t>
  </si>
  <si>
    <t>Office No 167, 1st Floor,, Pune, Maharashtra, India</t>
  </si>
  <si>
    <t>Pramod Kinge</t>
  </si>
  <si>
    <t>Buildchem</t>
  </si>
  <si>
    <t>Sangamner, Maharashtra, India</t>
  </si>
  <si>
    <t>support@buildcheminfra.com</t>
  </si>
  <si>
    <t>gite</t>
  </si>
  <si>
    <t>Marketing Plus</t>
  </si>
  <si>
    <t>Ground Floor, N-116, Sector-12, Noida, Uttar Pradesh, India</t>
  </si>
  <si>
    <t>marketingplus.gg@gmail.com</t>
  </si>
  <si>
    <t>Rahul Babbar</t>
  </si>
  <si>
    <t>Kamsiddha Engineers And Fabricators</t>
  </si>
  <si>
    <t>Gat No.1403, Near Mahalaxmi Green House, Sonwane Wasti, Chikhli, Pune, Maharashtra, India</t>
  </si>
  <si>
    <t>kamsiddha.eng@gmail.com</t>
  </si>
  <si>
    <t>Devendra Bonde</t>
  </si>
  <si>
    <t xml:space="preserve">15-RE-KAMSIDDHA-5T Hoist </t>
  </si>
  <si>
    <t>JCB INDIA LTD</t>
  </si>
  <si>
    <t>Halol</t>
  </si>
  <si>
    <t>&lt;pratik.patil@jcb.com&gt;</t>
  </si>
  <si>
    <t>01-JCB-2MT SG EOT</t>
  </si>
  <si>
    <t>BOMAG INDIA PVT LTD</t>
  </si>
  <si>
    <t>Dismantling &amp; Installation of Existing Crane</t>
  </si>
  <si>
    <t>rajiv.gaikwad@dynapac.com'</t>
  </si>
  <si>
    <t>Vaibhav</t>
  </si>
  <si>
    <t>13/BOMAG/D&amp;ICRANE-06/04/26</t>
  </si>
  <si>
    <t>EEPOS INDIA</t>
  </si>
  <si>
    <t xml:space="preserve">Chain Hoist </t>
  </si>
  <si>
    <t>r' &lt;bhagyashri@eeposcranes.co.in&gt;</t>
  </si>
  <si>
    <t>Bhagyashri Kumbha</t>
  </si>
  <si>
    <t>14-EEPOS-1MT CH -07/04/26</t>
  </si>
  <si>
    <t>HYOSUNG T &amp; D INDIA PVT LTD</t>
  </si>
  <si>
    <t xml:space="preserve">Articulated Jib Crane of 500kg Capacity </t>
  </si>
  <si>
    <t>haidarali.darveshi@hyosung.com'</t>
  </si>
  <si>
    <t xml:space="preserve">haidrali </t>
  </si>
  <si>
    <t>15-HT&amp;DIPL-JC500kg -07/04/27</t>
  </si>
  <si>
    <t>KAMSIDHA ENGNEERING &amp; FABRICATIONS</t>
  </si>
  <si>
    <t>Electric Wire Rope Hoist of 5MT Capacity</t>
  </si>
  <si>
    <t>kamsiddha.lif@gmail.com'</t>
  </si>
  <si>
    <t>15-KE&amp;F-5MT WR HOIST-07/04/26</t>
  </si>
  <si>
    <t>Liftsafe Cranes India Pvt. Ltd</t>
  </si>
  <si>
    <t>KBK Long Rail &amp; Cross Rails</t>
  </si>
  <si>
    <t>&lt;liftsafesales@gmail.com&gt;</t>
  </si>
  <si>
    <t>16/LIFESAFE-LCS0.5T-07/04/26</t>
  </si>
  <si>
    <t>Endo kogyo India LTD</t>
  </si>
  <si>
    <t>Pillar Mounted Jib Crane 250 Kg</t>
  </si>
  <si>
    <t>Ludhiana, Punjab, India</t>
  </si>
  <si>
    <t>baljeetsainibaljeetkaur5008@gmail.com</t>
  </si>
  <si>
    <t>xpert material handling</t>
  </si>
  <si>
    <t>Talwade, Pune Division, Pune, Maharashtra, India</t>
  </si>
  <si>
    <t>Electric Chain Hoist 2000kg</t>
  </si>
  <si>
    <t>purchase@xpertmhe.com</t>
  </si>
  <si>
    <t>Madan R</t>
  </si>
  <si>
    <t>gayatri  Agritech</t>
  </si>
  <si>
    <t>shinde.abhay333@gmail.com</t>
  </si>
  <si>
    <t>abhay</t>
  </si>
  <si>
    <t>Industrial Manipulator for Material Lifting</t>
  </si>
  <si>
    <t>HI TECH MACHINES TOOLS</t>
  </si>
  <si>
    <t>Mandi Gobindgarh</t>
  </si>
  <si>
    <t>Jagdeep Singh</t>
  </si>
  <si>
    <t>sri satguru enterprises</t>
  </si>
  <si>
    <t>Nanasaheb Dnynoba Bagade</t>
  </si>
  <si>
    <t xml:space="preserve">electric chain Hoist </t>
  </si>
  <si>
    <t>Akash Subhedar</t>
  </si>
  <si>
    <t xml:space="preserve">GKN DRIVING </t>
  </si>
  <si>
    <t>Mane Kancor Ingredients Pvt</t>
  </si>
  <si>
    <t>karnataka</t>
  </si>
  <si>
    <t>S Prabath &lt;Prabath.S@MANE.com&gt;</t>
  </si>
  <si>
    <t>Prabath S</t>
  </si>
  <si>
    <t>kolhpur</t>
  </si>
  <si>
    <t>Heavy duty cranes</t>
  </si>
  <si>
    <t>Allauddin Shaikh</t>
  </si>
  <si>
    <t>Jay Malhar Tredars</t>
  </si>
  <si>
    <t>Gat No 2181, Ground Floor, Pune, Maharashtra, India</t>
  </si>
  <si>
    <t>anil</t>
  </si>
  <si>
    <t>Nav Preet Transmission</t>
  </si>
  <si>
    <t>Industrial EOT Cranes</t>
  </si>
  <si>
    <t>shindeabhishek004@gmail.com</t>
  </si>
  <si>
    <t>Arhan Technology</t>
  </si>
  <si>
    <t>23-ARHAN-02T-LCS SS</t>
  </si>
  <si>
    <t>Bothara Communication</t>
  </si>
  <si>
    <t>Nashik Division Maliwada, Pune, Maharashtra, India</t>
  </si>
  <si>
    <t>pareshb56@yahoo.co.in</t>
  </si>
  <si>
    <t>Paresh Ventures</t>
  </si>
  <si>
    <t>Ground, Gf-79, Devika Chamber, Devika Chamber, Rajnagar District, RDC, Ghaziabad, Uttar Pradesh, India</t>
  </si>
  <si>
    <t xml:space="preserve">LCS System with Support Structure </t>
  </si>
  <si>
    <t>liftsafesales &lt;liftsafesales@gmail.com&gt;</t>
  </si>
  <si>
    <t>SAARLOHA Advanced Materials Pvt. Ltd</t>
  </si>
  <si>
    <t>mudhawa</t>
  </si>
  <si>
    <t>ELECTRIC HOIST CAPACITY 1 TON WITH PUSH BUTTON</t>
  </si>
  <si>
    <t>20-66215363</t>
  </si>
  <si>
    <t xml:space="preserve"> &lt;yash.borade@saarloha.com&gt;</t>
  </si>
  <si>
    <t>Yash Borade</t>
  </si>
  <si>
    <t>23-SAARLOHA-1T-CH-10/04/26</t>
  </si>
  <si>
    <t>heavy duty eot cranes</t>
  </si>
  <si>
    <t>weldcare@yahoo.com</t>
  </si>
  <si>
    <t>Project 2.0</t>
  </si>
  <si>
    <t>House No 3/1284, Sr.No.46, Sagar Park, Old Mundhwa Road, Wadgaon Sheri, Pune, Maharashtra, India</t>
  </si>
  <si>
    <t>JK Tyres</t>
  </si>
  <si>
    <t>Metagalii krs road mysore, Mysore, Karnataka, India</t>
  </si>
  <si>
    <t>1 Ton Factory Electric Chain Hoist</t>
  </si>
  <si>
    <t>dbcoe.chiefeng@gmail.com</t>
  </si>
  <si>
    <t>STATES</t>
  </si>
  <si>
    <t>No</t>
  </si>
  <si>
    <t>SALES OVERVIEW</t>
  </si>
  <si>
    <t>LEAD OWNER</t>
  </si>
  <si>
    <t>NO</t>
  </si>
  <si>
    <t>📊 Weekly Dashboard (Mon–Sun)</t>
  </si>
  <si>
    <t>📊 Yearly Dashboard (Jan–Dec 2026)</t>
  </si>
  <si>
    <t>Day</t>
  </si>
  <si>
    <t>NOS</t>
  </si>
  <si>
    <t>Amount Formula</t>
  </si>
  <si>
    <t>Month</t>
  </si>
  <si>
    <t>Arunachal Pradesh</t>
  </si>
  <si>
    <t>Monday</t>
  </si>
  <si>
    <t>January</t>
  </si>
  <si>
    <t>Tuesday</t>
  </si>
  <si>
    <t>February</t>
  </si>
  <si>
    <t>Wednesday</t>
  </si>
  <si>
    <t>March</t>
  </si>
  <si>
    <t>Chhattisgarh</t>
  </si>
  <si>
    <t>OUT SOURCE</t>
  </si>
  <si>
    <t>Thursday</t>
  </si>
  <si>
    <t>April</t>
  </si>
  <si>
    <t>Friday</t>
  </si>
  <si>
    <t>May</t>
  </si>
  <si>
    <t>DASH</t>
  </si>
  <si>
    <t>Saturday</t>
  </si>
  <si>
    <t>June</t>
  </si>
  <si>
    <t>INQUIRY</t>
  </si>
  <si>
    <t>LEADS DATA</t>
  </si>
  <si>
    <t>VALUE</t>
  </si>
  <si>
    <t>Sunday</t>
  </si>
  <si>
    <t>July</t>
  </si>
  <si>
    <t>August</t>
  </si>
  <si>
    <t>September</t>
  </si>
  <si>
    <t>MONTHS</t>
  </si>
  <si>
    <t>October</t>
  </si>
  <si>
    <t>TOTAL VALUE</t>
  </si>
  <si>
    <t>November</t>
  </si>
  <si>
    <t>December</t>
  </si>
  <si>
    <t>Manipur</t>
  </si>
  <si>
    <t>DAY BEFORE YESTURDAY</t>
  </si>
  <si>
    <t>Meghalaya</t>
  </si>
  <si>
    <t>CRANE TYPES</t>
  </si>
  <si>
    <t>Mizoram</t>
  </si>
  <si>
    <t>TYPES OF CRANES</t>
  </si>
  <si>
    <t>Nagaland</t>
  </si>
  <si>
    <t>QUOTATIONS</t>
  </si>
  <si>
    <t>Sikkim</t>
  </si>
  <si>
    <t>Quotation Status</t>
  </si>
  <si>
    <t>Tripura</t>
  </si>
  <si>
    <t>Scissor Lifter</t>
  </si>
  <si>
    <t>Manipulator (2)</t>
  </si>
  <si>
    <t>TOTAL LEADS</t>
  </si>
  <si>
    <t>JANUARY</t>
  </si>
  <si>
    <t>LEAD SOURCES</t>
  </si>
  <si>
    <t>EN NOS</t>
  </si>
  <si>
    <t>APPROACHED</t>
  </si>
  <si>
    <t>QTN REQUIRREMENT</t>
  </si>
  <si>
    <t>QTN SENT</t>
  </si>
  <si>
    <t>ORDER</t>
  </si>
  <si>
    <t xml:space="preserve">TOTAL DATA </t>
  </si>
  <si>
    <t>Indiamart</t>
  </si>
  <si>
    <t>Mail</t>
  </si>
  <si>
    <t xml:space="preserve">Trade India </t>
  </si>
  <si>
    <t>Exisitng cust</t>
  </si>
  <si>
    <t xml:space="preserve">Reference </t>
  </si>
  <si>
    <t xml:space="preserve">FEBRUARY </t>
  </si>
  <si>
    <t xml:space="preserve">MARCH </t>
  </si>
  <si>
    <t>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</si>
</sst>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_ &quot;₹&quot;\ * #,##0.00_ ;_ &quot;₹&quot;\ * \-#,##0.00_ ;_ &quot;₹&quot;\ * &quot;-&quot;??_ ;_ @_ "/>
    <numFmt numFmtId="165" formatCode="_ * #,##0.00_ ;_ * \-#,##0.00_ ;_ * &quot;-&quot;??_ ;_ @_ "/>
    <numFmt numFmtId="166" formatCode="&quot;₹&quot;\ #,##0.00"/>
    <numFmt numFmtId="167" formatCode="&quot;$&quot;#,##0.00"/>
  </numFmts>
  <fonts count="6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9C6500"/>
      <name val="Calibri"/>
      <family val="2"/>
      <scheme val="minor"/>
    </font>
    <font>
      <sz val="11"/>
      <color rgb="FFC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Times New Roman"/>
      <family val="1"/>
    </font>
    <font>
      <sz val="9"/>
      <color rgb="FF2D3840"/>
      <name val="Poppins"/>
      <family val="2"/>
      <charset val="1"/>
    </font>
    <font>
      <sz val="11"/>
      <color theme="1"/>
      <name val="Andalus"/>
    </font>
    <font>
      <sz val="11"/>
      <color theme="1"/>
      <name val="Calibri"/>
      <family val="2"/>
      <charset val="1"/>
    </font>
    <font>
      <sz val="10"/>
      <color rgb="FF000000"/>
      <name val="Poppins"/>
      <family val="2"/>
      <charset val="1"/>
    </font>
    <font>
      <b/>
      <sz val="11"/>
      <color rgb="FFFF0000"/>
      <name val="Calibri"/>
      <family val="2"/>
      <scheme val="minor"/>
    </font>
    <font>
      <sz val="10.5"/>
      <color rgb="FF000000"/>
      <name val="Aptos"/>
      <family val="2"/>
    </font>
    <font>
      <sz val="9"/>
      <color rgb="FF000000"/>
      <name val="Poppins"/>
    </font>
    <font>
      <b/>
      <sz val="11"/>
      <color rgb="FF333333"/>
      <name val="Roboto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3.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rgb="FF002060"/>
      <name val="Aptos"/>
    </font>
    <font>
      <sz val="11"/>
      <color rgb="FF000000"/>
      <name val="Aptos"/>
    </font>
    <font>
      <sz val="11"/>
      <color rgb="FF000000"/>
      <name val="Calibri"/>
      <scheme val="minor"/>
    </font>
    <font>
      <sz val="12"/>
      <color rgb="FF222222"/>
      <name val="Tahoma"/>
    </font>
    <font>
      <sz val="11"/>
      <color rgb="FF222222"/>
      <name val="Calibri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charset val="1"/>
    </font>
    <font>
      <sz val="16"/>
      <color theme="1"/>
      <name val="Calibri"/>
      <family val="2"/>
      <scheme val="minor"/>
    </font>
    <font>
      <b/>
      <sz val="16"/>
      <name val="Calibri"/>
      <family val="2"/>
    </font>
    <font>
      <sz val="11"/>
      <color rgb="FF000000"/>
      <name val="Calibri"/>
      <family val="2"/>
      <charset val="1"/>
    </font>
    <font>
      <sz val="9"/>
      <color rgb="FF000000"/>
      <name val="Segoe UI"/>
      <family val="2"/>
      <charset val="1"/>
    </font>
    <font>
      <sz val="11"/>
      <color rgb="FF242424"/>
      <name val="Aptos Narrow"/>
      <charset val="1"/>
    </font>
    <font>
      <sz val="9"/>
      <color rgb="FF2D3840"/>
      <name val="Poppins"/>
      <charset val="1"/>
    </font>
    <font>
      <sz val="11"/>
      <color rgb="FF333333"/>
      <name val="Roboto"/>
      <family val="2"/>
      <charset val="1"/>
    </font>
    <font>
      <sz val="9"/>
      <color theme="1"/>
      <name val="Arial"/>
      <family val="2"/>
      <charset val="1"/>
    </font>
    <font>
      <sz val="11"/>
      <color theme="1"/>
      <name val="Aptos"/>
      <charset val="1"/>
    </font>
    <font>
      <b/>
      <sz val="12"/>
      <color theme="1"/>
      <name val="Calibri"/>
      <family val="2"/>
      <scheme val="minor"/>
    </font>
    <font>
      <b/>
      <sz val="11"/>
      <color rgb="FF000000"/>
      <name val="Roboto"/>
      <charset val="1"/>
    </font>
    <font>
      <b/>
      <sz val="11"/>
      <color rgb="FF000000"/>
      <name val="Roboto"/>
      <family val="2"/>
      <charset val="1"/>
    </font>
    <font>
      <b/>
      <sz val="11"/>
      <color rgb="FF333333"/>
      <name val="Roboto"/>
      <family val="2"/>
      <charset val="1"/>
    </font>
    <font>
      <sz val="9"/>
      <color rgb="FF000000"/>
      <name val="Helvetica"/>
      <family val="2"/>
      <charset val="1"/>
    </font>
    <font>
      <sz val="8"/>
      <color theme="1"/>
      <name val="Arial"/>
      <family val="2"/>
      <charset val="1"/>
    </font>
    <font>
      <sz val="12"/>
      <color rgb="FF000000"/>
      <name val="Aptos"/>
      <charset val="1"/>
    </font>
    <font>
      <sz val="12"/>
      <color theme="1"/>
      <name val="Times New Roman"/>
      <family val="1"/>
      <charset val="1"/>
    </font>
    <font>
      <sz val="10.5"/>
      <color rgb="FF002060"/>
      <name val="Aptos"/>
      <charset val="1"/>
    </font>
    <font>
      <sz val="10.5"/>
      <color rgb="FF000000"/>
      <name val="Tahoma"/>
      <family val="2"/>
      <charset val="1"/>
    </font>
    <font>
      <sz val="9"/>
      <color rgb="FF000000"/>
      <name val="Helvetica"/>
      <charset val="1"/>
    </font>
    <font>
      <sz val="11"/>
      <color theme="1"/>
      <name val="Calibri"/>
      <charset val="1"/>
    </font>
    <font>
      <sz val="13.5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6DEF7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165" fontId="1" fillId="0" borderId="0" applyFont="0" applyFill="0" applyBorder="0" applyAlignment="0" applyProtection="0"/>
    <xf numFmtId="0" fontId="4" fillId="4" borderId="0" applyNumberFormat="0" applyBorder="0" applyAlignment="0" applyProtection="0"/>
    <xf numFmtId="0" fontId="8" fillId="0" borderId="0" applyNumberFormat="0" applyFill="0" applyBorder="0" applyAlignment="0" applyProtection="0"/>
  </cellStyleXfs>
  <cellXfs count="29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2" borderId="0" xfId="1"/>
    <xf numFmtId="0" fontId="7" fillId="6" borderId="0" xfId="0" applyFont="1" applyFill="1"/>
    <xf numFmtId="0" fontId="7" fillId="0" borderId="0" xfId="0" applyFont="1"/>
    <xf numFmtId="0" fontId="2" fillId="0" borderId="0" xfId="1" applyFill="1"/>
    <xf numFmtId="0" fontId="3" fillId="0" borderId="0" xfId="2" applyFill="1"/>
    <xf numFmtId="0" fontId="0" fillId="7" borderId="1" xfId="0" applyFill="1" applyBorder="1"/>
    <xf numFmtId="0" fontId="0" fillId="5" borderId="1" xfId="0" applyFill="1" applyBorder="1"/>
    <xf numFmtId="0" fontId="0" fillId="5" borderId="3" xfId="0" applyFill="1" applyBorder="1"/>
    <xf numFmtId="0" fontId="0" fillId="9" borderId="0" xfId="0" applyFill="1"/>
    <xf numFmtId="0" fontId="18" fillId="0" borderId="0" xfId="0" applyFont="1"/>
    <xf numFmtId="0" fontId="0" fillId="9" borderId="13" xfId="0" applyFill="1" applyBorder="1"/>
    <xf numFmtId="0" fontId="0" fillId="9" borderId="12" xfId="0" applyFill="1" applyBorder="1"/>
    <xf numFmtId="0" fontId="0" fillId="9" borderId="14" xfId="0" applyFill="1" applyBorder="1"/>
    <xf numFmtId="0" fontId="0" fillId="9" borderId="15" xfId="0" applyFill="1" applyBorder="1"/>
    <xf numFmtId="0" fontId="0" fillId="9" borderId="16" xfId="0" applyFill="1" applyBorder="1"/>
    <xf numFmtId="0" fontId="0" fillId="0" borderId="0" xfId="0" applyAlignment="1">
      <alignment wrapText="1"/>
    </xf>
    <xf numFmtId="166" fontId="0" fillId="0" borderId="0" xfId="0" applyNumberFormat="1"/>
    <xf numFmtId="14" fontId="0" fillId="5" borderId="3" xfId="0" applyNumberFormat="1" applyFill="1" applyBorder="1" applyAlignment="1">
      <alignment horizontal="left"/>
    </xf>
    <xf numFmtId="0" fontId="2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22" fillId="0" borderId="1" xfId="0" applyFont="1" applyBorder="1" applyAlignment="1">
      <alignment vertical="center" wrapText="1"/>
    </xf>
    <xf numFmtId="0" fontId="20" fillId="11" borderId="1" xfId="0" applyFont="1" applyFill="1" applyBorder="1"/>
    <xf numFmtId="166" fontId="0" fillId="7" borderId="1" xfId="0" applyNumberFormat="1" applyFill="1" applyBorder="1"/>
    <xf numFmtId="166" fontId="0" fillId="5" borderId="1" xfId="0" applyNumberFormat="1" applyFill="1" applyBorder="1"/>
    <xf numFmtId="0" fontId="24" fillId="0" borderId="20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 wrapText="1"/>
    </xf>
    <xf numFmtId="0" fontId="5" fillId="0" borderId="0" xfId="0" applyFont="1"/>
    <xf numFmtId="0" fontId="24" fillId="0" borderId="21" xfId="0" applyFont="1" applyBorder="1" applyAlignment="1">
      <alignment horizontal="center" vertical="center" wrapText="1"/>
    </xf>
    <xf numFmtId="0" fontId="24" fillId="0" borderId="22" xfId="0" applyFont="1" applyBorder="1" applyAlignment="1">
      <alignment horizontal="center" vertical="center" wrapText="1"/>
    </xf>
    <xf numFmtId="0" fontId="21" fillId="0" borderId="23" xfId="0" applyFont="1" applyBorder="1" applyAlignment="1">
      <alignment vertical="center" wrapText="1"/>
    </xf>
    <xf numFmtId="0" fontId="22" fillId="0" borderId="24" xfId="0" applyFont="1" applyBorder="1" applyAlignment="1">
      <alignment vertical="center" wrapText="1"/>
    </xf>
    <xf numFmtId="0" fontId="21" fillId="0" borderId="25" xfId="0" applyFont="1" applyBorder="1" applyAlignment="1">
      <alignment vertical="center" wrapText="1"/>
    </xf>
    <xf numFmtId="0" fontId="22" fillId="0" borderId="26" xfId="0" applyFont="1" applyBorder="1" applyAlignment="1">
      <alignment vertical="center" wrapText="1"/>
    </xf>
    <xf numFmtId="0" fontId="22" fillId="0" borderId="27" xfId="0" applyFont="1" applyBorder="1" applyAlignment="1">
      <alignment vertical="center" wrapText="1"/>
    </xf>
    <xf numFmtId="0" fontId="21" fillId="0" borderId="21" xfId="0" applyFont="1" applyBorder="1" applyAlignment="1">
      <alignment horizontal="center" vertical="center" wrapText="1"/>
    </xf>
    <xf numFmtId="0" fontId="21" fillId="0" borderId="22" xfId="0" applyFont="1" applyBorder="1" applyAlignment="1">
      <alignment horizontal="center" vertical="center" wrapText="1"/>
    </xf>
    <xf numFmtId="166" fontId="5" fillId="0" borderId="24" xfId="0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0" borderId="26" xfId="0" applyFont="1" applyBorder="1" applyAlignment="1">
      <alignment vertical="center" wrapText="1"/>
    </xf>
    <xf numFmtId="166" fontId="5" fillId="0" borderId="27" xfId="0" applyNumberFormat="1" applyFont="1" applyBorder="1" applyAlignment="1">
      <alignment vertical="center" wrapText="1"/>
    </xf>
    <xf numFmtId="0" fontId="14" fillId="6" borderId="21" xfId="0" applyFont="1" applyFill="1" applyBorder="1"/>
    <xf numFmtId="0" fontId="14" fillId="6" borderId="22" xfId="0" applyFont="1" applyFill="1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7" xfId="0" applyBorder="1"/>
    <xf numFmtId="0" fontId="14" fillId="6" borderId="19" xfId="0" applyFont="1" applyFill="1" applyBorder="1"/>
    <xf numFmtId="0" fontId="14" fillId="6" borderId="28" xfId="0" applyFont="1" applyFill="1" applyBorder="1"/>
    <xf numFmtId="0" fontId="0" fillId="0" borderId="29" xfId="0" applyBorder="1"/>
    <xf numFmtId="0" fontId="0" fillId="0" borderId="30" xfId="0" applyBorder="1"/>
    <xf numFmtId="0" fontId="14" fillId="6" borderId="31" xfId="0" applyFont="1" applyFill="1" applyBorder="1"/>
    <xf numFmtId="0" fontId="0" fillId="8" borderId="23" xfId="0" applyFill="1" applyBorder="1"/>
    <xf numFmtId="0" fontId="0" fillId="8" borderId="24" xfId="0" applyFill="1" applyBorder="1"/>
    <xf numFmtId="0" fontId="0" fillId="7" borderId="23" xfId="0" applyFill="1" applyBorder="1" applyAlignment="1">
      <alignment wrapText="1"/>
    </xf>
    <xf numFmtId="0" fontId="0" fillId="7" borderId="24" xfId="0" applyFill="1" applyBorder="1"/>
    <xf numFmtId="0" fontId="0" fillId="8" borderId="23" xfId="0" applyFill="1" applyBorder="1" applyAlignment="1">
      <alignment wrapText="1"/>
    </xf>
    <xf numFmtId="0" fontId="0" fillId="0" borderId="25" xfId="0" applyBorder="1" applyAlignment="1">
      <alignment wrapText="1"/>
    </xf>
    <xf numFmtId="0" fontId="19" fillId="9" borderId="34" xfId="0" applyFont="1" applyFill="1" applyBorder="1" applyAlignment="1">
      <alignment horizontal="center"/>
    </xf>
    <xf numFmtId="0" fontId="19" fillId="9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21" fillId="0" borderId="37" xfId="0" applyFont="1" applyBorder="1" applyAlignment="1">
      <alignment vertical="center" wrapText="1"/>
    </xf>
    <xf numFmtId="0" fontId="5" fillId="0" borderId="36" xfId="0" applyFont="1" applyBorder="1" applyAlignment="1">
      <alignment vertical="center" wrapText="1"/>
    </xf>
    <xf numFmtId="166" fontId="5" fillId="0" borderId="35" xfId="0" applyNumberFormat="1" applyFont="1" applyBorder="1" applyAlignment="1">
      <alignment vertical="center" wrapText="1"/>
    </xf>
    <xf numFmtId="0" fontId="29" fillId="9" borderId="34" xfId="0" applyFont="1" applyFill="1" applyBorder="1" applyAlignment="1">
      <alignment horizontal="left"/>
    </xf>
    <xf numFmtId="0" fontId="29" fillId="0" borderId="34" xfId="0" applyFont="1" applyBorder="1" applyAlignment="1">
      <alignment horizontal="left"/>
    </xf>
    <xf numFmtId="15" fontId="29" fillId="0" borderId="34" xfId="0" applyNumberFormat="1" applyFont="1" applyBorder="1" applyAlignment="1">
      <alignment horizontal="left" vertical="center" wrapText="1"/>
    </xf>
    <xf numFmtId="14" fontId="29" fillId="0" borderId="34" xfId="0" applyNumberFormat="1" applyFont="1" applyBorder="1" applyAlignment="1">
      <alignment horizontal="left"/>
    </xf>
    <xf numFmtId="0" fontId="29" fillId="0" borderId="18" xfId="0" applyFont="1" applyBorder="1"/>
    <xf numFmtId="0" fontId="29" fillId="9" borderId="34" xfId="0" applyFont="1" applyFill="1" applyBorder="1" applyAlignment="1">
      <alignment horizontal="center"/>
    </xf>
    <xf numFmtId="164" fontId="29" fillId="9" borderId="34" xfId="0" applyNumberFormat="1" applyFont="1" applyFill="1" applyBorder="1"/>
    <xf numFmtId="164" fontId="29" fillId="0" borderId="34" xfId="0" applyNumberFormat="1" applyFont="1" applyBorder="1"/>
    <xf numFmtId="0" fontId="0" fillId="5" borderId="38" xfId="0" applyFill="1" applyBorder="1" applyAlignment="1">
      <alignment horizontal="center" vertical="center"/>
    </xf>
    <xf numFmtId="0" fontId="30" fillId="6" borderId="1" xfId="0" applyFont="1" applyFill="1" applyBorder="1" applyAlignment="1">
      <alignment horizontal="center"/>
    </xf>
    <xf numFmtId="0" fontId="25" fillId="6" borderId="1" xfId="0" applyFont="1" applyFill="1" applyBorder="1" applyAlignment="1">
      <alignment horizontal="center"/>
    </xf>
    <xf numFmtId="0" fontId="25" fillId="7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5" fillId="5" borderId="1" xfId="0" applyFont="1" applyFill="1" applyBorder="1" applyAlignment="1">
      <alignment horizontal="center"/>
    </xf>
    <xf numFmtId="0" fontId="29" fillId="0" borderId="0" xfId="0" applyFont="1"/>
    <xf numFmtId="167" fontId="0" fillId="0" borderId="0" xfId="0" applyNumberFormat="1" applyAlignment="1">
      <alignment horizontal="center"/>
    </xf>
    <xf numFmtId="14" fontId="0" fillId="5" borderId="0" xfId="0" applyNumberFormat="1" applyFill="1" applyAlignment="1">
      <alignment horizontal="left"/>
    </xf>
    <xf numFmtId="0" fontId="0" fillId="0" borderId="42" xfId="0" applyBorder="1" applyAlignment="1">
      <alignment horizontal="center"/>
    </xf>
    <xf numFmtId="0" fontId="21" fillId="0" borderId="43" xfId="0" applyFont="1" applyBorder="1"/>
    <xf numFmtId="0" fontId="0" fillId="0" borderId="44" xfId="0" applyBorder="1"/>
    <xf numFmtId="0" fontId="0" fillId="0" borderId="45" xfId="0" applyBorder="1"/>
    <xf numFmtId="0" fontId="14" fillId="0" borderId="46" xfId="0" applyFont="1" applyBorder="1"/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/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/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6" borderId="42" xfId="0" applyFill="1" applyBorder="1" applyAlignment="1">
      <alignment horizontal="center"/>
    </xf>
    <xf numFmtId="0" fontId="0" fillId="6" borderId="49" xfId="0" applyFill="1" applyBorder="1" applyAlignment="1">
      <alignment horizontal="center"/>
    </xf>
    <xf numFmtId="0" fontId="0" fillId="15" borderId="42" xfId="0" applyFill="1" applyBorder="1" applyAlignment="1">
      <alignment horizontal="center" vertical="center" wrapText="1"/>
    </xf>
    <xf numFmtId="0" fontId="0" fillId="15" borderId="42" xfId="0" applyFill="1" applyBorder="1" applyAlignment="1">
      <alignment horizontal="center"/>
    </xf>
    <xf numFmtId="0" fontId="23" fillId="15" borderId="49" xfId="0" applyFont="1" applyFill="1" applyBorder="1" applyAlignment="1">
      <alignment horizontal="center" vertical="center"/>
    </xf>
    <xf numFmtId="0" fontId="0" fillId="15" borderId="44" xfId="0" applyFill="1" applyBorder="1" applyAlignment="1">
      <alignment horizontal="center"/>
    </xf>
    <xf numFmtId="0" fontId="0" fillId="6" borderId="44" xfId="0" applyFill="1" applyBorder="1" applyAlignment="1">
      <alignment horizontal="center"/>
    </xf>
    <xf numFmtId="0" fontId="0" fillId="16" borderId="44" xfId="0" applyFill="1" applyBorder="1" applyAlignment="1">
      <alignment horizontal="center"/>
    </xf>
    <xf numFmtId="0" fontId="0" fillId="16" borderId="42" xfId="0" applyFill="1" applyBorder="1" applyAlignment="1">
      <alignment horizontal="center"/>
    </xf>
    <xf numFmtId="0" fontId="0" fillId="16" borderId="49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14" fillId="13" borderId="47" xfId="0" applyFont="1" applyFill="1" applyBorder="1" applyAlignment="1">
      <alignment horizontal="center"/>
    </xf>
    <xf numFmtId="0" fontId="14" fillId="13" borderId="52" xfId="0" applyFont="1" applyFill="1" applyBorder="1" applyAlignment="1">
      <alignment horizontal="center"/>
    </xf>
    <xf numFmtId="0" fontId="14" fillId="13" borderId="42" xfId="0" applyFont="1" applyFill="1" applyBorder="1" applyAlignment="1">
      <alignment horizontal="center"/>
    </xf>
    <xf numFmtId="0" fontId="14" fillId="13" borderId="42" xfId="0" applyFont="1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5" fillId="0" borderId="8" xfId="0" applyNumberFormat="1" applyFont="1" applyBorder="1" applyAlignment="1">
      <alignment horizontal="left"/>
    </xf>
    <xf numFmtId="0" fontId="5" fillId="0" borderId="8" xfId="0" applyFont="1" applyBorder="1"/>
    <xf numFmtId="0" fontId="0" fillId="0" borderId="8" xfId="0" applyBorder="1"/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wrapText="1"/>
    </xf>
    <xf numFmtId="15" fontId="0" fillId="0" borderId="8" xfId="0" applyNumberFormat="1" applyBorder="1" applyAlignment="1">
      <alignment horizontal="left"/>
    </xf>
    <xf numFmtId="0" fontId="0" fillId="0" borderId="7" xfId="0" applyBorder="1" applyAlignment="1">
      <alignment horizontal="center" vertical="center"/>
    </xf>
    <xf numFmtId="14" fontId="5" fillId="0" borderId="3" xfId="0" applyNumberFormat="1" applyFont="1" applyBorder="1" applyAlignment="1">
      <alignment horizontal="left"/>
    </xf>
    <xf numFmtId="0" fontId="5" fillId="0" borderId="3" xfId="0" applyFont="1" applyBorder="1" applyAlignment="1">
      <alignment wrapText="1"/>
    </xf>
    <xf numFmtId="0" fontId="5" fillId="0" borderId="3" xfId="0" applyFont="1" applyBorder="1"/>
    <xf numFmtId="0" fontId="0" fillId="0" borderId="3" xfId="0" applyBorder="1"/>
    <xf numFmtId="0" fontId="5" fillId="0" borderId="3" xfId="0" applyFont="1" applyBorder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left"/>
    </xf>
    <xf numFmtId="15" fontId="0" fillId="0" borderId="3" xfId="0" applyNumberFormat="1" applyBorder="1" applyAlignment="1">
      <alignment horizontal="left"/>
    </xf>
    <xf numFmtId="166" fontId="0" fillId="0" borderId="3" xfId="0" applyNumberFormat="1" applyBorder="1"/>
    <xf numFmtId="0" fontId="0" fillId="0" borderId="3" xfId="0" quotePrefix="1" applyBorder="1" applyAlignment="1">
      <alignment horizontal="left" wrapText="1"/>
    </xf>
    <xf numFmtId="0" fontId="6" fillId="0" borderId="3" xfId="4" applyFont="1" applyFill="1" applyBorder="1" applyAlignment="1">
      <alignment vertical="center"/>
    </xf>
    <xf numFmtId="0" fontId="6" fillId="0" borderId="3" xfId="4" applyFont="1" applyFill="1" applyBorder="1" applyAlignment="1">
      <alignment horizontal="left"/>
    </xf>
    <xf numFmtId="165" fontId="0" fillId="0" borderId="3" xfId="3" applyFont="1" applyFill="1" applyBorder="1"/>
    <xf numFmtId="0" fontId="8" fillId="0" borderId="3" xfId="5" applyFill="1" applyBorder="1"/>
    <xf numFmtId="2" fontId="0" fillId="0" borderId="3" xfId="0" applyNumberFormat="1" applyBorder="1" applyAlignment="1">
      <alignment horizontal="center"/>
    </xf>
    <xf numFmtId="14" fontId="0" fillId="0" borderId="3" xfId="0" applyNumberFormat="1" applyBorder="1" applyAlignment="1">
      <alignment horizontal="left"/>
    </xf>
    <xf numFmtId="0" fontId="9" fillId="0" borderId="3" xfId="0" applyFont="1" applyBorder="1"/>
    <xf numFmtId="0" fontId="11" fillId="0" borderId="3" xfId="0" applyFont="1" applyBorder="1"/>
    <xf numFmtId="0" fontId="10" fillId="0" borderId="3" xfId="0" applyFont="1" applyBorder="1"/>
    <xf numFmtId="0" fontId="10" fillId="0" borderId="3" xfId="0" applyFont="1" applyBorder="1" applyAlignment="1">
      <alignment horizontal="center"/>
    </xf>
    <xf numFmtId="15" fontId="0" fillId="0" borderId="3" xfId="0" applyNumberFormat="1" applyBorder="1"/>
    <xf numFmtId="0" fontId="32" fillId="0" borderId="3" xfId="0" applyFont="1" applyBorder="1" applyAlignment="1">
      <alignment horizontal="center"/>
    </xf>
    <xf numFmtId="0" fontId="8" fillId="0" borderId="3" xfId="5" applyFill="1" applyBorder="1" applyAlignment="1">
      <alignment wrapText="1"/>
    </xf>
    <xf numFmtId="0" fontId="32" fillId="0" borderId="3" xfId="0" applyFont="1" applyBorder="1"/>
    <xf numFmtId="0" fontId="0" fillId="0" borderId="3" xfId="0" applyBorder="1" applyAlignment="1">
      <alignment horizontal="left" wrapText="1"/>
    </xf>
    <xf numFmtId="0" fontId="31" fillId="0" borderId="3" xfId="0" applyFont="1" applyBorder="1" applyAlignment="1">
      <alignment horizontal="center"/>
    </xf>
    <xf numFmtId="0" fontId="16" fillId="0" borderId="3" xfId="0" applyFont="1" applyBorder="1"/>
    <xf numFmtId="0" fontId="15" fillId="0" borderId="3" xfId="0" applyFont="1" applyBorder="1"/>
    <xf numFmtId="0" fontId="12" fillId="0" borderId="3" xfId="0" applyFont="1" applyBorder="1" applyAlignment="1">
      <alignment horizontal="left" wrapText="1"/>
    </xf>
    <xf numFmtId="0" fontId="13" fillId="0" borderId="3" xfId="0" applyFont="1" applyBorder="1"/>
    <xf numFmtId="0" fontId="17" fillId="0" borderId="3" xfId="0" applyFont="1" applyBorder="1"/>
    <xf numFmtId="0" fontId="0" fillId="0" borderId="7" xfId="0" applyBorder="1" applyAlignment="1">
      <alignment horizontal="center"/>
    </xf>
    <xf numFmtId="166" fontId="0" fillId="0" borderId="41" xfId="0" applyNumberFormat="1" applyBorder="1"/>
    <xf numFmtId="166" fontId="0" fillId="0" borderId="0" xfId="0" applyNumberFormat="1" applyAlignment="1">
      <alignment horizontal="right"/>
    </xf>
    <xf numFmtId="0" fontId="0" fillId="0" borderId="3" xfId="0" applyBorder="1" applyAlignment="1">
      <alignment horizontal="center" wrapText="1"/>
    </xf>
    <xf numFmtId="0" fontId="0" fillId="0" borderId="38" xfId="0" applyBorder="1" applyAlignment="1">
      <alignment horizontal="center" vertical="center"/>
    </xf>
    <xf numFmtId="0" fontId="0" fillId="0" borderId="7" xfId="0" applyBorder="1"/>
    <xf numFmtId="0" fontId="0" fillId="0" borderId="7" xfId="0" applyBorder="1" applyAlignment="1">
      <alignment horizontal="left"/>
    </xf>
    <xf numFmtId="15" fontId="0" fillId="0" borderId="39" xfId="0" applyNumberFormat="1" applyBorder="1" applyAlignment="1">
      <alignment horizontal="left"/>
    </xf>
    <xf numFmtId="0" fontId="0" fillId="0" borderId="0" xfId="0" applyAlignment="1">
      <alignment horizontal="left" wrapText="1"/>
    </xf>
    <xf numFmtId="0" fontId="0" fillId="0" borderId="41" xfId="0" applyBorder="1"/>
    <xf numFmtId="167" fontId="0" fillId="0" borderId="0" xfId="0" applyNumberFormat="1" applyAlignment="1">
      <alignment horizontal="right"/>
    </xf>
    <xf numFmtId="0" fontId="8" fillId="0" borderId="3" xfId="5" quotePrefix="1" applyFill="1" applyBorder="1" applyAlignment="1">
      <alignment horizontal="left"/>
    </xf>
    <xf numFmtId="0" fontId="5" fillId="0" borderId="7" xfId="0" applyFont="1" applyBorder="1" applyAlignment="1">
      <alignment horizontal="center"/>
    </xf>
    <xf numFmtId="166" fontId="0" fillId="0" borderId="3" xfId="0" applyNumberFormat="1" applyBorder="1" applyAlignment="1">
      <alignment wrapText="1"/>
    </xf>
    <xf numFmtId="0" fontId="0" fillId="0" borderId="0" xfId="0" applyAlignment="1">
      <alignment horizontal="center" wrapText="1"/>
    </xf>
    <xf numFmtId="0" fontId="0" fillId="0" borderId="3" xfId="0" quotePrefix="1" applyBorder="1" applyAlignment="1">
      <alignment horizontal="left"/>
    </xf>
    <xf numFmtId="166" fontId="0" fillId="0" borderId="3" xfId="0" applyNumberFormat="1" applyBorder="1" applyAlignment="1">
      <alignment horizontal="center"/>
    </xf>
    <xf numFmtId="14" fontId="0" fillId="0" borderId="7" xfId="0" applyNumberFormat="1" applyBorder="1"/>
    <xf numFmtId="166" fontId="0" fillId="0" borderId="7" xfId="0" applyNumberFormat="1" applyBorder="1" applyAlignment="1">
      <alignment horizontal="center"/>
    </xf>
    <xf numFmtId="0" fontId="8" fillId="0" borderId="3" xfId="5" quotePrefix="1" applyFill="1" applyBorder="1"/>
    <xf numFmtId="0" fontId="8" fillId="0" borderId="3" xfId="5" quotePrefix="1" applyFill="1" applyBorder="1" applyAlignment="1">
      <alignment wrapText="1"/>
    </xf>
    <xf numFmtId="167" fontId="0" fillId="0" borderId="3" xfId="0" applyNumberFormat="1" applyBorder="1" applyAlignment="1">
      <alignment horizontal="center"/>
    </xf>
    <xf numFmtId="0" fontId="0" fillId="0" borderId="3" xfId="5" quotePrefix="1" applyFont="1" applyFill="1" applyBorder="1" applyAlignment="1"/>
    <xf numFmtId="0" fontId="8" fillId="0" borderId="3" xfId="5" quotePrefix="1" applyFill="1" applyBorder="1" applyAlignment="1"/>
    <xf numFmtId="0" fontId="8" fillId="0" borderId="3" xfId="5" applyFill="1" applyBorder="1" applyAlignment="1">
      <alignment horizontal="left"/>
    </xf>
    <xf numFmtId="0" fontId="0" fillId="0" borderId="41" xfId="0" applyBorder="1" applyAlignment="1">
      <alignment horizontal="center"/>
    </xf>
    <xf numFmtId="0" fontId="0" fillId="0" borderId="3" xfId="0" quotePrefix="1" applyBorder="1" applyAlignment="1">
      <alignment wrapText="1"/>
    </xf>
    <xf numFmtId="16" fontId="0" fillId="0" borderId="3" xfId="0" applyNumberFormat="1" applyBorder="1"/>
    <xf numFmtId="0" fontId="0" fillId="0" borderId="3" xfId="0" quotePrefix="1" applyBorder="1"/>
    <xf numFmtId="0" fontId="8" fillId="0" borderId="0" xfId="5" quotePrefix="1" applyFill="1" applyAlignment="1"/>
    <xf numFmtId="0" fontId="0" fillId="0" borderId="0" xfId="0" quotePrefix="1" applyAlignment="1">
      <alignment wrapText="1"/>
    </xf>
    <xf numFmtId="44" fontId="0" fillId="0" borderId="3" xfId="0" applyNumberFormat="1" applyBorder="1" applyAlignment="1">
      <alignment horizontal="center"/>
    </xf>
    <xf numFmtId="0" fontId="0" fillId="0" borderId="0" xfId="0" quotePrefix="1"/>
    <xf numFmtId="14" fontId="0" fillId="0" borderId="3" xfId="0" applyNumberFormat="1" applyBorder="1" applyAlignment="1">
      <alignment horizontal="left" wrapText="1"/>
    </xf>
    <xf numFmtId="14" fontId="0" fillId="0" borderId="3" xfId="0" applyNumberFormat="1" applyBorder="1"/>
    <xf numFmtId="166" fontId="0" fillId="0" borderId="3" xfId="0" applyNumberFormat="1" applyBorder="1" applyAlignment="1">
      <alignment horizontal="left"/>
    </xf>
    <xf numFmtId="0" fontId="0" fillId="0" borderId="41" xfId="0" applyBorder="1" applyAlignment="1">
      <alignment horizontal="left"/>
    </xf>
    <xf numFmtId="0" fontId="8" fillId="0" borderId="3" xfId="5" applyFill="1" applyBorder="1" applyAlignment="1"/>
    <xf numFmtId="0" fontId="0" fillId="0" borderId="38" xfId="0" applyBorder="1" applyAlignment="1">
      <alignment horizontal="left" vertical="center"/>
    </xf>
    <xf numFmtId="0" fontId="37" fillId="0" borderId="0" xfId="0" quotePrefix="1" applyFont="1"/>
    <xf numFmtId="14" fontId="0" fillId="0" borderId="7" xfId="0" applyNumberFormat="1" applyBorder="1" applyAlignment="1">
      <alignment horizontal="center"/>
    </xf>
    <xf numFmtId="0" fontId="38" fillId="10" borderId="0" xfId="0" applyFont="1" applyFill="1"/>
    <xf numFmtId="0" fontId="39" fillId="10" borderId="4" xfId="0" applyFont="1" applyFill="1" applyBorder="1" applyAlignment="1">
      <alignment wrapText="1"/>
    </xf>
    <xf numFmtId="0" fontId="39" fillId="10" borderId="4" xfId="0" applyFont="1" applyFill="1" applyBorder="1" applyAlignment="1">
      <alignment horizontal="left"/>
    </xf>
    <xf numFmtId="0" fontId="39" fillId="10" borderId="4" xfId="0" applyFont="1" applyFill="1" applyBorder="1"/>
    <xf numFmtId="2" fontId="39" fillId="10" borderId="4" xfId="0" applyNumberFormat="1" applyFont="1" applyFill="1" applyBorder="1"/>
    <xf numFmtId="167" fontId="39" fillId="10" borderId="4" xfId="0" applyNumberFormat="1" applyFont="1" applyFill="1" applyBorder="1" applyAlignment="1">
      <alignment horizontal="center"/>
    </xf>
    <xf numFmtId="0" fontId="39" fillId="10" borderId="6" xfId="0" applyFont="1" applyFill="1" applyBorder="1"/>
    <xf numFmtId="0" fontId="39" fillId="10" borderId="1" xfId="0" applyFont="1" applyFill="1" applyBorder="1"/>
    <xf numFmtId="0" fontId="8" fillId="0" borderId="7" xfId="5" applyFill="1" applyBorder="1" applyAlignment="1"/>
    <xf numFmtId="0" fontId="8" fillId="0" borderId="0" xfId="5" applyFill="1"/>
    <xf numFmtId="16" fontId="14" fillId="13" borderId="42" xfId="0" applyNumberFormat="1" applyFont="1" applyFill="1" applyBorder="1" applyAlignment="1">
      <alignment horizontal="center"/>
    </xf>
    <xf numFmtId="0" fontId="8" fillId="0" borderId="3" xfId="5" applyFill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7" xfId="0" applyBorder="1" applyAlignment="1">
      <alignment wrapText="1"/>
    </xf>
    <xf numFmtId="0" fontId="40" fillId="0" borderId="0" xfId="0" applyFont="1"/>
    <xf numFmtId="15" fontId="0" fillId="0" borderId="0" xfId="0" applyNumberFormat="1" applyAlignment="1">
      <alignment horizontal="left"/>
    </xf>
    <xf numFmtId="0" fontId="37" fillId="0" borderId="0" xfId="0" applyFont="1"/>
    <xf numFmtId="167" fontId="0" fillId="0" borderId="0" xfId="0" applyNumberFormat="1" applyAlignment="1">
      <alignment horizontal="center" wrapText="1"/>
    </xf>
    <xf numFmtId="14" fontId="0" fillId="0" borderId="7" xfId="0" applyNumberFormat="1" applyBorder="1" applyAlignment="1">
      <alignment wrapText="1"/>
    </xf>
    <xf numFmtId="0" fontId="42" fillId="0" borderId="0" xfId="0" quotePrefix="1" applyFont="1"/>
    <xf numFmtId="166" fontId="0" fillId="0" borderId="8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41" xfId="0" applyNumberFormat="1" applyBorder="1" applyAlignment="1">
      <alignment horizontal="center"/>
    </xf>
    <xf numFmtId="166" fontId="0" fillId="0" borderId="3" xfId="0" applyNumberFormat="1" applyBorder="1" applyAlignment="1">
      <alignment horizontal="center" wrapText="1"/>
    </xf>
    <xf numFmtId="15" fontId="0" fillId="0" borderId="39" xfId="0" applyNumberFormat="1" applyBorder="1" applyAlignment="1">
      <alignment horizontal="center"/>
    </xf>
    <xf numFmtId="14" fontId="0" fillId="0" borderId="0" xfId="0" applyNumberFormat="1"/>
    <xf numFmtId="0" fontId="0" fillId="0" borderId="41" xfId="0" applyBorder="1" applyAlignment="1">
      <alignment wrapText="1"/>
    </xf>
    <xf numFmtId="0" fontId="43" fillId="0" borderId="3" xfId="0" applyFont="1" applyBorder="1" applyAlignment="1">
      <alignment wrapText="1"/>
    </xf>
    <xf numFmtId="0" fontId="44" fillId="0" borderId="3" xfId="0" quotePrefix="1" applyFont="1" applyBorder="1" applyAlignment="1">
      <alignment wrapText="1"/>
    </xf>
    <xf numFmtId="0" fontId="0" fillId="9" borderId="42" xfId="0" applyFill="1" applyBorder="1" applyAlignment="1">
      <alignment horizontal="center"/>
    </xf>
    <xf numFmtId="0" fontId="14" fillId="9" borderId="42" xfId="0" applyFont="1" applyFill="1" applyBorder="1" applyAlignment="1">
      <alignment horizontal="center"/>
    </xf>
    <xf numFmtId="0" fontId="0" fillId="15" borderId="55" xfId="0" applyFill="1" applyBorder="1" applyAlignment="1">
      <alignment horizontal="center"/>
    </xf>
    <xf numFmtId="0" fontId="14" fillId="13" borderId="56" xfId="0" applyFont="1" applyFill="1" applyBorder="1" applyAlignment="1">
      <alignment horizontal="center" vertical="center" wrapText="1"/>
    </xf>
    <xf numFmtId="0" fontId="0" fillId="15" borderId="56" xfId="0" applyFill="1" applyBorder="1" applyAlignment="1">
      <alignment horizontal="center" vertical="center" wrapText="1"/>
    </xf>
    <xf numFmtId="0" fontId="0" fillId="15" borderId="56" xfId="0" applyFill="1" applyBorder="1" applyAlignment="1">
      <alignment horizontal="center"/>
    </xf>
    <xf numFmtId="0" fontId="23" fillId="15" borderId="57" xfId="0" applyFont="1" applyFill="1" applyBorder="1" applyAlignment="1">
      <alignment horizontal="center" vertical="center"/>
    </xf>
    <xf numFmtId="0" fontId="42" fillId="0" borderId="0" xfId="0" quotePrefix="1" applyFont="1" applyAlignment="1">
      <alignment wrapText="1"/>
    </xf>
    <xf numFmtId="0" fontId="42" fillId="0" borderId="0" xfId="0" applyFont="1"/>
    <xf numFmtId="0" fontId="8" fillId="0" borderId="3" xfId="5" applyBorder="1" applyAlignment="1">
      <alignment horizontal="center"/>
    </xf>
    <xf numFmtId="0" fontId="8" fillId="0" borderId="3" xfId="5" quotePrefix="1" applyFill="1" applyBorder="1" applyAlignment="1">
      <alignment horizontal="left" wrapText="1"/>
    </xf>
    <xf numFmtId="0" fontId="37" fillId="0" borderId="0" xfId="0" applyFont="1" applyAlignment="1">
      <alignment horizontal="left"/>
    </xf>
    <xf numFmtId="0" fontId="46" fillId="0" borderId="0" xfId="0" applyFont="1" applyAlignment="1">
      <alignment horizontal="left"/>
    </xf>
    <xf numFmtId="0" fontId="41" fillId="0" borderId="0" xfId="0" applyFont="1" applyAlignment="1">
      <alignment horizontal="left"/>
    </xf>
    <xf numFmtId="0" fontId="45" fillId="0" borderId="0" xfId="0" applyFont="1" applyAlignment="1">
      <alignment horizontal="left"/>
    </xf>
    <xf numFmtId="0" fontId="12" fillId="0" borderId="0" xfId="0" applyFont="1"/>
    <xf numFmtId="0" fontId="36" fillId="0" borderId="0" xfId="0" applyFont="1" applyAlignment="1">
      <alignment horizontal="center"/>
    </xf>
    <xf numFmtId="0" fontId="0" fillId="0" borderId="54" xfId="0" applyBorder="1" applyAlignment="1">
      <alignment horizontal="center"/>
    </xf>
    <xf numFmtId="0" fontId="48" fillId="0" borderId="0" xfId="0" applyFont="1"/>
    <xf numFmtId="0" fontId="49" fillId="0" borderId="0" xfId="0" applyFont="1" applyAlignment="1">
      <alignment wrapText="1"/>
    </xf>
    <xf numFmtId="0" fontId="50" fillId="0" borderId="0" xfId="0" applyFont="1"/>
    <xf numFmtId="0" fontId="50" fillId="0" borderId="0" xfId="0" applyFont="1" applyAlignment="1">
      <alignment wrapText="1"/>
    </xf>
    <xf numFmtId="0" fontId="51" fillId="0" borderId="0" xfId="0" applyFont="1"/>
    <xf numFmtId="0" fontId="52" fillId="0" borderId="0" xfId="0" applyFont="1"/>
    <xf numFmtId="0" fontId="53" fillId="0" borderId="0" xfId="0" applyFont="1"/>
    <xf numFmtId="0" fontId="54" fillId="0" borderId="0" xfId="0" applyFont="1"/>
    <xf numFmtId="0" fontId="51" fillId="0" borderId="3" xfId="0" applyFont="1" applyBorder="1" applyAlignment="1">
      <alignment horizontal="center"/>
    </xf>
    <xf numFmtId="0" fontId="8" fillId="0" borderId="3" xfId="5" applyBorder="1" applyAlignment="1"/>
    <xf numFmtId="14" fontId="0" fillId="0" borderId="3" xfId="0" applyNumberFormat="1" applyBorder="1" applyAlignment="1">
      <alignment wrapText="1"/>
    </xf>
    <xf numFmtId="0" fontId="46" fillId="0" borderId="3" xfId="0" quotePrefix="1" applyFont="1" applyBorder="1"/>
    <xf numFmtId="0" fontId="55" fillId="0" borderId="0" xfId="0" applyFont="1"/>
    <xf numFmtId="0" fontId="55" fillId="0" borderId="3" xfId="0" applyFont="1" applyBorder="1" applyAlignment="1">
      <alignment horizontal="center"/>
    </xf>
    <xf numFmtId="0" fontId="8" fillId="0" borderId="0" xfId="5" applyAlignment="1">
      <alignment horizontal="left"/>
    </xf>
    <xf numFmtId="0" fontId="56" fillId="0" borderId="0" xfId="0" applyFont="1"/>
    <xf numFmtId="0" fontId="43" fillId="0" borderId="0" xfId="0" applyFont="1"/>
    <xf numFmtId="0" fontId="43" fillId="17" borderId="0" xfId="0" applyFont="1" applyFill="1" applyAlignment="1">
      <alignment wrapText="1"/>
    </xf>
    <xf numFmtId="0" fontId="46" fillId="0" borderId="3" xfId="0" applyFont="1" applyBorder="1" applyAlignment="1">
      <alignment wrapText="1"/>
    </xf>
    <xf numFmtId="0" fontId="37" fillId="0" borderId="0" xfId="0" quotePrefix="1" applyFont="1" applyAlignment="1">
      <alignment wrapText="1"/>
    </xf>
    <xf numFmtId="0" fontId="8" fillId="0" borderId="3" xfId="5" quotePrefix="1" applyBorder="1" applyAlignment="1">
      <alignment wrapText="1"/>
    </xf>
    <xf numFmtId="0" fontId="57" fillId="0" borderId="3" xfId="0" applyFont="1" applyBorder="1" applyAlignment="1">
      <alignment horizontal="center"/>
    </xf>
    <xf numFmtId="0" fontId="58" fillId="0" borderId="0" xfId="0" applyFont="1"/>
    <xf numFmtId="0" fontId="58" fillId="0" borderId="0" xfId="0" applyFont="1" applyAlignment="1">
      <alignment wrapText="1"/>
    </xf>
    <xf numFmtId="0" fontId="0" fillId="6" borderId="7" xfId="0" applyFill="1" applyBorder="1" applyAlignment="1">
      <alignment horizontal="left"/>
    </xf>
    <xf numFmtId="0" fontId="8" fillId="6" borderId="3" xfId="5" quotePrefix="1" applyFill="1" applyBorder="1" applyAlignment="1">
      <alignment horizontal="left"/>
    </xf>
    <xf numFmtId="0" fontId="0" fillId="6" borderId="3" xfId="0" applyFill="1" applyBorder="1"/>
    <xf numFmtId="0" fontId="39" fillId="10" borderId="4" xfId="0" applyFont="1" applyFill="1" applyBorder="1" applyAlignment="1">
      <alignment horizontal="center" wrapText="1"/>
    </xf>
    <xf numFmtId="0" fontId="0" fillId="0" borderId="38" xfId="0" applyBorder="1" applyAlignment="1">
      <alignment horizontal="center" vertical="center" wrapText="1"/>
    </xf>
    <xf numFmtId="15" fontId="0" fillId="0" borderId="39" xfId="0" applyNumberFormat="1" applyBorder="1" applyAlignment="1">
      <alignment horizontal="left" wrapText="1"/>
    </xf>
    <xf numFmtId="0" fontId="59" fillId="15" borderId="49" xfId="0" applyFont="1" applyFill="1" applyBorder="1" applyAlignment="1">
      <alignment horizontal="center" vertical="center"/>
    </xf>
    <xf numFmtId="0" fontId="19" fillId="9" borderId="18" xfId="0" applyFont="1" applyFill="1" applyBorder="1" applyAlignment="1">
      <alignment horizontal="center"/>
    </xf>
    <xf numFmtId="0" fontId="36" fillId="0" borderId="54" xfId="0" applyFont="1" applyBorder="1" applyAlignment="1">
      <alignment horizontal="center"/>
    </xf>
    <xf numFmtId="0" fontId="18" fillId="10" borderId="17" xfId="0" applyFont="1" applyFill="1" applyBorder="1" applyAlignment="1">
      <alignment horizontal="center"/>
    </xf>
    <xf numFmtId="0" fontId="18" fillId="10" borderId="40" xfId="0" applyFont="1" applyFill="1" applyBorder="1" applyAlignment="1">
      <alignment horizontal="center"/>
    </xf>
    <xf numFmtId="0" fontId="18" fillId="10" borderId="10" xfId="0" applyFont="1" applyFill="1" applyBorder="1" applyAlignment="1">
      <alignment horizontal="center"/>
    </xf>
    <xf numFmtId="15" fontId="28" fillId="0" borderId="17" xfId="0" applyNumberFormat="1" applyFont="1" applyBorder="1" applyAlignment="1">
      <alignment horizontal="center" vertical="center" wrapText="1"/>
    </xf>
    <xf numFmtId="15" fontId="28" fillId="0" borderId="40" xfId="0" applyNumberFormat="1" applyFont="1" applyBorder="1" applyAlignment="1">
      <alignment horizontal="center" vertical="center" wrapText="1"/>
    </xf>
    <xf numFmtId="15" fontId="28" fillId="0" borderId="18" xfId="0" applyNumberFormat="1" applyFont="1" applyBorder="1" applyAlignment="1">
      <alignment horizontal="center" vertical="center" wrapText="1"/>
    </xf>
    <xf numFmtId="0" fontId="19" fillId="9" borderId="17" xfId="0" applyFont="1" applyFill="1" applyBorder="1" applyAlignment="1">
      <alignment horizontal="center"/>
    </xf>
    <xf numFmtId="0" fontId="19" fillId="9" borderId="18" xfId="0" applyFont="1" applyFill="1" applyBorder="1" applyAlignment="1">
      <alignment horizontal="center"/>
    </xf>
    <xf numFmtId="0" fontId="0" fillId="9" borderId="32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24" fillId="14" borderId="9" xfId="0" applyFont="1" applyFill="1" applyBorder="1" applyAlignment="1">
      <alignment horizontal="center" vertical="center"/>
    </xf>
    <xf numFmtId="0" fontId="24" fillId="14" borderId="10" xfId="0" applyFont="1" applyFill="1" applyBorder="1" applyAlignment="1">
      <alignment horizontal="center" vertical="center"/>
    </xf>
    <xf numFmtId="0" fontId="24" fillId="14" borderId="11" xfId="0" applyFont="1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/>
    </xf>
    <xf numFmtId="0" fontId="26" fillId="13" borderId="1" xfId="0" applyFont="1" applyFill="1" applyBorder="1" applyAlignment="1">
      <alignment horizontal="center"/>
    </xf>
    <xf numFmtId="0" fontId="27" fillId="0" borderId="17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36" fillId="0" borderId="54" xfId="0" applyFont="1" applyBorder="1" applyAlignment="1">
      <alignment horizontal="center"/>
    </xf>
    <xf numFmtId="0" fontId="47" fillId="0" borderId="54" xfId="0" applyFont="1" applyBorder="1" applyAlignment="1">
      <alignment horizontal="center"/>
    </xf>
  </cellXfs>
  <cellStyles count="6">
    <cellStyle name="Bad" xfId="2" builtinId="27"/>
    <cellStyle name="Comma 2" xfId="3" xr:uid="{00000000-0005-0000-0000-000002000000}"/>
    <cellStyle name="Good" xfId="1" builtinId="26"/>
    <cellStyle name="Hyperlink" xfId="5" builtinId="8"/>
    <cellStyle name="Neutral 2" xfId="4" xr:uid="{00000000-0005-0000-0000-000005000000}"/>
    <cellStyle name="Normal" xfId="0" builtinId="0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&quot;₹&quot;\ #,##0.00"/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/>
        <sz val="12"/>
        <color rgb="FFFF0000"/>
      </font>
      <fill>
        <patternFill patternType="solid">
          <fgColor theme="4" tint="0.59999389629810485"/>
          <bgColor theme="4" tint="0.59999389629810485"/>
        </patternFill>
      </fill>
      <alignment horizontal="center"/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z val="12"/>
        <color rgb="FFFF0000"/>
        <family val="2"/>
      </font>
      <fill>
        <patternFill patternType="solid">
          <fgColor theme="4" tint="0.59999389629810485"/>
          <bgColor theme="4" tint="0.59999389629810485"/>
        </patternFill>
      </fill>
      <alignment horizontal="center"/>
    </dxf>
    <dxf>
      <font>
        <strike val="0"/>
        <outline val="0"/>
        <shadow val="0"/>
        <u val="none"/>
        <vertAlign val="baseline"/>
        <sz val="12"/>
        <color rgb="FFFF0000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rgb="FFC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0"/>
        </top>
        <bottom/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dd/mmm/yy"/>
      <fill>
        <patternFill patternType="none">
          <fgColor theme="4" tint="0.59999389629810485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/>
        </top>
        <bottom/>
      </border>
    </dxf>
    <dxf>
      <fill>
        <patternFill patternType="none">
          <fgColor theme="4" tint="0.59999389629810485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theme="4" tint="0.59999389629810485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4" tint="0.59999389629810485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d/mm/yyyy"/>
      <fill>
        <patternFill patternType="none">
          <fgColor theme="4" tint="0.59999389629810485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theme="4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none"/>
      </font>
      <fill>
        <patternFill patternType="solid">
          <fgColor indexed="64"/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568459832535979"/>
          <c:y val="0.21474885444495684"/>
          <c:w val="0.60548832571242739"/>
          <c:h val="0.7852511455550431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B17-4483-B5AD-1450ADF7B59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B17-4483-B5AD-1450ADF7B59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B17-4483-B5AD-1450ADF7B59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B17-4483-B5AD-1450ADF7B59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B17-4483-B5AD-1450ADF7B59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B17-4483-B5AD-1450ADF7B59C}"/>
              </c:ext>
            </c:extLst>
          </c:dPt>
          <c:dLbls>
            <c:dLbl>
              <c:idx val="0"/>
              <c:layout>
                <c:manualLayout>
                  <c:x val="-6.3834898033472517E-2"/>
                  <c:y val="-2.260982142157741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B17-4483-B5AD-1450ADF7B59C}"/>
                </c:ext>
              </c:extLst>
            </c:dLbl>
            <c:dLbl>
              <c:idx val="1"/>
              <c:layout>
                <c:manualLayout>
                  <c:x val="1.3856433462563452E-2"/>
                  <c:y val="-3.987342831946000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1657890699992"/>
                      <c:h val="7.373595766928009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7B17-4483-B5AD-1450ADF7B59C}"/>
                </c:ext>
              </c:extLst>
            </c:dLbl>
            <c:dLbl>
              <c:idx val="2"/>
              <c:layout>
                <c:manualLayout>
                  <c:x val="-1.8013079830783971E-2"/>
                  <c:y val="-4.13502219609214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598313338560145"/>
                      <c:h val="3.90022363539616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7B17-4483-B5AD-1450ADF7B59C}"/>
                </c:ext>
              </c:extLst>
            </c:dLbl>
            <c:dLbl>
              <c:idx val="3"/>
              <c:layout>
                <c:manualLayout>
                  <c:x val="7.7594805424915564E-2"/>
                  <c:y val="-0.1772152369753778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029760342682027"/>
                      <c:h val="0.123947041033087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7B17-4483-B5AD-1450ADF7B59C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08518162655447"/>
                      <c:h val="0.123947041033087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B17-4483-B5AD-1450ADF7B59C}"/>
                </c:ext>
              </c:extLst>
            </c:dLbl>
            <c:dLbl>
              <c:idx val="5"/>
              <c:layout>
                <c:manualLayout>
                  <c:x val="0.16766033419024037"/>
                  <c:y val="0.1609704571422431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924058121040477"/>
                      <c:h val="0.1032718304985097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7B17-4483-B5AD-1450ADF7B59C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'DATA SHEET'!$G$3:$G$8</c:f>
              <c:strCache>
                <c:ptCount val="6"/>
                <c:pt idx="0">
                  <c:v>REFRENCE</c:v>
                </c:pt>
                <c:pt idx="1">
                  <c:v>EXISTING CUS.</c:v>
                </c:pt>
                <c:pt idx="2">
                  <c:v>MAIL</c:v>
                </c:pt>
                <c:pt idx="3">
                  <c:v>INDIAMART</c:v>
                </c:pt>
                <c:pt idx="4">
                  <c:v>OUT SOURCE</c:v>
                </c:pt>
                <c:pt idx="5">
                  <c:v>TRADEINDIA </c:v>
                </c:pt>
              </c:strCache>
            </c:strRef>
          </c:cat>
          <c:val>
            <c:numRef>
              <c:f>'DATA SHEET'!$H$3:$H$8</c:f>
              <c:numCache>
                <c:formatCode>General</c:formatCode>
                <c:ptCount val="6"/>
                <c:pt idx="0">
                  <c:v>15</c:v>
                </c:pt>
                <c:pt idx="1">
                  <c:v>45</c:v>
                </c:pt>
                <c:pt idx="2">
                  <c:v>149</c:v>
                </c:pt>
                <c:pt idx="3">
                  <c:v>461</c:v>
                </c:pt>
                <c:pt idx="4">
                  <c:v>0</c:v>
                </c:pt>
                <c:pt idx="5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B17-4483-B5AD-1450ADF7B59C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ENQUIRY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SHEET'!$G$11:$G$19</c:f>
              <c:strCache>
                <c:ptCount val="9"/>
                <c:pt idx="0">
                  <c:v>NEW</c:v>
                </c:pt>
                <c:pt idx="1">
                  <c:v>WIN</c:v>
                </c:pt>
                <c:pt idx="2">
                  <c:v>LOST</c:v>
                </c:pt>
                <c:pt idx="3">
                  <c:v>CONTACTED</c:v>
                </c:pt>
                <c:pt idx="4">
                  <c:v>NOT INTERESTED</c:v>
                </c:pt>
                <c:pt idx="5">
                  <c:v>SITE VISIT REQ.</c:v>
                </c:pt>
                <c:pt idx="6">
                  <c:v>QUOTATION REQ.</c:v>
                </c:pt>
                <c:pt idx="7">
                  <c:v>NOT RECEIVED</c:v>
                </c:pt>
                <c:pt idx="8">
                  <c:v>FAKE</c:v>
                </c:pt>
              </c:strCache>
            </c:strRef>
          </c:cat>
          <c:val>
            <c:numRef>
              <c:f>'DATA SHEET'!$H$11:$H$19</c:f>
              <c:numCache>
                <c:formatCode>General</c:formatCode>
                <c:ptCount val="9"/>
                <c:pt idx="0">
                  <c:v>9</c:v>
                </c:pt>
                <c:pt idx="1">
                  <c:v>36</c:v>
                </c:pt>
                <c:pt idx="2">
                  <c:v>53</c:v>
                </c:pt>
                <c:pt idx="3">
                  <c:v>82</c:v>
                </c:pt>
                <c:pt idx="4">
                  <c:v>75</c:v>
                </c:pt>
                <c:pt idx="5">
                  <c:v>9</c:v>
                </c:pt>
                <c:pt idx="6">
                  <c:v>208</c:v>
                </c:pt>
                <c:pt idx="7">
                  <c:v>103</c:v>
                </c:pt>
                <c:pt idx="8">
                  <c:v>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B-440D-9B16-F0888E500D3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</c:dLbls>
        <c:gapWidth val="219"/>
        <c:overlap val="-27"/>
        <c:axId val="548161808"/>
        <c:axId val="548158928"/>
      </c:barChart>
      <c:catAx>
        <c:axId val="54816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158928"/>
        <c:crosses val="autoZero"/>
        <c:auto val="1"/>
        <c:lblAlgn val="ctr"/>
        <c:lblOffset val="100"/>
        <c:noMultiLvlLbl val="0"/>
      </c:catAx>
      <c:valAx>
        <c:axId val="54815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16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LEAD OWNER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SHEET'!$K$3</c:f>
              <c:strCache>
                <c:ptCount val="1"/>
                <c:pt idx="0">
                  <c:v>MALLESH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'DATA SHEET'!$L$3</c:f>
              <c:numCache>
                <c:formatCode>General</c:formatCode>
                <c:ptCount val="1"/>
                <c:pt idx="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E-406B-B107-4CD5FDBF6FF9}"/>
            </c:ext>
          </c:extLst>
        </c:ser>
        <c:ser>
          <c:idx val="1"/>
          <c:order val="1"/>
          <c:tx>
            <c:strRef>
              <c:f>'DATA SHEET'!$K$4</c:f>
              <c:strCache>
                <c:ptCount val="1"/>
                <c:pt idx="0">
                  <c:v>RAVI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'DATA SHEET'!$L$4</c:f>
              <c:numCache>
                <c:formatCode>General</c:formatCode>
                <c:ptCount val="1"/>
                <c:pt idx="0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AE-406B-B107-4CD5FDBF6FF9}"/>
            </c:ext>
          </c:extLst>
        </c:ser>
        <c:ser>
          <c:idx val="2"/>
          <c:order val="2"/>
          <c:tx>
            <c:strRef>
              <c:f>'DATA SHEET'!$K$5</c:f>
              <c:strCache>
                <c:ptCount val="1"/>
                <c:pt idx="0">
                  <c:v>VIKRAM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'DATA SHEET'!$L$5</c:f>
              <c:numCache>
                <c:formatCode>General</c:formatCode>
                <c:ptCount val="1"/>
                <c:pt idx="0">
                  <c:v>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AE-406B-B107-4CD5FDBF6FF9}"/>
            </c:ext>
          </c:extLst>
        </c:ser>
        <c:ser>
          <c:idx val="3"/>
          <c:order val="3"/>
          <c:tx>
            <c:strRef>
              <c:f>'DATA SHEET'!$K$6</c:f>
              <c:strCache>
                <c:ptCount val="1"/>
                <c:pt idx="0">
                  <c:v>VIVEK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'DATA SHEET'!$L$6</c:f>
              <c:numCache>
                <c:formatCode>General</c:formatCode>
                <c:ptCount val="1"/>
                <c:pt idx="0">
                  <c:v>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AE-406B-B107-4CD5FDBF6FF9}"/>
            </c:ext>
          </c:extLst>
        </c:ser>
        <c:ser>
          <c:idx val="4"/>
          <c:order val="4"/>
          <c:tx>
            <c:strRef>
              <c:f>'DATA SHEET'!$K$7</c:f>
              <c:strCache>
                <c:ptCount val="1"/>
                <c:pt idx="0">
                  <c:v>SAKSHI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'DATA SHEET'!$L$7</c:f>
              <c:numCache>
                <c:formatCode>General</c:formatCode>
                <c:ptCount val="1"/>
                <c:pt idx="0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AAE-406B-B107-4CD5FDBF6FF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785640416"/>
        <c:axId val="785629856"/>
      </c:barChart>
      <c:catAx>
        <c:axId val="78564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629856"/>
        <c:crosses val="autoZero"/>
        <c:auto val="1"/>
        <c:lblAlgn val="ctr"/>
        <c:lblOffset val="100"/>
        <c:noMultiLvlLbl val="0"/>
      </c:catAx>
      <c:valAx>
        <c:axId val="78562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64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QUOTATION STATUS</a:t>
            </a:r>
          </a:p>
        </c:rich>
      </c:tx>
      <c:layout>
        <c:manualLayout>
          <c:xMode val="edge"/>
          <c:yMode val="edge"/>
          <c:x val="0.32367827445820602"/>
          <c:y val="3.76699478101332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794311229213834E-2"/>
          <c:y val="0.133495005653744"/>
          <c:w val="0.60409955642813407"/>
          <c:h val="0.8153039972946402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5F8-47B6-98E9-383E3A6187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5F8-47B6-98E9-383E3A6187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5F8-47B6-98E9-383E3A6187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5F8-47B6-98E9-383E3A6187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5F8-47B6-98E9-383E3A6187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5F8-47B6-98E9-383E3A618789}"/>
              </c:ext>
            </c:extLst>
          </c:dPt>
          <c:dPt>
            <c:idx val="6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5F8-47B6-98E9-383E3A6187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5F8-47B6-98E9-383E3A618789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5F8-47B6-98E9-383E3A618789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400492232700523"/>
                      <c:h val="8.20534953377223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75F8-47B6-98E9-383E3A618789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75F8-47B6-98E9-383E3A618789}"/>
                </c:ext>
              </c:extLst>
            </c:dLbl>
            <c:dLbl>
              <c:idx val="3"/>
              <c:layout>
                <c:manualLayout>
                  <c:x val="5.3523636338316291E-2"/>
                  <c:y val="7.5948201333299577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5F8-47B6-98E9-383E3A618789}"/>
                </c:ext>
              </c:extLst>
            </c:dLbl>
            <c:dLbl>
              <c:idx val="4"/>
              <c:layout>
                <c:manualLayout>
                  <c:x val="-9.3084584936202665E-3"/>
                  <c:y val="4.8100527511089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5F8-47B6-98E9-383E3A618789}"/>
                </c:ext>
              </c:extLst>
            </c:dLbl>
            <c:dLbl>
              <c:idx val="5"/>
              <c:layout>
                <c:manualLayout>
                  <c:x val="6.9813438702151466E-3"/>
                  <c:y val="-5.063213422219972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5F8-47B6-98E9-383E3A618789}"/>
                </c:ext>
              </c:extLst>
            </c:dLbl>
            <c:dLbl>
              <c:idx val="6"/>
              <c:layout>
                <c:manualLayout>
                  <c:x val="9.8188826649043978E-2"/>
                  <c:y val="1.519040333311737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5F8-47B6-98E9-383E3A618789}"/>
                </c:ext>
              </c:extLst>
            </c:dLbl>
            <c:dLbl>
              <c:idx val="7"/>
              <c:layout>
                <c:manualLayout>
                  <c:x val="5.3770071736381223E-2"/>
                  <c:y val="-4.55712099993521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5F8-47B6-98E9-383E3A618789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'DATA SHEET'!$G$26:$G$33</c:f>
              <c:strCache>
                <c:ptCount val="8"/>
                <c:pt idx="0">
                  <c:v>Quotation Sent</c:v>
                </c:pt>
                <c:pt idx="1">
                  <c:v>Clarification Pending</c:v>
                </c:pt>
                <c:pt idx="2">
                  <c:v>Discussion Ongoing</c:v>
                </c:pt>
                <c:pt idx="3">
                  <c:v>On Hold</c:v>
                </c:pt>
                <c:pt idx="4">
                  <c:v>PO Received</c:v>
                </c:pt>
                <c:pt idx="5">
                  <c:v>Closed</c:v>
                </c:pt>
                <c:pt idx="6">
                  <c:v>In Progress</c:v>
                </c:pt>
                <c:pt idx="7">
                  <c:v>NA</c:v>
                </c:pt>
              </c:strCache>
            </c:strRef>
          </c:cat>
          <c:val>
            <c:numRef>
              <c:f>'DATA SHEET'!$H$26:$H$33</c:f>
              <c:numCache>
                <c:formatCode>General</c:formatCode>
                <c:ptCount val="8"/>
                <c:pt idx="0">
                  <c:v>82</c:v>
                </c:pt>
                <c:pt idx="1">
                  <c:v>5</c:v>
                </c:pt>
                <c:pt idx="2">
                  <c:v>37</c:v>
                </c:pt>
                <c:pt idx="3">
                  <c:v>6</c:v>
                </c:pt>
                <c:pt idx="4">
                  <c:v>32</c:v>
                </c:pt>
                <c:pt idx="5">
                  <c:v>15</c:v>
                </c:pt>
                <c:pt idx="6">
                  <c:v>33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5F8-47B6-98E9-383E3A618789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CRANES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SHEET'!$K$21</c:f>
              <c:strCache>
                <c:ptCount val="1"/>
                <c:pt idx="0">
                  <c:v>Modification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'DATA SHEET'!$L$21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93-431B-A185-0FBA48CC4E83}"/>
            </c:ext>
          </c:extLst>
        </c:ser>
        <c:ser>
          <c:idx val="1"/>
          <c:order val="1"/>
          <c:tx>
            <c:strRef>
              <c:f>'DATA SHEET'!$K$22</c:f>
              <c:strCache>
                <c:ptCount val="1"/>
                <c:pt idx="0">
                  <c:v>LCS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'DATA SHEET'!$L$22</c:f>
              <c:numCache>
                <c:formatCode>General</c:formatCode>
                <c:ptCount val="1"/>
                <c:pt idx="0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93-431B-A185-0FBA48CC4E83}"/>
            </c:ext>
          </c:extLst>
        </c:ser>
        <c:ser>
          <c:idx val="2"/>
          <c:order val="2"/>
          <c:tx>
            <c:strRef>
              <c:f>'DATA SHEET'!$K$23</c:f>
              <c:strCache>
                <c:ptCount val="1"/>
                <c:pt idx="0">
                  <c:v>Monorail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'DATA SHEET'!$L$23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93-431B-A185-0FBA48CC4E83}"/>
            </c:ext>
          </c:extLst>
        </c:ser>
        <c:ser>
          <c:idx val="3"/>
          <c:order val="3"/>
          <c:tx>
            <c:strRef>
              <c:f>'DATA SHEET'!$K$24</c:f>
              <c:strCache>
                <c:ptCount val="1"/>
                <c:pt idx="0">
                  <c:v>EOT Crane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'DATA SHEET'!$L$24</c:f>
              <c:numCache>
                <c:formatCode>General</c:formatCode>
                <c:ptCount val="1"/>
                <c:pt idx="0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93-431B-A185-0FBA48CC4E83}"/>
            </c:ext>
          </c:extLst>
        </c:ser>
        <c:ser>
          <c:idx val="4"/>
          <c:order val="4"/>
          <c:tx>
            <c:strRef>
              <c:f>'DATA SHEET'!$K$25</c:f>
              <c:strCache>
                <c:ptCount val="1"/>
                <c:pt idx="0">
                  <c:v>Jib Crane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'DATA SHEET'!$L$25</c:f>
              <c:numCache>
                <c:formatCode>General</c:formatCode>
                <c:ptCount val="1"/>
                <c:pt idx="0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93-431B-A185-0FBA48CC4E83}"/>
            </c:ext>
          </c:extLst>
        </c:ser>
        <c:ser>
          <c:idx val="5"/>
          <c:order val="5"/>
          <c:tx>
            <c:strRef>
              <c:f>'DATA SHEET'!$K$26</c:f>
              <c:strCache>
                <c:ptCount val="1"/>
                <c:pt idx="0">
                  <c:v>Hoist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'DATA SHEET'!$L$26</c:f>
              <c:numCache>
                <c:formatCode>General</c:formatCode>
                <c:ptCount val="1"/>
                <c:pt idx="0">
                  <c:v>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E93-431B-A185-0FBA48CC4E83}"/>
            </c:ext>
          </c:extLst>
        </c:ser>
        <c:ser>
          <c:idx val="6"/>
          <c:order val="6"/>
          <c:tx>
            <c:strRef>
              <c:f>'DATA SHEET'!$K$27</c:f>
              <c:strCache>
                <c:ptCount val="1"/>
                <c:pt idx="0">
                  <c:v>Gantry Crane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'DATA SHEET'!$L$27</c:f>
              <c:numCache>
                <c:formatCode>General</c:formatCode>
                <c:ptCount val="1"/>
                <c:pt idx="0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93-431B-A185-0FBA48CC4E83}"/>
            </c:ext>
          </c:extLst>
        </c:ser>
        <c:ser>
          <c:idx val="7"/>
          <c:order val="7"/>
          <c:tx>
            <c:strRef>
              <c:f>'DATA SHEET'!$K$28</c:f>
              <c:strCache>
                <c:ptCount val="1"/>
                <c:pt idx="0">
                  <c:v>Manipulator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'DATA SHEET'!$L$28</c:f>
              <c:numCache>
                <c:formatCode>General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E93-431B-A185-0FBA48CC4E83}"/>
            </c:ext>
          </c:extLst>
        </c:ser>
        <c:ser>
          <c:idx val="8"/>
          <c:order val="8"/>
          <c:tx>
            <c:strRef>
              <c:f>'DATA SHEET'!$K$29</c:f>
              <c:strCache>
                <c:ptCount val="1"/>
                <c:pt idx="0">
                  <c:v>Scissor Lifter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'DATA SHEET'!$L$29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E93-431B-A185-0FBA48CC4E83}"/>
            </c:ext>
          </c:extLst>
        </c:ser>
        <c:ser>
          <c:idx val="9"/>
          <c:order val="9"/>
          <c:tx>
            <c:strRef>
              <c:f>'DATA SHEET'!$K$30</c:f>
              <c:strCache>
                <c:ptCount val="1"/>
                <c:pt idx="0">
                  <c:v>Manipulator (2)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'DATA SHEET'!$L$30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E93-431B-A185-0FBA48CC4E83}"/>
            </c:ext>
          </c:extLst>
        </c:ser>
        <c:ser>
          <c:idx val="10"/>
          <c:order val="10"/>
          <c:tx>
            <c:strRef>
              <c:f>'DATA SHEET'!$K$31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'DATA SHEET'!$L$31</c:f>
              <c:numCache>
                <c:formatCode>General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E93-431B-A185-0FBA48CC4E83}"/>
            </c:ext>
          </c:extLst>
        </c:ser>
        <c:ser>
          <c:idx val="11"/>
          <c:order val="11"/>
          <c:tx>
            <c:strRef>
              <c:f>'DATA SHEET'!$K$32</c:f>
              <c:strCache>
                <c:ptCount val="1"/>
                <c:pt idx="0">
                  <c:v>Underslung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'DATA SHEET'!$L$32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E93-431B-A185-0FBA48CC4E83}"/>
            </c:ext>
          </c:extLst>
        </c:ser>
        <c:ser>
          <c:idx val="12"/>
          <c:order val="12"/>
          <c:tx>
            <c:strRef>
              <c:f>'DATA SHEET'!$K$33</c:f>
              <c:strCache>
                <c:ptCount val="1"/>
                <c:pt idx="0">
                  <c:v>Goliath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'DATA SHEET'!$L$33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E93-431B-A185-0FBA48CC4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2721136"/>
        <c:axId val="1482716336"/>
      </c:barChart>
      <c:catAx>
        <c:axId val="1482721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716336"/>
        <c:crosses val="autoZero"/>
        <c:auto val="1"/>
        <c:lblAlgn val="ctr"/>
        <c:lblOffset val="100"/>
        <c:noMultiLvlLbl val="0"/>
      </c:catAx>
      <c:valAx>
        <c:axId val="148271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72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ENQUIRY 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ENQUIRY </a:t>
          </a:r>
        </a:p>
      </cx:txPr>
    </cx:title>
    <cx:plotArea>
      <cx:plotAreaRegion>
        <cx:series layoutId="regionMap" uniqueId="{F65A5874-D43E-41BB-8AAF-BA49E0C25601}">
          <cx:dataLabels/>
          <cx:dataId val="0"/>
          <cx:layoutPr>
            <cx:geography cultureLanguage="en-US" cultureRegion="IN" attribution="Powered by Bing">
              <cx:geoCache provider="{E9337A44-BEBE-4D9F-B70C-5C5E7DAFC167}">
                <cx:binary>1F3ZbtxIlv0Vw89DFRl7NLoa6GBmMrValmTL9guRliXuW5DB7evnpiW5layU5eK4gZFgoGBTDF7e
E+fuwfrnTf+Pm/R2o9/0WZrX/7jp/3wbNk35jz/+qG/C22xTH2TRjS7q4q45uCmyP4q7u+jm9o9v
etNFefAHsh3yx0240c1t//Zf/4TVgtvipLjZNFGRvze3eri4rU3a1D+5tvfSm823LMoXUd3o6KZx
/nx7mDe3Ov++7iZ9++Y2b6JmuBrK2z/f7vzq2zd//OuffzwryN6H3cu499Jf5Ph3/i3UmzfnevPt
tg5fEmRXjr9o4U0KL9SYb/ASDj3glFJHSFve/7x9kxZ58HCZywPJKHGoJPdX8eOjzzYZ3P7rYn1/
zc23b/q2ruHtvv/3r/fv6BQun799c1OYvNkCGgC2W0C+RZu3b6K6cO8vuMX2PQ7P9iHwF0hAFf9F
kNww3DRNVAcb/RshQs4BYkwQSZH9/cfZgUigA5s4iFMb7WLzq9LsR2b37gku7tWrwuXf2uQbMBfp
7+cP4gdUYiwkde7BARCe8EeyA8fmmLNHdrFdjP6WZPuB2rPEBK1/X7wutOp6kz2q6TlT++sWDrED
TAkgBDZuj4WT6EAAecD84f0W7iVpnkHl/rYpEpevCgkVgYv9jUjQA8aloA7Few0ZXLYlY0RODNmL
YuyH4OG2CQTqdZHBK8DZ/Tzq+HUqgLPHDCMs0V4qcHJgU8QkQ+ieCvTx0ffO/gVZ9qPw/aYJBt6/
XxUNTjdAg00dNvp3YiEPCDh0gcH07PHqfOs4hMToIe6SEyx+Uab9mOzcPMHmdP2qsDkCaJJwk397
3Kq/wWHgA0aZg6R48Ahix6ULekAZcTBiDyQij4++Z8kvSbQflye3TlA5el2oeCYGxjSPivkNmKAD
JhGzbUT3hVncgSiM20zw/Zj8gjz7Eflx4wQP7+hVseTqNt3kwSb/nfaLHwjbZhTCqh16QMZo23Kb
rTxYLrh877/u6fFLouwH48mtEziuvFcFx3qjh98KBpIHjhSOJOAlnmQf4EQwsRGxCUC1/ZlkH78g
x34kftw4wWH9uoKrdZT9l9JC7BxIhCmk7Xtzds4PEGbIwewZYP6GYM8g9JcVplC9rtLKZZQk0e/M
CiFv57aNbfSYme8wR4gDwjmCqtcDfhPmvCzOflge75uAcXn8quzX8a3epL/Tl9gHhEjBOYdYatd+
EVsgiLbA829/Jonhy3LsR+HxvgkKxyevCoXTzbdw+C+UhBE+oFg4UBZ+ME7OLijiAAkhGcbO3oLJ
r4u1H5zp/ROQTl+X3Trd5FFp9GMM9BsiYXLAMWGQx+81XBIfCKixcOrwe3Tk46Pvw69fkOc5WB5e
ZIoHFN5fUYn+3OTx5uujTv7vcGD7QBAE/RHEd1lCD8BqCVvaDzhMGicvy7Efhsf7Jiicq1eFwult
ANX4zfAbfQiCtBzqvA7mD1k7bPwnrkRCE4VzSBBttp8XvyLRfkievMwEldPX5VCON9tOZ/IiKP/F
DtppNBb6t1b/8QG2wRraeDdN3Zb9MbORtPc3Nn9BkGd2w+MbTPfCl1fF0LNNAAT9rWU1dmAzR0BC
9BA3TAhKDgiDqIM/BB022NOndYNfEWg/Iv+5cwLJ2f9veu73qk97ATu/8b3//eu9AISgLQbVZf7Q
t7QnUZ7ctgqYgELofeg9qT8/tOGfl2Y/Fg+37Qj+/7un/+5bVIcvmsS/oXf7gDrYJgQK//c/O35K
AA2QgH4lRA7ffyZ6f1mc/Yp/vG9CgXcXr8oqXd/WzRt1C6XMF2dx/gYiEDJvR1xsvhvCCX4gObTD
yGNAMYHiF4XZj8fOzRNQrl9XMHexiTd1Az2YR4P9f4+qoWdPBYFOJeQye0jCt4jZDgJ3sZckvyTR
flye3DpB5eKVlfw3WZS+Odt8M78PFsc5sJ2tQxC7wRSHapnNoZRGJ0776peE2I/E03snUFy9rpzz
Sm9LAL/Th+ADTqgNFeZJDOXAvyMObvuhajmxWL8gyDNYPL7BFIjX5T4+NA2MnP72GUqwVt+L/c7+
UEqAx2cMgq3HfvKkFPDLUu3HZnL7BKEPr6tc9v1lNr+5oQ81GmjX2zBE+ZD7T6yXPADLhaHf/+Br
Jqz5RZl+gs7jC02xeV1V/3dNeKvrl7zJz4oDz1/7MaK82DSb5fch631j3Huvflc8zH9PLv5sauo+
bTn89udbsKMS5gYchCAChI6dgyAPglHu+/Bxu+ROFrrYwAj6G8iLwbPClO+b9aa9TaM3MAb9ZrHJ
Nvn3S4voh8999hG3EDLB0/EBQhyyMIdQiD9BjLdvOohx4QrUFTnEpBSGRyFbYFuPmxe6Cf98i2yw
8hjmU+ACiA0zc2/f1IV5uASZBUzQOfA62yXFj+n48yIdgiL/oeiHv7/JTXZeRHlTwyw4hp1f3v/e
g+BCYAIJO3YYQRTqynD9ZnMBI/jbX/+fyo+7OGAjWfrdBzMUp/LKWQWrELs6UpHvitiN6MquL/CH
vFfSuGP8oa6iVZRd+32ziHzLFS1x7ST7Iv12kYTrMKuVsVZcaK8thfLr7DAUX4eeLMIyiJWJrk33
BUXN0ho0U/Z4iUtLdWh4h0O9wtZRKe5076Zrn1216Cz4FuapyunJ0CQq704LbVyf3WU5cxONVGip
yGGHNG4yJW3nrM3yxdBZbhoOXsaSWLHeuD2JV9TybBbrVew0gVuY9KwPv+RyVCzvvtoy/1A39vus
GsNFFHChKB7KZc1jl+Q3TfqOibZRpk0a5cS1wkGn0rBSelAdR+dOHF8G6XiIsV7ZA1pbJDtKbJa6
LDvBvRO7dVm+q41OVBXohbGsJYvt89RJVV/GsbJwcUsNyd28Ip/t2PIApmVbBMtCBir2uxWpk9VA
Blc3/SJmepEm9SmOmvOG4TPHxzcJZ+d9AbJ2w0BV6aCPfTR8KKxxhTK5DAiJVSyIo0LGM8VaWDUI
o/MgK42qZF0rIqKzqu7cuD99Qpt9e8sBr7e7t4B3EDTa3HE44dAp391bSWvXfVRYctmP2QfdWIVL
SH3et3QddmwJo3PVIuXsqElyLy3f0az3qEOOm0yYxWDjVmV1myvfl4csSteJZa8i0610nPjK+Pgc
t8Wq7+klJlSrOK4XFY6Oq/zYNsTTZX7sDCvHEst8KFUZje9pGq4F75bakWcNQFgO0R3R9IImny1Q
s2+oG+lsFcTJKnBCV+tmUXV4UcT1iZB8gfpiEWhrXY72uaZ61WJyPtjyhJHgtB+Mkn3mZWFzFZe+
C1vSG+URcb4w2qp4NEcVG8/sosuVVQSV4rwPlYRdmQz5qmyjE5Gf8ir1LF8rmomvWTOs09ReB10d
AJdq203MeDL2zVIIfzOUdFXkRmWwoDJ2VCvLGY7AXFwjFJzF+RXS+lT7ZF073VXefxlj2h+XaCjc
OHf458rHRllh+smK8TIsHY/FsEU6RlYOk+sK6292DzK22fAuGIyvhF/QhWywOa66SpVshCroD+u6
Z5sgaAD/ZZdgLjGkHBDTSgIJxlMLNBa2SHSX+0tWJLeBZa59UJ+vnS+VDt2x1UcO1xeVn5yNpn0X
1Pow7vqzKCLKSepq1VT8JKEyXsR1eahH+S5EGdiu5qIWMl+ETXIeh+1dSfMXdjfB093NwHLD/gYD
Dg4GJjntXbnrskrL1on9ZcU1VzHCR34CAtPC7c2YKp1S5aeh8Bqwi2XA1lYGRqpyzAbxVV/mXhWm
g+LWSJWuutEtOYc9G6BlgaI1NzFSiKVnQ9RegmH1cNqfR7G5LC3nw4iDRabRt4D2lxmplY9FsyhC
3Sg/SuDBrCmWvRBgGlt0Z5vQqKBprBOcdQ1sxrJRadldhG173glzXDI/UBHLT8PWj1cQXn2p+Ogo
nLRXzEnftSkZlaHlXW7F4ZLi8qprrDsZ4tQVEbtjVnpZs/hTNkaebut0RZ27Mo28sA9cmYMEQXWo
a6JGId0mpB+7zPGw6KTi+msXWodDJFSRdcvaUYHduXYbulFCr/MSqS4K18TvlxltTm0rOq8b8B6l
jRaxkGvLyRMVGnMd6+ZDZSOw4+TTmFQfgqh/Z1A+LlrTuKPVrHFcuVVgr2mVX9KwW9vBqPImvvHt
8jINmyOD8IIh4HtMFywW50FuHxZld94RsUCpuMwc1CqTsYWx5VI60o0CugpCewXQn9hOuuzaDrxM
dJ321brlZtnw0qXDqV2cNP64rAe6amTqpjxSTv0pHi99ht0kEovQHMsyOYxz/1qDCr2BB5Eb+86q
yjNPJOMy7PJMadzcJWHo9g07NzZZVDr+XGVjo2Qd52uEUtsdMalUzHhzHWf8fRFgrayqWuS665Qs
2/OIxjdVSlplobtIZIe+Ja9JnSrfKr6JwFqVZsxVUfgnOdBQybY4b6pkjUa6iovyMuvYRRLExwQN
3WL0mapGOrhW6sD9zUIWZlXH3cIP6hw806cYdWvc9+vMhFIleZQpv8k+4DD/FNT0pNf4Y9qIQlH2
iY7VVZ+ZZgm7+rDy+d2I8LFvQrbsasNU6gTHQ8+4Ms0wLHQg0iUl40kSgNdixbusgvCCa3tD6jFd
ok5fFHjYJFWYq8Q0n+wUh8rJWeFGcjjXpPnQjuKo5WWosB0treQwQfQj407uNk7vojC+cmr2ySBz
bPf916wfpbLydOGkeG11/aK37fOMBYuE+h+zplNCJ64m8oIZ6zRIPo/VqAphXOmHZ3UbvcfZuBxg
t5O4vBsjpAbQWN/Ly37A16iKvKIZD7VTXfjW1zYRd3K0v/RBrwLUrxwjb2KCFlHGWzeg9MKXtxkH
lyGXxDrT4qx0zih+l5uLuI3OtZUtDC4VwxftgFQTiw9ZX7sJRB3F2Lg5w6ot+wWKb5No8PJOLJP6
E5dXHQ1V1BOF0zsZhQsHfTbBJQ8yjwmtBHlvZVoFdXdRGATbxTqN7YseRaUKxxPbTxUfiGrAR0WM
HGq+oiRbJlGiZMzAP7xzuhtJSzfj+FNjhGID8DpBn4Q8z/rO5el7OzCRAlt5XfkocU1EF0H0tavr
VWbu+rhws1J+7TFOV7Ktv1olW0c6WCeR863t4sY1MsxUUsjFUCWBorJboKFSjSzEYRwmXFmtrBci
yD5GgxUsezSQb5ZGjhKWWBSYi1VXjMdU51dhUPHFGDtXMrE+F8NwXSTj1djH56PfcLctdeTiHJPD
oEnSZZ6KfMlZbhZtl0PvY/TEyNeNVSuWRdq1BYRTQdhfWqQKlLbLZWcTlcXdpmEQDjv6kHW+45om
VyPjX7O2PZJdeCsGcyXzsnSrGK3jeAgWRQ2hifSzZOlzO1bI8hdx21yleITQLltCoH5SlPgusVM3
drygYUeEFAun0KdJV4L1JadhRc+GofEErtCC+DhYaTKEinTUWnSVjBYN1ZZbE9ks08Qa1P+Eo49S
biBMK6k8T1BsK4jAriI7+6THIFdZESawG/wLHDpHoJto6cuhVaj0B1Vw3rg8N0bZloCHZOzye3Tw
kCY+hAf3GctNUQ46CsKHI70//vqvqyKDP99Pdf7nH3f/+p9Dn9t87scJ0Em+uHsa9+9c3Mk0d1pb
j8nyNptythHwj9jnL5nlTkPtx+/fp4mSwzCJwzGlMPkDR6gYZHz3aSITMPhLYfbXhjQWIiQM2etD
moj5AXQ0YECbwcgDhm4ThFYPaSI7gAOJ0NYQHHGYUpFw4Oox491ROiTVe2K03RDNQg6B+J3S7QmV
p6FZ7fd+kUSSrUNnIem7uoUC+o/3/xvrbp/3JOmUKGpZnfZ82dAwDdU4AvtCxPr7E8D3ifvfWH4b
uT1ZPuZWMnR9zpehrrS+6NhoB1dBPxZ3PxcfJkTL/+TO/1ELpPRP15fZmAiT+GwpEa3H90BMaasQ
x9RRNrEzpAiuGn/184c9hwHA//RhNWAfd0HOln2NBVbCxoFWxcDEC3H4Nsze9zKTMJbLyi5jObCl
cUpy6jgdyS47O7bZySCavPcsPjKtsqEqoVI8A3wBO/3pC5XCLlu+fWCbSt4fFaHxjUtqE0bLnz9g
u9CeN9rWVZ4+QERjZzcG02WX1Lw7YgP2kVsmNQpPaBLG6NQxiUncqq7ygSs7JU61svOw1eufP/8Z
xNhEo6nGzBn6mHvaKjuw0Q5JVYBF8O3nyzvbdfa93yRhKnlWJxQCy6UJgrZyBRIexxB3J7jqtlWG
rs2UGbh1UnSBkywNKgoBmWcgUAbjEnMg3BLjCcHSYMjalHagYYGoi3Vxx2kXzVOfmBidAgxBJ4aG
Loeh5p/sYiiU35r43TzRJ6YnFXHEaqzpMsFRdGvD9ylOcitKjDtv+YnpKayOllVI6TJtePvR6Sqi
en/k8wybmBgenXZxWaKKLhuo74xLu7davWBlUfCZ4k+MDeoDRwxpDMamICZ2B8YgSqwqYOri5/p5
xnROS0KZbDsam4B7WVpX/gXPssp8xNUo7aPGCiV/DxVOzA5//rBniDjN0FE8WHlRl5aXFwNUyWoY
A2kgfocEdtb6fGLJamEbu+up8MYCYrMhIJZWfZTU+gU0dmu0P/wMnxgyWSQkNWjwvcISY7bqtFO2
y7QbnGhRRSGRMx8zsSeYFL7oSot7TWNQs4a0KbeXY+6k/bKMmq6fx2s+MRpV0ULpqc+EVyIItBM9
hO9yzuTVz7F4TlcTq9ElvXA6CKE8ZPXRMq01xycBGYrqOqEi6V9Q1TM7anuY4anhC0VQJoKXwtMp
GQ6tbLTfycDRqfr5Szy3PN5dvvCjwQblMM/wCvXKjnvymY1FuZy3/MR8mJYXMJvHmNemgECTBtmS
GIuXM6WfGA8T4XxIh1h4pG4TwGAQvaVqe4jGmQ+YONZEWrSSPWhfOlmVH5YOzaGeG/OxO5+loG0Q
/hRejgZcO1bPPFmH0UcuaqhWQwlrmCc/mxCNDxrDSBjlXolJE62bEfdShUnW2fMoxiYUg8J/xRqk
uZfUQUkO6wy1QsWG6Jd889by7Ak92IRlQxAHdtYBxJU/lHoRB5jz88waW3YUNNustQ/QkH9KM4G/
mDzo8hcs+XMxD5sQL+0DnxdjB6YwFWl5FFq1zyFxSCREjaLpYtJsq3pj60YhK7NV0o8BXzDS4eKy
tRtmZip4QtDBZxYXieV7GbfMAkcd9wRP8Qv7w9kyZZ960e7+o23TRxWqpIftURfL0fHbZkn9cUzX
pcQcKvJ1VtyVFumyNRlFTs+gToLyU8SFiD8JKGrRF0R5xhKxCZdFHtOy6CLildyvsctGeVv2fVfN
s6N0QjQoiDARxwHxgrIXnym4n7PatrJ5do5ud++T8LTCQR5bFpceTSGTcY0jMihiR3qoX9gGz9Bg
OxP19AF1VA0U9Rpq+0Pno0NBtLa/9qUDlAhRaBcqj0yZKTSyMrgps7FGM/U2ITjuoA6VIM2gUOdn
RpUVqjM1GGLNNLF0QvCRQBHdMM2XpqLOkg1tsBhZYS1m2Vc6YTHzpZ3HVT96tQkab8w5NGh1Gb9g
JJ7Zs3RCTphqC60eYkkvRlHmosaJF/5QoJmbasJNSEsK4UTF6CHIG5UdOtd5QF6K9J4TfUI3h5U5
6dNg9AI+NKdmyKFKnVYh1HHnKX7iOcPYNCXWwwgtxkweorZPFtA1It6s1cmEzbhsadkksHrjI+J2
mNeqzpxonuxkwmaRo1G0HGC1GujTJNi0iiWczDN00+5jbFva7vx69ConSle1zAO3hU7D6uea2dJm
j0EnE77mPg3H0bE6r7PoLeSFSbsiTQLNv6bjbOYbTCiLW97m0BPvPAzEvZBNES8dUiTz8mUyoWyT
Q6zSjazzCkLZIXwkzSziIZ9pbsiEsk6Tpb4YY+MFdUqOozTjp2WfzhR9wljwpH6SOLjxqgL6aq6m
qHZ52Cfh4ufgPkNaMiEthaZXYo1QhynzqD9KmqA5Mb6fziTVhLJQH7Vax8TNShuYA7jEnS3Sd1QL
Fs7bN9tB06dOLHGitgpa1EPMZkY3KennQcI8wizdbI9mPV2cxlZCYFihXVZpCN3k2iCYNpFmpugT
/4tLaJH5sWhB89ZnjSAAy2Xvz4MVTziblKO2rJo9iE5QhRRt2VzRp2ylwjcidNql7KBojLar1/MV
M2FrYreln9aweh/L0DUiMYoxFM9U+4StIaGigBFxWJ2g2yoi6SqAcal5Zh5P2JrAZ2RFFMDicjSZ
l3KpITVi/bzYYNtEebof+wZzPx2Sdkkbv1O90yLllH4zU/YJV7OwRHmBbbPMW+ild2F0a2IYophF
JTThaT3qpizCziyzJCSKEfrZams0c/EJT22fajyEVrPklZ0vYFxrU5uxnrn4hKZVLfsYImGzjJkM
FYujVBmN+MzVJzzlOLaCyII2JpfGOa2hPXLu8yCd16JCE572hqCcwMre6MBHjNWYC0YXVmOJet6e
+T4W9SRJQVUvM1MGrTeQLIeRDVxSr+xQczNv1+DdDe9EPtIFDFh4gV+nRzKunUWdxMNy3upod3Wj
/RIHAzVeI/EXJ0bva4Lfz1t6ytR6iLNhsBovCq0zMI+fB8Rn1tfQhKcygrEKJ+eNF3ehWJiQXhWJ
X8wD1JnwNE9qS0thjGdFTeSmMT/hqLLnbfbtF7me2i9oC3dl3QsLBhH6b9HgXCOawez5jGaOM2Gp
iLrAAn89eLBs3agR1SFTQ42DeabXmfC0DagJE6IbD2bz7U+kATug6mh05kUazoSopkqRnfqF8bJC
j4ui51/DqPRnqn3iT30RVbyNtPHooAc3y0oQPXmp8/pM/Ph9fPaJBZA5I1EJU4EeDIXLU1EHzmlq
+eX1PFgnFEUNajR8Ah22Y+jD2FPWfeIimgnphKMjKWTsh4nxNG2xckT/Oa3E+Ty5JxwlHem7CMPa
VlxfETOcUlK/NLsJZNmTjW2n6p+SqOh8P2hw0CxtGGpyrdg/iUZ7Zn0A5vJ3FnecsuSjhWC825bv
soF/FnpI55mW7cH5p4JbIcTpugCdpGEOE37Fys/CeZZ8+/24p0uTshtwD0XvZTG2a92hY0LneVB7
QsxyoA0rSsjtWBaciKL3cu3P64PaE1pGadPD8CcIXWYfxta4Mf84a/PZE6+ZyliXYwIgkjD5qnv5
Xoxsnp3afujqqaJN1Sb90LHGG2qYORuHBnmxwfVinuATRuLc7/M4ko1XW9DrR3mylr78NG/tCSOT
NKopfGPAWtIIolvLZhsC09yzLCx8qWNXLbCxqyq1wSWHEesVrYm1kBJmH+eIDh8g211d1C1vCG2t
ZcUudbEQMIkxb+EJI8MgrEgVwpidETBt0eG6VE7FruYtPuFkBw3yYcj9eumE5bpLofle4biZtVPg
I567KtHG2ImVwuIipefYlDcRGfRMrUx4CR+vHOxKyHqpM3xOYe3etHPXnlDT6SKO4TwNlI0Rtk+M
COKjivRsplYm7Axr0qYQz8JGoSNTox1/SFk4K8CCk1u7Gu+lIV0igfk9HprYtYnPigWCCCiaZVqI
nBC07DIYlI+BQwEpN1bXXkPz4cOsrTgd1moxtjXDoBdjArqoTBIpDB/bnxVHQEFoVzM6bDnUo3sQ
vO/PTWEf9W01k6FiwlCYhbcJD3ENs/T4NIWBwyV8nRDN07iYMNQEGmYuTdt4dpm+JxYM4+pwVpBC
puNPmlr5EOCs9hCiyIUDE9p1SHw3D84JQQfoKNQia2qYAGCfg7o/iji9nLf0hJ+9bvxEIEt7g5PC
AbmCV6s8i+eNLpDp5FNBu1y2MF/jQQtpXORjccZxPa8vT8SEoKZEdRI6nfYKmE9JFRzWs46t1h4u
5mlmQs/OwmAViQFE2+FbDRFcX4uvs5aeTiA14HjCkhW1l7Dgoi/LQzvL5u3D6fBR64uExSnR3thW
4bLtArSw0vxmntwTckYj8WvdJ7Unw9JNyHCWiZfCzq0f+2uQD8cOd21KB8P+aVty7YVZS43SnMWn
FSt71cXIDO48+SdOlCZ5nycF1V4a4S9pSK6tMrmat/SEoj2MJKaM+xr439brttaOcloyr1VH+ISl
AQpppDECwYlznbVWrohVfpwn+dSH9lWZaDusPYoi0i1HbOCcSC7SMJnnpPmEpyQMAmFECluyt95H
GbqKqnm5OOETjqYRrSBhhqX9Qb5v7Oidj9msNhSZDhWlYvCzqh20h/0MeZZAzXsn6KJZo7hwinx3
uyPe2rSNYCf69jioQVceJjMnush0YCnr4YxXX4fay9vSVnbLV1UXzKsOw6mHXckbTYwhElQO5vEY
ji8dp7Sfx6HpmJLsgtTEcNza4z4cYOHjcCx1NK9vBkfxd+WWsEvsHiXac4r2HDvVibabmXJP2Kkj
6E6wzqq8monryNHv06SalcQRNiGn35MsCcpYeww0oyRMiatqyMQ8ezgdF2rglKUVF7KCvk1YuRol
7+E80bwQdDpOb9uQZ+XUrrwgwhmcVIZCxdLYFpunmOkoUhxLGBuLB+CNHDJXGMYu0sge5yE6HUVq
Y8p8GIar4Dy4Rq5TkzPwpPO652Q6hmSsXBS0L2C7FJLY8H0EMSR1qIRsk1k1HOjw7+51mJ+1ZdDn
oPsg7LibQ/HM831SzesjwOcsdtcfEmOEzvzSE1adVG7bldmdkbybmTROB46cDNmkk1bp6XCoF1nA
YgUaoqtZDm86cATH+Htht3bpmZQh12Yw+A3/k7KZ9pFOGNukcIqkxnnp1YQH8OmJESWbZOjzQM2T
fuJN+0gz3fWgmyKMCxXBOd0+deb5PDp1p6joMosb0HsuyvVQ2/WqS4twPUvy6bxRi1v4PkfalV7s
0/HaLvxgTbgok3mKmQ4cYbCTFA0Aq8z9ql5xA19QUdQvWDXzAZPoF5pxSZGXLWge192h1uJDWKXz
avPwqZhdSvEkQzAErEuPk+YyCur3XdJcztP7hK2BP3Q4TYPK47n8khcdfFQEPoI5UykTt1pByVxY
Jis9rGPxhUNTYW2SrJ25ZSaetbGtfhgxLTxgqlQMRl+UNVh8OU8xaFfnerCgR5/C6rSFT4FQpzxK
8pemmL6HoHsSmumYURXBB1NKgQqvZUngwxnbPAZjw6M+cYNMBsk6K4fu0vwvZ1/WKynORPmLkMAG
A6+QZN68e+3LC6qtMdgGs9nYv35OtjRSF9P91YjXVjXp6yUcET6LmuWVzjRgl4WDA/weFLd0fEX/
b57e5aliEFBpl+GuE33MilS2aMY325iFtvBxN04f7EiCtQzd2ItvA+fBWEK8pCWnKEGvvUr1uq0n
GaFLVjK8Um/XdQyy7kIgZRJf66GzroxCdBM+B0D2QnmFdnN6oumGb1rZLv7cjDmfwbYjfj0rQjZ/
mo2i/dctjeP6dYlZ0H2fo2QcwawmublMG/7ek158UnWhSbKyT0kkSgadhPWuiYYG2itZD+JWOHry
DnZ4tjCETVfdzpO/hEOeubNV0sQnM8VNUpnUxmhhSw65okZqNSCfzXNXZlNLU5Cc2yl6gApJl18l
jZb44jHbtkwghHH1PlDPU2+gvxCHxnjo8ky1fyejbkiPZSF79MvYtwvw7flwydFsKxLSPXLfHGOt
QFjq9+0Z4k9L4kwPFzfoWp2G0HaXbQzbg9lfvIv2aotXJlY6XFjCB7SsgoI0ND8WF/YwNRrXDlmw
1BfO1K86Fu/qtD046dnv82LwjLRJgnEna32Zc3lfJ9GxzibdhfjEAFYTof11gQ/jBqmMHPIIMhoO
zskuxk9hQ5nAi+OlIZCQ2sT4F7StjmWsfwuG/eNVugM31/RpOFxWt+pn0L/au4Eu6lgcprsoz1kb
rj1h86WZRPwYI/kGr2BdvhyKw39L9vxj7JNqjDHaDBeRNevHKRs9XiL6bDk47bt9HvVt5AOKRWWN
SraKzP3qoeCTiPF0aPx7qNeiRlsHfBkueKj6y+r4PgnmY5SLmOw2u17tZEaXDhce5sCRLXO6yZLm
Hfnr2Nh3O94ko6dmJfoix9xnRTqMFG/sGSHHsBgx2W16q3sZQZoKCQKs44s1tV3Vtu3BBGGP99Kp
rTvf4ArHG81UAlHGSh3Y8HJscnbb3obgMidtP4CJKuU9oyZZCjZO7Bi+Pya79AZaQA2ATAMiWb+m
97yn4VfUtO5YK5js0pt0gzIetNhQpbl6u9ZxvV7ScEkPbvrd7USoXPP2FuC7VjXlbCGgsi5KHTuz
e8hXNEXbuqFOvgSup7840Oa/vFrVMeRnvAd9QW+y73gn9CVhqQmuIu+jMqytTf7wdvgfxLd4D/wC
H7SuGcRnLl5GdHqvRWuGsk57ok92HoL3YIQ9B0EuuxOyOJGXTY5i9MyDJBmOrf4eHwYiLQshRzZc
rBt5VgaqgwCF4r2W50OHYw8QYyH1qFlukaleovpBtQ20E9zolvBYd2oPEfPhOoGSSvoLDK+gU7TZ
zsZFJ2JzMEeJdsebzV5NPcEPuJUAtuzXT0Dv/zg2O7ujLRfllhwSXRc99XO5NfQvvyRHB7472c3o
o3kWqbogtz1LIu4JmY+1AP7mOP7jLlZBEDYWCiKXJTaQpApiPDVY//bYpOxu4oXLqYms6S/1OmXV
yklTqKQ9eFXucWI2bYe+x4pe2mkLvkPFif6YAlw3h8a+B4rNXdwPcR+pC9KV59T4Bzk2f9Byue23
fykV9zixZsM7I5uG/jJvhN9HcsqKph3ssUtsDxWzgrWZEVRdqMgGiJNm2XjP07Xnx47pHjAW59tA
WR+qS5r0XTnm2Z2II3fsHthDxiAI2jR13vaXPOb2cZ5UXKZLZ9787zW9dUD+beJ3hzS3whkb4X6X
Ph6RNYdzk1cyjIahYiiM+kM5Ft1jdyDPUdd6meTFT+l3FOpPKuWf/vdf8O9bh96kpP4JT4tNiKdB
0LHAEBzqrhjn1fyydDymDUDz3QS1yJV7XvfykuusRndnzq6KJeuhI0UhdvXb4AfSrZufMPi64ajx
I6ILaD4cCwd0j9/JmU9dMqPZEdklcqe+xeMvtFT7zhwqFqEB8PvwM2NrjTRCXiLOHLTroDY4gDx1
KFaiAf371x1rUZHbMTg1UbMN910Yhc+E6GQ9NHqYEf/+/cyxOmO0GS7hShdoBCZLd4v3YT6cjmzN
ONwliCpo59HkLQJmQt6tS/i2iepDGycOdzMPSZIlCyeMHS3f5AT9367wa9QfijnwmPl9ZnpEyEAA
qlpBwbZ+a1yg3/U8OUaxg9Tb71+XbR+tIZnlLTHI3mhFk8vSJtmhSaf5rpzTaHmFtbodWI5W2TBm
b4K4aQ9OzK6UW93Su9W1ErAV6IqVYMSOX7zMB/OH7+/Uzf+vcg7dA8sYjGc2xlZEM7Ym6mWMon69
a4UZpzMKsZWcoaXHoBidyG14DByqgkeddqP6AkPn+Lwy4q9pHEBPO/f1CvkDFwjxovpkI6UaR9eW
vuG1/z7Url3PvcadW65Jt/2gKo4fjO6We9dyc6b1CjVHD5EKXoSqjf17HoHf8kbchCTe922m5xMK
NkjshmqyJQ+B/HzuNA/8Cf96bp8oqQfz48gxgu/O7/sFuMaR3AjJVVNH3bPJRf5IWtIcu2DpHhI3
BCIZ0B0VF7KFvxgZ3+RR83ps5Ldb9x+pJGpNpwJmxYV64Gwlia9kmP+kdHHbc//v1Q3S++8fX9dA
NX7exGXUENOAWrGX9pQ7oB5OFhVCc2U5k/zLsb9kdw1GY56w2CTiEuiAVbGw8uy1bD4c+/ouEnNX
r6gRqbiYIeanoPaflo78aZ5uk/1v87SLwlHYtKuYVnFhcm3fAVUdv2S82b5tXRT8oTn4Xz+xi8Zh
nacN0aOo5o0KBvHucRrbwkxotl9bC0bbH4rq/1jyPWoO8IRmNUw2VdMuQpzXZIuADgtk1SqfERga
HHx2grrs75ur4eid1JPEpPUkANCNfUIgOphT3bzN/nksAgiOoBHQi0uE57iF2vNCo7f/eyf9x0rs
QXQpBZbTg4N7EhDJXa65nKE5n+V492eNkeEhdAFNb7/+j3Od4NusbdMAMh1Q+gPXvfmcj+kxaivd
a3XNLh/b1k3dJU2T5QzMNcwoOJT9//cM3cLDvxyHPZDOtGhF0jXilzbO4rM2Tp2yvD1Ux9F0d5BD
piMpU1mfItPehzUt4oEdnPPdMXY0lPOw4NP+5vmRj2fVksuxKdkdXwelsnbORX0SLXlIk+BhZMe6
eHSPoQOs8CaE29Yn3dnxvpvn5RIk9N2hce8hdHWScuNogM0eNXOl9RQXLpfx+djXd6c0zMVUJxCw
v6TtrB+Aev00Nu6YOCzdY+galjaBIWt7kY7I85ov/V04ymNQVLqH0QVuw7uhmtpL23XjSfPsMUin
uTo2L7t7d+vCcZ0pdLwXFbfbmRD7QU9CHGsqwuj099jCh3yB6H2fn3ozPgs5XLppOHaJ76F0jm9b
oxokUnKBkHm/9tDgl8kfIu9/xJU9ks4Ane/B8MMhms1QADVWagZF4WNzvjuhHiI9s1l0C9aScmXf
6GEs6unmg3Po+3ssXa4cOBdw4wDRavCkyGQ9PQybaI/xIOkeTbeyvu7TkeYnZT2ePd8ABfCHkf/d
qv2XeL7H0sXMRxCnavglcgE1D2GrEhCMGohtvodS0nBpk9zTIh2NSiqG7potx0UkBhKWmrnzuObh
WHkN/45vKk2IudQZbdNDHXj42fy+lyXcVzzNkrlq0206J/UC0d8ALjiHFm2v8EMtoV6KZa6oVRwo
i+U9KJXbwY/vjuFqR8jkpG6uXBr5QoRiKlNxMD7F5Pd5ScTKAjqaufIKEg12cX+FEz/GH6J72E3g
tRprSdeqAWL+BLV+XoYE9K1jk74/iYA+161BME01+T4r+k5xcoxSSfeICa5QsQ86Xqs2nMJi06Su
6hrQmUMj30NCt2CMIAKz3NpJ09JcWxpma8VnAQOQYz+w2+192y5wc+PpaZs4w23purUvOVys6Y9j
P7C7eaYFbkqm1mu1DlxXKovtSefxoWcPuseEon6ASQ5VaxXdROhsMkI2IE4Pgf3hN/n7htepiWcY
qqyVWaH0LWcYvwySHAOcwijv96/HfIU0w9qvFekiXVK4iBTo2H4/Num7DT+IDK7wtF4qQ+DfkQUB
2IRbHB5LsvaI0AbA5zAO6FINgHkVg5iaZ5nS5eOhse8BobHVGvZ5IyzrcjzBxcI3VeuSYxOzF6Br
JxsNQAUsFRRNyWuvNvGdhT49lpPv0aAelkfjsiJE9j0s6aBzDnmiuP6TBM/tSP7LpblX+ZKRGIkY
aHZmtUzMK19Vq86OETmd40njFjw0/3swVW1oHUcdAhoMWIOTIUlT9tt6DExF93pfmtfpsjB8vWn6
9pQBSVXmg/t5bOi7YCY6rADwjFOlN+3KVo3daVb1sVizB1PlOg4XlSRTZcRqzopnBH5RuT8WbPZg
KqdQbvjJTtXCvTxHs/jgoy45uKS7SOa5iv2AXk+lM56WSm5dCUjqMdg/XvV/j2R96tIlzWpdBSqY
Snie9QXV7phyExjQv3+9jmM5RR3TVbuMN8M3dfNCm4+pCsKz9vevr5FDyxmGV+eu6+FHFOrtYxf2
f9J6/4/yYo8Cq6m10QqwcpVMEfgotxivSfSnHuF/fX1X68LhBu1ql+fnOEDr3AQ/Btm/P3SQ9ugv
AVfXGgYXsM6bKSyojAfAb+Hb/PnY53fnNJIDHXw45edEqx4Y1m5j/BEGeH127Kzu5b70nK1InHR+
zuF11+XkXoYHL789+AtCXOPiCD4NM8DK3/AQ/TFAIt0jv2Cg0NY8HfOzv0kfCRvFZcwzWxyb9N0x
7UIY8Hk3xCeocN31k34N2TE1QVhD/36K4NqIkkmp+MQAf+j64DHu2zeHRv3/QL4gI8Qn2scnwlbY
GcZagnfNrVo/HPv+rmfc62js5Dqk53iI4BPq4zm+v1H1/qQneDuM/3Jp7/FcbSB0nNmanZUO5ju4
Uxr1PKdh01Tgqab1tVHe8qfF1/8fxfXf1cG//eitFf+PVm/qSN2bbpSoFDbbb2UkW0l0JQROnTzz
eoNx5QgnSFxhPR1xt2+dm/r0OkjNuDqjsO6EKqQXxl157YL6G6UWsLs+BKRVFLRz3toCBY8eHwWL
Mv1k5trCGngL4nQUxeRlE7RFSPOWwqBtSTWKooFh6WAhNw7NNz1xtUZFLNJWXakXkHs+ORT0aQOj
OWOnUjjabe8gIWdNWyQCHjyQ+XbtNvdFlK8Bi4vcQbtd3EVaMGjTK/QsYfgJXoFcMcA5HfoPmijk
jl3aZX8prfCfp3WMzYkB7kvhadsbURpjSXvxbt3YhHqZzv23AU3bdC22KQojWyQZa/iXvo1F/kM1
K5x4QOT0w6QKqH117vMNpAeXWuW2oodo1Fxa286ROKUgTtaVx5MNqQJSwyawzrDT8tIw6xJ1IsYn
4UOUGZaf22T1CrywcXB3kPHvy5Rpw2ADuMK4MmyppSVP2YgsLFPZKVMQwC22sWFjD/xmN/DmtOQo
sdISHZKtGTCysZ/SIiMsBW/EtJc6TpE2IpYwtd5jtQbeFlOGzK7Io0DC1FD15Ou4wHbTOr+lP9bW
O3rW05DABnYiGfvIR5Kmz3SpKX30Nc/W5iQ9OCrxObdrBEUEz9JVPoGhkWG9dNtqDK4Jfd6s5xCq
xsjGYKDrxZ1jdLPfx0y1A5yhDZrB1xQMJPhgb+k2u1L2MZzEmiy4yUDKVfY2AIvFA7QFBZ10NWvl
sJbDcCUJGmnkykQPJzzBRH5mgvflwDarJhSwLpjNLbM0MyyKZ1HZCTHqmQ3N2r3fNtL0GbbDQNZz
R5N5K4eGwwkafQcnT+hx8OxLttB+eMg3jyYQT8J1mwqrFzTzizxLUoIMalkopWWeUNq9iUQ2sTME
VsT20BMboasdLtBW83hmXkwD7lboZrYAyckgshbK9TuRATgzk0lj/S5NVASP0npOuu/og2QSh0bF
gznNXTLMz2ING/Ye8KxRnTuXgiaUD+GQ3PskIOIx4lb4n20vhxWMmSkY4ucRh5ZXveaOXLWKuvET
D1QWEoQ30bCkSFWc6+dwWUT0Pe7qOnNF3eSquVhrTHIfTm08fO4sc0kJzfsQbPTG0iiHtHPC5I96
sQ3MIMUosu8JZaP+BHa55yVel3B3gSoxuCeg+uYM//MQxD+GbjL+qoh27r3wYRSVmuMkwXkT2/yu
EcQ/L3nYnEMyZt1LNq0pq8Ks1fztKPjmXy04EiTASzR0A7LTTYmYXWe79P1fAi83/KFjI3WXYehk
fRlJHk0P65inpOxieLF/yRiJ85+RFfUzKOTBPZ6R/A+wQ1TR2aQ5NRAICk5b6zN7D5MH4+8gHkQ/
y7yN85OWYDq+SR2X/XPU1G10tUO7uioYebfd5W4K2SVlmwg/hawW9Vs+5o0utVsCaCJ2YT6Dh6IY
jPyMn5PpaQ79El6pZlp+gLNGPbysSZ7yc8jFkJ6WrTOInTbJJn4GfjqansbcsB8SmgA9bNjhuPPC
t3BCKOHDZiuWDMvUnEK8VpkH0UHg+Fw3qwZDJUhN855ncx5fldaaFUsdTOw753mny6afxdIVWR/V
IcyBYrpdZ6nm5bRYEganZe5JVPTSW/2FLjlGcErCJoKc4YZRtEEzw/57C+a+6m+SPAUE7bx4Hi2I
aVWiJ5jNh84y+J81PXQ5YQXBnpAuNb9qHOG07OTNMJopmwyf3Ah/RggcKQXJM1gge99e7QKW7HsH
f7qpLvi4pBvivdd2GIpuwTVtC3S8zfzDroYmH+GRMeFCEFCryd9KfOW2kHpZpwomjnjprHpLFFza
je6Ti4SdsKiMaSiMoJtoyfyD3eYGHcwN1k/5XVg75IhgsnF+nWGDFhR+atvgHUvERE48hvvsaQ5N
lJ9S5333cQo97e7M4m1+WdUA69DRkto9UrhrvYbR3LXv0EUmThStlEt+hmp8s9znAhXMs0MXIjvH
osV9t9R1MgLnHfPtUTVhJ2AmO0VLGespDcBbmOa6tWDP+Tl6u4RCgYzRx8vy2m5hSu4GPBl3zwOU
7lq4iLsYDjfQFS9GO+XRNaL5vLwk8xj030i7ZfKRSTpjj/VcSf6TysxjJyhIts3V0GStOeMv27oq
USKePzBheH0/N21HryDRMvm0TgSmWBXCkWQneBnR+peHVDI0zWfeJXfz0DYNsM0gMWGPZNBRuufd
4vSd7hQFZpgAQxxWs4brYWEW15N3+M3so4n4sn2VEI0HJz0nfIjLEfKLTRkgPtXlVuvtXUfYQu+y
XIPrkvQ9wKrKTFlQOr0u8HybBruBQGLSqMSDQsZfMdwkedmsa9q7oCcxXo7aWgTre6X80N8Duss9
sqLebz9wa8ywt57bMIze3F5qaFhSDlvuJw/7dDUjEntXX7MOSw+hWQZHsEeLgDy+wP0C/ujhwvPl
Do7ReXK7uTcOTYAG0zjPBWxyZRZCr67xa1OOrXXuDc03mRdwGsvYOY0V4lshqO2ml3CJsvGbn2YN
g3i5mC25upiG23OM3c8/d/MGjxj8kXSoXwRa4/ZtJjCJ955003bq6Zosd7j/A91gcokylfVpauHZ
K5bBYzGnxpyNFYH6kEZuUa8Gc2buxw4IvBe4G/O2jDs+zJ83nZLkiyKpy1QBhbCw15gpKpufPTRT
w1eo1sf5twHKK+LrKEdBUF9BEJGWqiNdeqfSZXbI33iYsaEYg9XhKpQbrg9ke5CMZUFi0tMMkYbB
ATaaBt+hKu/iMsSl3l39Oor36Yr9XYnQSla2m8f7i0r7+FNCgIsoqcvqDu7mW5zCsnBI1wvsdBNm
CrqFanzWfOSgHEeQ7zzrvJPDE1XaBrJgYGB964Zx2eDb28bmJepDeLh7vLPm7+Ost/xsJJxyXkfC
6edshsvLaY5rtAKyNljYs+t1nZ7DqbPkBe9PtH8rRTr7h6jrxwEBM8bZACweQLXsIiCiOj3VSuZ6
K7M4bl4dkC9BubFWmbeztyMI0eC9EltCxrAWZZpHrX4RM3pMBVeNHCvqwKuVZ1DUoiqrad+fprAm
WImWy+gpXvXNyZXNt+QnA9qXwwA+Mwk5qXUMo7UQfnOfukxCNanwCsS/9xrkNvqxmdnwOPUrMq6S
N11QRh1U4VyJ6G6K1DK6fCIrZA/uGmY17vt0C5GmUxB4YWTvaBws1xZDCN+sQw/bZpKw8SQcX/uL
2HDUvyThZM2ZpEJGcCaZIHkWxS3NTlQCiVnMNPLnHJeRXYopqbv5eQV0Ku9LxVQqH8Vcu5fM3QxQ
/eTpw5xlIqwyONhsuEaRcpwmHyPsW2mC5ipYnyzvV1lH5m0/rVGJtvRIvjpZW1PWlsd3SNdgaynA
ohnw6lZMW8fv+KIhrBGDV43LlpbeL7kuBpghsdMyheSuQT7wycJN+wEm6Gids7wb55JHhDXQbNUE
1u1xx+4z27ifMdg/3RPB0VEX380+fxoDMr2GFhKvKIHo8tiwjHjkTlE8vZpAA0m+bGnJQCN/Qgsd
ZG24i1KokYPJ++SmjHwYLFy0YQrNRKHUtjwYIfOXxkJB/ySwjctkWy0M1Ov2Lo7j/HFljbtvok1+
dY3p3uVUTmUbsjcymdSHpMv7vGhCPQN2skohxmIL29zORYNs150d7N3cHTOk+ciiTd8vncvyE7Yz
K5Vf/Xbupy65d4Avxh9skKXvGmmBWjiRpU+DuxqW6Ra29ti5GWjyjoc/26V2y4ckYcwVplVbBihn
ZKw7tTc9gKt0m4dsSjZFTsNZdxxngjqmpUN3apiJgnsTxSA0gz5tw/uJR3X+PAfbvJwNeP7hR88k
YWXuYrM8rLFOmq/IXNVYJQsJyJ1udRs/dpuRcGNteiMLG+kp+0hXqcOXkcK3vYJMg+shSTAzfh1g
XC6/BBxewl2ZuDZpT+Hc8aVYkxapaL6saVtOEjmKLWoawB/95iu/tj+2LKHjo9kG47/DlMoiHeJL
lmB3S5ytRBcdCENdBRWdmlymTLbdmy1C7V8NfUzVeUkRd06oaJr0Ot7gd9WYKkJfQKrpkgfgZ2l0
ivItya8RaFPbXy34AeplnZdMh6XLG8Pv53GmISsgKJLhRcp3RLo3KI1TgioYkE3/MM9yRlzgfWqj
J61wJN8JFKv2i0hEfo0HvErQWdn0SzRTEXxVeNNCmbwNCVwK0YTmJXYHkqWiXg2i+zyt28moZso+
MXD6l4+ZRWz/PM9jTrpTko4B7qu6TwLzjlnfbU0REJJSWNbXkyrzmkryPPtsc3/FoPvLn1MLNluV
dbD6e+sk33IIDiTD9AqP50RsVW+g7nrJ24AMrwynDBExpNOYITzxLUWzkPeg7991NOT2jgouQnWK
/YQUoJCMsQYy8APqD2R83Vg6o2+5CGxcFvumW6apsZdcNGL6KOdgMOehC5b8Os/5mmDFfG6n00jk
Zr6KPAEXiXGRz18XK0Zz1k2ogjIXa/TQjk3NyhFvj8uj67q4wZKkLciAM7rs5aTNiKR0ZJCT+bh6
qORCCGCsH4eGjBdbb9nbkRK3IDtIvNcvTkpZTPDTLEAKa1YKf7GsG87OZokrG1iQrldPZxRoPF/T
Yl7sEOhiWRc7v0kjm/K/DKxNssqLMOQnZm/3Kuzj4TFxVyPNfmwhzYVdRyNF7+sOnqYPunHDpzzD
JJzossSRLMIWr8wfZ+m7AFmqC4PL5rGvL8gDovR+wRXQfbOWtheUAFH+ZYDEecrLJG/C9q02CeeQ
hI4Ua9cCmyyhZYao6lDNBSDO+ZRH7XPW2dCXEw78BxElqpJ1y3octXq9H0J0MJ7Qr6DJa9ZvTNxb
M+Xf0Yn5jNRjIQyWKgwQ8AEeMeRtT5r6K/QsuvbUKATFtpvE07KEyMw8BEbsVaYZL7V3MBwBgj68
a9OJyqdxobN8mup1fli1HrpvcHBefgWjmOfTtgZYxnhLP4o1vj3uiAx3+xbbjwy5xHJq/IhcHbim
ZSukTdUZZOWcFZ22DXIDwBYMzO6yDf1aRMIZ/Z2le7YA9MMiMbt1ekD8nj4KJGMFSYBAv6KVns+P
dMzG4JWmAPEBFJT2jbka1jSLxKKsLpzB6K67ttpCmnVp1WWsfdOM8IavIhAFxr82Q4QpA47O1VfI
HcBBdkqyOa56ThzB1mzJu6lFPXJxfTcXpEMA1YVZJ7jYNWTlP7JEzeQjtSs3pVNzhGonjaXZis5k
MvjStlH9PbulJnfZBpb5B8f0r0XIJUa6m48RklkVi/UuhydIVuZsUr+GBEe2yGDZUcIWJIwrmcfZ
380/QT0mwWUV9C3rGKUMTNXPG0lt+lk3QQ7+cZvX6AwGuYIy0qwhxXFCUqLsfcKG4YeUG40Q52Le
9R+h1JZ3JZm4pXfdErufKJ0b/zBJUv9SXPo8gUG3M+RRcRuPH4I6ZMmvCJYZyU+Ulhydka5JHvNh
EogdIXclaaLRvk55nWpQjfC2FDesCV/bgDF0s5F6hA+JhaDoOTcTI6dt8SGtDDOzKaRat3fQRI7i
T3rKzZsgiOdPWZ1GH/DcvvjLUINvcRcMKIw3qTZTsTiDoK/vjP6EORcPfSQAa2MdHLKhcRIP14Hn
+Vgmule20EEtPoOpuxVjAp6M1rFlD9Omg9eU2e2J5Z5n56GGxEglE7ddRthKXCItw2sMH2PEvJ7O
H3neJO5FNwPYw8ZA76dIxrVe3tkVEq9focGB4mx2Nuaf0RqmacGMwzwQ23UICzmN6ICMIwX/OAuX
D3xjSBIpWglNgyyjSwLIw6Y+OE2AwSdVkjXom1j4n8OnJJ18eyE61B8hv96JtyQbQALf4MDwtsVA
CtqaSK8lwrZbbDGhN0ZftOBpXFKN4XwYhtoO526sO16SONX2+w3reh16qdTDlqZe4jdEML8VUWzl
C21Si4TNtfScZToY7gChTO0btKL7CmGi789TknTziXAjI8Dl4NxaDTZEEIEOzD3WAu2IWieDRrlt
AVo2zi1v54B3puyTNZL3QWCUv0B+zP8MEtgmFRLWkA+NHzYcnzrDdAgbViKP13IcF3tPhwgJJ2/7
B6d58hbo5REMAeg7os8BoQYap/XnwANOfs7AkHEf0GfaDC6iOYx+LtnUkBQeOMKjPTDLVffXHi8U
7Vfux1mVWCkQ3jPBkZkjYkqjSj7WGvrlEC/KnyCRlqVlbpler9sQ/x/OzrQ5bmNJ13/F4c+DcwuF
pYCJORNxAXQ3lyZFSpRM6wtClEjs+45ffx+0z8yYLVm84/DxCUtkd6OBqqzMfJdsGFfP3Gxml4aj
7SSeZmF7uJ9cY9uEWjpGEdMVGyomgk8WpGvnTpc9ogzXk9Xc52xj8K7ngbMzvKzbXkTBiKO2gIlZ
SFP/VJlkaME4uW3sK3O00fr09pJ9SmycXgKB33zymNPQML2iHOL4o5hXokekabZ+ZSu9sPzClbkM
Krpho1+VI60tD13eHAUpOi7xzqyb1rlnIEgyegsu0PVuWEKr8ha5mmQwbq33X7WWqQqehdTDvWeW
zagO8VJP6qvNl5p+60hQ7aPV6bnyzVxl8i6PJoFpck1RECddUbxfEPBne5l2olg8C7H9SAMzLteI
Qr2n5cCinkkKmWseNgyjdrvwJq5Esl7qppjLG7emT+vZtTHhl17H7bOwjCS+lWtYQgUJRVZeDM6o
yTskaspmT7XGOoH/lEu9Z37j1O4hF9WFD6piDU/lVHQaAxLX3rnUctopjyIvtidkU/gEeuvWKbo/
CrDidqB/mPnoK/pu8PAc0uW1sKVFcWn1WnmRwLMYnya5uF0Q2nbYHybi9RS0Vl1nu9wwnCaQTKTp
M69piyXeUw3m7nVoYr8G+TLfxoMxLa0K0jhx56uwF8rx0YlErhXgxCDYUElYgGcDhVbRlT3OxkrO
0tfmBU2CCrS+Ibfz6MPqmYc2b02DhmWQ78150JtnlVhZrlE76GZveJGBiclLnRU5eq4MhKznMC3I
E01fy1v3YMtaLvNlpjuG8wnP6KI/TpT2c80XT8zUJAeZjeqdpZJ8/k3j27iaF+u9UQ37zc2agnR0
1tG8HbYK+jrUqmwm+YIvi8HUEkbRu6XQO4qVdjBsNriZ0bNSPliLRbUqusItvyYL1TV0qkUV4rnt
R60hGVAWBVPVI7cdmVZTtVedWw3OO4vgEZEqOun6LYtBIz6n6VRlezMyS23i7tZGybBku03uTdJ9
9rJ0lWnta1Kj5jmuTWtyvF53cWuelDk4Dzr9uYTxL/T/+ye3NYfsU60NlXZXRQA+9+NWqOJYsDi5
9NXY4GuMbK5u88u4APdikZi1sW8VhY+9Y47i0FwjSo2syV/BkCoq3aRViQqEZffO9VSDJB3Jrh37
SFpkdh/KPM3aKxUZU3WpDQwz/2wIEQrf3nK2/VAV2uDlSk7asRIYPN1rQzckxDhs6H2XzLjcLUPh
tLdJ1yN0KSyhxoc1h0XmO6ID5EmMvMRipo20/qtjd3X4YEwdwb9kvkE6rlfaynxtUlZ8DfPLqY6M
hXyKGdS+ruZ+uFiq0jUuWrrs0yHP7FV8oqtoWVdJBhLo16KAALBDuilaJ2BtrvS2to6atm9aKQff
sItU89hzN3bdLSZYo4U9xl7oUKubfaLp4D12CcSzeDkj1hxvaebaCtpYWeZFPw/uelGbsyZKLN3k
NLj09CJmpVWDq6dHS2+77pPV4ar+rCJzKI4ktona51Y8uB+mCWgmyCMnjVAnQk69S8oyt6/DKC+z
D5PDjblepJN1V2JgpM7NyLVKRo4vq3WXDqqIrua0dbOPFHpJOPpiIFtugrRyCtrWJh5tifAHNnOt
+Xh/2EsdgAMqx91nUIM3C2P1Ow6GotN918UAs9gVQEHdcEkC1nJje5XW7R3ndEnjGTIOUBq5m7t8
MLjtiKtcK87Wj6An4bwf2cl7d13VkSLa1q6lFrokdrbAvU5uMJ4jDyK17fqQpaqxjmteIXLV5VL1
v0/J4GJakQ1Yh+z7qJ6X2NMn21JgnBLSlWg6Z/RtGhvd52LEsv6uwnahk/vN6lWnpzFbTF932tUd
U98tpikLlqLdJsr1nX1rtaFZXpqIy6eLpqwHI4jGpS6PssOnhhapAG+tllYN+4Qmvu5pna5rezDK
PglyJ3IpO+umq8mQjCIxvsyKMe/X4Rql83ssGcye3nsctus3o7SM6KnOKpFfCgOp46Wg69vcINBu
+4ccS2pym9Iy56Nuat3ysjRWWh+XJdI6GnyzdPzVJR3x6C8PYCtJ10H2a3rzZhBFN/n9wuDQy5ZL
SINhlTLz4cbbYOamuTEaR2fvQia9zUcmA38UUxZ1N22/6uWVYuzduj1tFaJ1cPuF0e2dMtMn2nya
EaSWo9UdZq3UM35XstqLHZl1xgFJIN3K/Kmtp3eu1o6Gv2ia3rJZnKZFLlFb2x10a9pVZBKt5b7r
1JhrKLsTlXwbtvPxmxpQqmNvYEWXTeUuuieId/kHo21lz96LrKLpvdrpEPrTYmJQlIpFIgJDWhr0
GiNqwlsZq37aE0bxQhzzMhmf+3Su52O1qsL6rZ0H26R4adLhalnUOv/mqKIe320ejsZFVwyhV2B2
03hko9HWLK/nkTMXAPPOWRZXXXUxSoNbgJICDwZy45XWVpPRtbIYXGla/ReEq43jISyS026264yu
XdvE76FJ6GREI0OZ36cwGzkXmbGBd6M7OqH7SdXChdxbCvCs8VCGbVP1XoLez/QqBx6B4YN9t8Mz
jaSI5i0NG9F/oVuxJppn96SvqWcRZXt6iHmF2sPDpJ66cz8jD2U4UDmbdvw7CutlaL1hYohNcyjG
3kpSf2rwDycPFfZs6UFrxFA5gn/r2h57Xs1yDiBVRu8LGEGdpzl9E/oYJRsfDV6tXY9THNWXbrz1
fiPK77neYqYZvqtk1+7oFqwDvFYt1C7/LRxmMS+dmV9g1D3PgbDTavDWJbbeAViVQ2CHiL//HoPp
3FnIXsyyqMou3wn3MTUf7PHv8ZnPDYWs3BiBa3hfI3nv0LRIrL8poTkfOldheOiGiVJ7jklBE8kd
xU1HtO7e0PD+hWEVkMFrpg+tMNnDSAOZ0Nh/TVwl/XUxaRU2gl1b03CSY8pYAOU28m7uaN1SYKWa
8Ctt5jn9nEK1sYp+xDY6I5ZFQDRzorVqXzHNNA8SdAQ3kAcbn3wN+BEszrn8+Sf9FZnqjGfWNh1L
DU7xHkOARn3olyocgjoizw0mTibcSXEkyclK56V84w7/Bcny3J0ohR/GaSKtve0wk6PHdmbX0Gt+
4wv91bufsc9qJvp1KnYtmCPFU9bqnyanDv+edESc0UNJ05uijkJrvzD2w4vb5TIZcuNvvvkZw6zX
9b6sBtva04PeAaQmXqjTefz5Y/6ru3JGDw3nMektN7H3kdA6zvQx9PSY0//vvfv2qX8ix8msNmAH
cV/kWuDN27tMmVyrDz9/879YocJ4/eZ2qxdTPacsl1i58ltHT2nyhb1I5go5sqi9eoCNfYGuxKr/
1ng+49wRJnaiSWEjZO0Zh2r9ZjZtd5vqtFd//oVOwfUHu/vcD0ali0FbKDL3hePGdKDdcpkAV/jn
edF7+5NJ5s3flKZe2oekTh/SNXnQWWnWRdglQ0ytEsU7pjN+m0eD0c1er0jJ/ri6//N1/vfoubr7
4zq6//wP/vy1qin2o7g/++N/PlQF//uP7TX//TuvX/Gfh+fq9kvx3J3/0qvX8L7/+tzgS//l1R92
5OX9cj88t8v7527I+9P7c4Xbb/7//vCX59O7PCz18z9//fKtSMqAoqdNvva//utHl9/++SuQr66b
LJ//Hiq7fca/fmH7Ev/89f+W374UX8pfvpTffrlNvlZPX9pf4Orwx+6H7/T8pev/+atr/MMlaXBR
cAlD6XAYfv1lej79RP5DCtuwlelCDbTUNpmpZBpq/M9fdeMf/A3uuTa4ohJw1H/9pauG7Uf2P6hx
QPsdpVtS8Bv6r/91V149t/95jr+UQ3FXJWXf8cavN45ybKErwZXpXJmAXXl2mAArAaMlMwOFpoK2
qFU8lbWT7QylOo8Uu95Xa/7S20lNppw9VTr8brfSdL8ZhbckFcROp6TbMU8WIHDyaYQB6P/pJv/r
kl9d4nbK/M9OOF2ig20U5iGKO2KdO1QZIwpzPWPeiVOEs0eJK3ccRyA3sXscm+YLlKpbuxuCLkIs
ltnNWwPhzw77/7oAE+ctbpVyz9WzMtNrZ6LJiwEXF2Cs8+hDhDPoqoa7uKmlP4Rh6KFPvxriZvBS
/U3R2haBz2+B7WzWr5awYXKcySY6M5FtXuQ0wxieCItUPTDe+TZpyrfUMNsbff9BjFlHyuy68lyM
ZK9h10PzaLByHauLPoJIpfr6sWoKuP0LsA9+WJXfbC30cZpcX4WiPGqzvLdKvTzSmtV2oLfhFxp0
066dpXiP0m70t31xAONrL4eyWvAGNLOdRgXvZRm8Esumam1ht6EXjdZ9OMi7RoMoFofcyKWxf+/C
7hIinhOYSRNeRaXmAHrWy6GzVoD88ONKNgKRY32odMei2zXNt3OXvehQ5XbdmD+Vp5IfT/jVcZ/H
uHhvrOq3n6/SLXN4fePYEkApQrdNYX432E6tpcijpMEq1QidHQnR7/A8aX23vR9KCdknjly6UKP7
Rg4ttw36+oNNC62ScpQhT2GEn//peC1qV9Wdi3+b08X5zunz9FLBM7uQ9O+CyABxS9RKq7eV1nWx
sKHLDlaickoeaA5bOo+j/QB30QdaZknrMgtAZxxMsablAEus9x1XmtSy8Lp2P79nJ4HF2bXDVlcQ
eAUYnjpP9gQtCBAQrOFcXZZBQ1f4Oooz1Jkj/EJAk12mepAHRKG39excjgaE0Cy6GugIe2FhX/4R
gMx5X1lHGy6YB4+I4ljjSyuoBB70u8SnSfr159f9/bM2aadL25IEJItxsK9veS8T2gsjl804NtxL
GE/pOThh/HGjW7t2/WboXV8zc/nW/vz+YUOfla4NjqYLyKqvP3mQRUi3C4vEkMLUHwfX8dyk/9+N
2d3inWkbUncRrW6zbs9nEpXQjwytyXPa+qo8qLbJrtowfnrjJp6M88+fvgkxGHqCDix/rgWrilYp
urb5oZL5S8hQuI015pZeBJQGPMomd7WJs2WEnVbqa3ZVWPmLHpnrfb1CmgTf4NxZXAZIjq5fUEjv
gDLFRU4htoefK/2W/oFvlM6DZmsA5La6lfPSYrY0OEE2D6k36rm714ARdknOqGzmDR3ETHyzdKzQ
IFfDIkn4NWbq6EehuLR0yAXbg9cD9NCVXLXZkyv/1cyzdpFGqAFqmUA+ZXoRDILa3EvZfZp7B1C4
nuBt9BDO1+TJSo37ol7Dq7BOYSca6Usrh+qiG2KXZk15oc0uXURmbe/zKnlpoxBMpCLmNoaiZzdi
uu/orO8y6qQ/1vmTPbIG4Zp/bNZ6hVjnPsQsDhidGddt3JeJq11M8Sh3huwf9ZLdPm3Re1my7rd6
tjrm5NGonedSYuPEhzEq2vyii4WwDLksyKfkqYtmeGVNI/3Izhs/kdbnsqVNGw2FfA+5keQhWTmI
V1vbqTx9oYLovDHqnaBgCKoX9f17rKme7YzTk0ErxwjuOxABgXsaANMyDpAgpbT1i1Z7VLCoAjNs
Xd+NobNZjhH6g9nFe2IZ3DcreTJMHgdQQOJrHSdwvgBpFGZxtPL6Q6q7DyB3Bduw7YMsdOIDyY/B
wcJ0jNzg0ZRd+95mPLpX1MM7EowDlICnVkAv7QYYMJrKu527aTuKhWDZNqntOxhPN03+UtL/xN18
vG768XotspeceTGHmUo5iDB59boJCvRk3CBGxGyrHJ1ACnWLfzmCRJAcOtVmFkiAjSCsWefVdmQu
FfkVasUaBk32okUaK5YnyzCQFwtZnZ+Jxvo0bjTyMtoGYEOTDeYweqnoIEMuJlrT9nQCLa6Os+pS
Dx4N1Nm1eDKqIn9HUxzcYNScDx02OmsaP9mGqC7iRbTXdqgeRJ/zHUlPj3Y6kFttD4bM4LazW2ih
OofHae0uE8tG1C4UpTCnfxgnT05IzmhFxr3h5O6hX/InIFuGULHC9Z6tcVq47UZ6Dst5r2ZQCYgr
B9rrD7VLIhM3IvtjCxSsMF037kncuwDGKivSrNebcuZhDcmWbWi8X1VsTLaYFYQ6An6jYLvUTNb1
pBzj4yQ0badPYeLXDou26pOn04VzuWQxQ7nuU40zzXX53tIaut8GqDx7LDeJ1/XMVlNxfVNBCdgl
yJR8tcBfXxt1qdsz11QgiUh62BCQ3o7VhJwmzcJ0P/dh6RUEMI3Z5J6rLF7D92DpZn884EJY9zJv
HmEOOJ49py+NzVWHTfp0CheDyl56rIE9ZyQSlGnEB3Q2bCU47H5tL6kHOb2j28hNpBggH1rJp8iS
lTda+gWM9/SYV04WZA1RiUCV7ey1frRkdTydTgg9mAUTcQcs3QyvpJ2+LCIM7ySkp4IkyU9srLKg
9dd7/B8D4um3MieYGJKVC3zTeV2XfMSSipCn8b4jsTazK27IbB1alT/15FdbOKMbSsjL7dtTUBos
wgs15WM6c23JYN/Kyl4vmty6p97BexrSnccsnSc0mKnvMBXJY67pv6qJeEtY7MTQdtuxY1fq9vQN
pyV72bZEk1j321GgbHnf11zY6RnU0r1NsIL1BAgwGoUjM7QtXy+3ZVMCP4USIlSlt48iNfWj1aao
WaJ8164sFUaOLH9EOsckmCBqf6gWi4hqr9qOaDK9gxHW72aN/Qt9RO4mbeVVjqld5LBor/rt6cwa
K89aq+MaQTmkDcdf1et8dYrECQ3PILGjPJggL7GDSbOW1XlQed2sHq+wuRJn3nczP3U6HsCQDDWI
yLDutaxIbitXZIFj1Rw/HRGBNczbb+cKA71chvqSPGe2da+34W6Js+VgMLXIyxZu5LbC5pXfpBlw
bxFp9iNAOZMGWXStS+BBhNh5xUj0cUYejeGSUGxPt0vbx6RkhzP1UPpUQSWsF96wGakKTvE336Jj
2MTlocx0A0ZRVV00adfvtjOudfmAKGZVWwMbSK3Z0ba5agk25tPnQ7S3pcNDkua7YYJXpoX58hFy
RHWhQH89Ax2qJzCMOK2Vsi+eUid+QULwEIp04cBoQYFGbvV22oQucTHr2QIhDig3s2K6kq3ZwmPy
ufTMvs0YOwRjDnJHs8eWHKYBSN3tBJEksDAz8U1LwX9p4ou8rjjwlr65JUo214kZ95fmBObSWbSv
ZiOeAxRNwHnD5Oyqyg2DFMDIq8Cyoa6iXLto6zV6whsRkMCAjr2HejN6PSL6A+IjUo05eama6hFr
qn7PfMPiK/Nz1g9GntbXoszmIKr7D9CCowN1ThIAj+mPwtRhMhVLSUZsJAFUlDAwjFVcwF3fWytl
0lhFW2pQj9Vla8XqTh8gAE0Q83yTqSushKa6dLYCLqNd7DVre2vosblX5qxfMQXxadDyOUiVhASQ
IS6Q09rt4dis12vLdgKWf3K2Mq9SdRZAMeT/HMAyy5piWGkIAejhZ8Fcpok/bXYfOKsJHxQGqWse
meQo0PbiIuPkXbhjo2yf8Y7Qdv0Ig1dvyhw5UN3vpDIv4buhBiuUB/dk9UBfJyBYvHMzh2nntd6m
fpKaIR+f8mY9b2bqA++9ltAhdX3Yt4N1lVfj5wjWyXPWt/FF0ThhMM0h6La0vzILZZdGy9dhJnnW
9JigpYnOrzB/97Smz31WA3KajBarrUNMgCgmBTVcYnsyMS40BmL4Rgf7aIzMgOT5TpsynwlppIli
2Ef00nZOxDON4httaq/BNCsW4fRRF9NVy6wLz0loS7qu9lzbLD41yWwnZ10i89G+WD1RN210A06Q
eR9lKWqPVhxbzciCMiJk4qELcplgStoksQi6uWDXbpXPmqFEEythKRmSF32u3H0ckz/pIZGmKuPl
o9Gb4NRKrows4wQySzt8wRe08qXu5J/KBoTVXMXjKAkVmt49lvhDeUXWtF+jFUiJk3jYrbbqD1lF
EhzPzbqfsk2QQw2XeakGde4Ux00tOxqCcy4iOAjdwlhmrNBs1S2v2ip6C/5OoAy2KfAnFsFCvzdm
p4XjlWR+W7BuUZWCrUTuwZymJ3cckHiU433ssGJCt4DAXzKmDLbWy3adoyPudboPh87WKQs5rT2X
NBv3yid4Zo8iG8iRLXHfIbXyoNSwQpFpX+l6zFxIoQA0VHRX5tOxXvTPFJDNXoxWe90J2X4ctOz3
lDMN3tqhgddzNbUENQh72Q3UW20Hy8ihRduTXW/hdO2L9SYbOPFGp4drZDkPRpI91UtxJMGY71Yc
zsgCjZu6Ja/RdPeop4lN3egkfi+nBOFO8cEF8sRGaN33Mue7wjtHkpTGdwIt2O+J4N6XpMk7PVOX
uckKq3NWw6A5FQkW97TIJ+6zqZxPlVG21+jCp4ei0QQyZZab3JpXSbT4U5bF/uIQ10KYfrusiWcm
rRhyQIKxBemCaoVpU+TeXb/yZckx5cqQnDLBPr9qq4s80pnKPHSXupu+lFr8AoHosW05h7rSukX1
J4LTid7PFGFbutNsazVimdxCeKLKIyeguJa71Fi0HTp2xzO3M7NcKjQFW9WyzjSIFHrAYIjax6rg
6BmnYXoXQbCEjCJ42OU2gQOC2tVCZ9JzRT6/y+w+e98MY+IXQt9pkAf9GciH+R+G3J1OubavymPC
nE0fto8TRI6rH3FIJ+ozuM+bY2P9XBgqhjk/uz5di5EOyGAhbkZUNmisJncJwy/51PEubfEiViGe
inAsjzmn3mn1U2/uIHIkVxSrLzQh+Fa5/R7S8sF25X0ZcUx2ISdXWmvPW6PKMtfmYojc8cZqeCJL
tp2BEesTxfTod+RQBIWovm/dsuAwc2sUMhq8XBHfLglhjGZktisUeo3M6q+0YU2IuDU0lnXdmQ0f
v0CqQJ9LggVr+F3ejqg2TLyktHjSAzfmGGa1c8QxodIfS/P+dPa6M/s0NsOHnxf+1gb4nNf9NjJg
oUtlC3HuSDqmI3rZdMEmuqToBLkEde/7x6amKZiKYt2vmp7xLXjKMCPXPRJWOGVZ/clqfnOa+gGt
MmqnmEJ3SzMGJbSdrdRDNkZ3gsmLvlGgl8GlaQjiCYZQPY13dgHhQzo9CXAffTw1Mk81ktIlMpoi
frHnfvShUiIsX8tg0nr9KGFFXtn1XBxnTSehG7ekVFED9camVYHYSH0Net1pAj3aVoThT+28H5xv
qYYzZIlgA3bzlgXGSeXZ1LyBFTkhjDr9rdGH+vctchABA6CAcUV0Bc7djNI8QcbGTjmEHTWlw7iv
q26gI2GjV7eLzPqEvTSBlz6+nw1sNx0y/RuA1Q+aYo4LmGGbyFw3NOF1awqX+sZKZDYcUtWZXifX
+AJJHaeQ3ZhepuE7Fduj8Mc8MYKfL6gT6H62oCjfXQcomoBBL+n1R7Oz9SHJ4B6hXRs9uFAqSOGQ
vU8mexOr1PXnQaQ4YogVr38rvauwwP7g1rD1jVl//PnFfI+nmDwBpSss6DHtPR/zMshB1HGFm7u5
BYGtYWD2bGnVzT2aAfM+iYiuP//I73v2Jv1RS5nAEwIH/7Ovb5S9oNwMh0MXGs4ub6D+NxH/he3P
w9y1I1wpbQrKqc0vkmj83806PDULwQm4ANfh6QNlvb75BTfV6EutPzQOyVhGQ8dnZMBbblQ/uK10
mdE3Wg59z+9gKk5TaYGSwfdFTOoPeL0GbTp/1pbuFlr970ufJ2/BTj8IU65huSxcV+rgPmdfDE+P
iLSk6JnMnnbXYU/DPOnN9pKQQCtnch5ijk+vFnTPUCs+FXO+HMZZrz3I54Ofj8m3Nf/08yf9mvHx
x70GR7QtwWKnCXwG1NcQcxNX1OyxLP1cQQV7/iP5zVJyvHxu3kC4zzDo7fMsi2UMX5gJsxsQ+frZ
DlJpdlhm3cFJ1C3ETfyGNavcVaGZ+IKs2dNH+4uZpx8hfF7mQn1sE1tDizjdDDKDWA+ra7WS9S2j
2K2//nq/W5YrLYulzta2T5DInyAPw8FtLlJRdygwqvBVTvJsN4SaQZQcmVJeDlVzjGmS/cbIlnrf
VTwipIe0dLXqUYc25WH8hn6tltJjGNZCkmHcTnrfen2afrW7C6sXc4D29X7t1aXRGfeSHGeIoHXg
SZPutD7axYpOjYIX4/cldNINdcxsgehe5KlvFlipdsZWWwtcQPKwLJibpxXcGlpZG2x3OthSPLku
f75C5Pf3ZkOSLRr4tus69jme6+rjjJ8u472ZBzWjoWwiX/URAoqpoC+mmt5fYgMdKL7UXj+O4vQ1
aa1C1W8qEkJFqzbkpFtRel3VYmDgEDzJ3bjlzfgGrfsOluUNLQnsfRw6oVHxZjzTv4e0lIU7CnNM
LBtQ+pzUQS+DON+SbJKUdsjdsUWkpwbnQbWPg0SMgLHO0XFhqerwWj0tT/btJN4aPPA95qos12V5
SZB7oc4tcot0hWWoouYAP+JKTtwYyUpIytF+I37L7yMN0KHuuAqEV0l1HmlAQUJkkPg9hSVdwZS8
R1+ydd+ovnzJ144OBz66PgYpVEWbM2SZtVzMwHjnsBijYKrjJ0kJn0zgTahb6QVSAnJ/M1wmeE1J
8U5/+9gaYPNGThsONo72Bpb3o4cGgAcAaimixnfIcUnlKvU1ZpJxV+iBzE08j8q59ouOrHMuZjT2
0/Btq5eWjPbT0MQv2H69EbG+D5AKWgR4oiExkv7umMjl0Cn8LuoDLi3PBlIan9vAh+Wt9KflrU+T
36ddCuWicjcJnY4Y4/zkrbA1QQCCfpaEap/V1RJssOTaSfwB9MiigUtCvfaAHNIxo3eYYTxWc5Xd
2AXJvSmgLjv6cpObzXoxUnh7Gb5XHi4VAvVSN96kxvSGQd/35yhXbG1AsbKJ6OdEghZ5WdHNbC2l
Lcmh6uo+0DI6EIOgfqKVLYJR5G+Alj9I+Pk0VoRwyVAt63wnwcl0pgpvokOY0thsKsOkEJ/lMUXN
dBEXPf3UCCK8ng2XHe2pa9egUbn1DOm3a7tCViJguqzLOEQKkh4/Ghqhhn5Fa0XfN2SztUGJGduU
3YbVP8qVfOvUEyl1CifI884egRzRLLHo127wiymH5D6jovKLyogvzFWZhyhD/pCExse8wUNA1wD1
at12vBXQYR/jEuibIdYz1oZQQjW7nyf6JCdso8pN4YG5fd0qYTvp+bgZTxM9/GxoMz4pdTft1/VN
htgPw4ZtmBB4wIQFnI3Xp3PtrEncmoSNaOnju6wAxtQpX/bSMnuPxnLFGUiRm7jyibY53WyLB11O
jROgGsx3pd1OENXpEZ1ifSEnoNElwXzK7NBa9L38/QRtmjXadBe09qoA7r6NUx7Czw+t7xNYh/hK
8grjREjEWq+/SBuZQLCt6g6l4jAesNALCrVtCTMer6PWRdburMXvJmJP+N5j9saZefKAf51POIga
LQPOC3Qo/Zzf4zpz5k4z8w1FDopWyXa+0zP6/U5OJ9xoXPNTWVuFn8DqvmR+mggykxNy1uhjM/WK
ujHDknIQqkC8zDLl7AJRUgBAMKg/C324ypbqUetovp7wB1obukafL8T6J8Zt8dGqNzTAosme0pQ8
iGLr8SG+B0irk/u2mcxPIrcCyO3HdsTEwbJXWKYb56WI3Bf+BfTINfFsdml+YBrwckCFI9/Ih3+Q
WaCwd3RHd12TU9neTrE/ZV0402RlOsXVoQGkOAEEhblBwjqIUJ2wDdc+n7woWy9nkYmTHsEPk0+A
B/XlCYZZxQBxqnVh4U/iPt/iW2M/mPAXwcXr30sQ/SBawCIUssDDz5fY93HPkTYZBfteUKae10gD
DmFdQePloDnmgcFC4CaEimyhKj51o5CKvBH1vkueFWuK/JSizCSTEecDjGIde5U2oxKktV17S90r
L9mQ+xMW050e7wAoNBJfYHJAGhk2GHDs0T0Y1Tzs2qbNdhZkFoyciDk/vx/nB+Xp4izyWvbbxhra
fv6nh2kvTppqGdOVkrjBO6LlGlDOggIAlzFt5S3T9R983LbFYSoZOsXEd8cOMpoOIDI7TNa2alVx
xD2AiNSxdqgd36qInfMsWBHjiCgwOiGy6VSOr79e3I6gjW0SH+I4Rn+ejCaxsMV033T3QE1u7E1M
0NwlDBYPDNLQC1SH4QUapPLWrEz122QW7l06Dhe2MbyDTz/v0GzZnjmNzW5ijwZ0V7rr3KnLgzst
tlf3ZXIsjdSFrVKAbq59ue8S3pwpCPaGXd9jYpFe4vWvY4LRIU6uZBEgT60vqGHM2EdBMAVmZKW+
MOLxcg6nPR3JZtdGjXkoZGRcweXQQFSydx3CFJ+yzcAwAhmuqbfJ0W60FKe+LHpXUifv11EbA9x9
nWCI+UEstSd9Y9vpUzPcLyRq+yIP00DFVGrogEfahpakI4hvoJeAUwclaswrCKoWPLDMTQO7aEom
AZrJ1YC54ATToszokoXGwVCNc+EmXAMefJvS+EPdm++iGNNEje7wtWNrOG5pq/55QAR9QEVuvbHR
zsYgQnyTDkmYhERLVBLU668fths1ravlnPIwKJyLU91j5LBGyg5bhJZcKpWFeFc3DQOV6wnJ+7qY
O1lvD7DKzMBpe+x/0oG8XrXq/1F3ZruRI9mW/ZX+ARY4GslXd9JHudw1K+KFUAyicTTO09f3YlR1
V2bkRSUu0Gjg1lMhIySXGDSzY+fsvXYaJLn8npsp1nakhxtOBkFLabBDQGdp4LFBBnbZlDuGCPZ2
7UrsPGvRnmc12nf++u1T1V07aT47LmqTcRIoSZzeCvumKA9Ynr2/aTj9fnlA9seCYgVTx7DR/B79
y85pOBbOqp1sln0j5w0tor/ZLH7fPH99hMuDdnxdGM7vmc7cwhwaAUC7iymtAjXQfh2agWtGtSAG
6ayaZ6P93a3o96KAD2XvtCluuE+wbfy2Q8UarHohcbnUyq1Dhl+Y3xZiaIY4MxAMMNLTIIkeFZyu
rd39dx0+q5yScw6dHwU8/VQ6Ln9+q+a6yIe0AFTci0pjLk/sKwb2JUjT9QNxWR0rv/P27HbPtB2y
fW6L4eU/b9K/FHB/LEx+/Qy0yE3uMoh+V4H4H3dplk3jmo0mdgCqiAaY6/ZQ2FbDRVxvl00zAMFJ
Cr39mPQluudB2vdqQnUKxsV70jJ3WbkeDYZOO931hP+9663Jo6xbqjtZ7YpMNo8w8tqj07j8Op10
72oitu/caqxfzRhVwmYqjWQ/+t3NcmNMLYOW/03x5axttD/9jhSwtEyFBWqeZtvvYsqZPBS75gjd
9ayqOyBm006vYtyxgxpOv34Jv5f5TR9j966V/AGDx2jrL/oS5AbakYUSLLDoRUARjOKDH0svcAEN
sa719jgt5meFFuOADRsJGbzRIImth8wsLOzJyXBaFtke8lo0KAAWby8md2Cq3YaakwKqWkQd5gI/
IJeQdcZearuiMpeA0LNNXMlpl+GRup/4yl0FpGQjZbzCDbD+RmN+g7D8ujSpxSbUn5yx54e19XwT
13IAY+Z275oqf/znV+ZXnsPvj5MmPJpKl1bwX4J9Kh//28K9aQdwiN5JT0KAmw53STw+AQyPtlZv
G7ulM+xNIuZoC9gQwZFTkUYO73ejJXSvgFcZ29xnmaXwIc51Fusf5NS4jJf95cx3EXfDgJsN+HQJ
iBHGDQ9d7DH1fl/SCp5BGulbvUOy53StvatN2MSYo5utJtRrn8/9Dmzic0FDOsiW5u8qG/svu5Vt
cOdmxVqOxwL+3QOY4ighCzZ3dsbA4e3hUfhqwkNcwZu8Am3vmUTjeN2+GydtZ5GhgBCnloAFO+8w
Q0yBvhD1myJXxUsSr/KOhGWXAZSFpeaAbDIx65/YDgGxII4L9IZ3ZO5UCivQS7e97hnh3PR7DNXQ
MU37aRysd1sD8ILx9SmSyQ/uOv2mYj51LjrNBcgL/oJwDu+GU98MZe7VIfwEruOlrMgCm7q9oDew
txn57RhM8qIPfOTk59bf9HD+UqWtd0kD6oG/7n1/KQrnKZHMKHl3htz5xG3g3da10sC43Y5GPPxN
G/dXROVvryoJQijU6OQCW/hdzFxgpjf1vmOHRU4VpMyh3xGWyXO1lMZWX4ppZ+lRei9FJ88mTvMN
02XMbyMPHU4mFTwm+C3TxLfBj+7GWFyixWl3BiqfSZzmOFVBPbOuhxTJK393W1ETBprPe4kLOArM
kdVM2f6p2np5MOE/7Yx6GX4Sa98eeos1AO2ivEtbXYTYmuOdRBL/Mg5588jAn/RK6DYPoLeXrW2i
01hx0aElljrEXD5cEHP5RyayDx3+mIOfzewci99fClG6ECEVxBOdbbmtiGht1x+HiWm+FuLDi4M9
PWgHjhlNkpi3dUw33UHSZBV2Wnpv6gpnMmiFr1bk5khkSNi5k1JpO5+E7207xFAWeJAb6RoilPSC
qEBZEH8Xg/dfvC28JPRiVj36ekr++XBqhcgz2Jli5zWIclL4krumcjiclK0C12FB/Oet7a+fx1QR
RTolFhd15/dbOuRxlMELvjuYRBQgFasB2Zx/RHPkHeTi1H+zGoy/FpZc2yAXc+NFpu66/m8liIe8
rTZjrHjomCxCkVCGGgaEDtLzun256PI8+XYSxq3YVapvwGGwXYistkJVsPjdsWQUMLowdbk5b/2e
g0rHpx7oym4QJRjdvqr5VRKhmseiZbt2yvVwd6KGkyfJb06pPuZ1G4lLJ0JxzUtHaMcH+sU6TAWq
0FQlJJXRm3xWUD2Oi/Au+SCzHVOGT5z/KgBw85m5+Ycp+dk1HRgrOFcgqoJN0OgnGiuqeW4X3nXA
9Ok/j9Yqo9RqvFi+oyizQp8smwcDkS8aEVaT73NKSl7BM2AQ/Tx2drdXYj1NiwwxeEVdkiWcM33R
k/u9rlXCO1JkPf38rVzY37KB93wBnxVkTdMeUMVz9mRsu21W1a9JkmnwYzgz84YfqHJdFdBxWQJf
k0wBwID8609z3nf4MBqIFY3bvEIZEvTmWG8npAWAF/gOqTTbow2RhMXCdpEYI/VAN8HENab2KDvd
uxg1A/we4vfR72Lv0Lqs0BJGcKADaw3KyO+CViH+RvPd7Zu4hadioCIquwhIz/pras6aNq4tS1AN
Rhv2s8KUWUf+0QQaEfo51v98ES9idr8X6HW3WW6bR1bncIenxgrZwXiLndnbD3VOyQIHbfNrufuC
x4fSlE/QOAUqn0pHFjx/6Vsdl3b+OX6trv/Xjs5L8r1Rrfrs/gdYOg2dnjx70x+2mb94Oi8J4REf
xR/9m//+sv9r4LSZ/jIJ5VxcU5z/7d5cb542O4NHBMsaw/Qv96Zp/8O22BL5HxsIRCJupP9yb5rG
P3yqXS5SbGN8LZm2/x335u+TMpygOIssOlv0Ohx+3z/vwZPRgi0zCPQuByA69CErOix1sW9S495i
OzqCqPmSkrSCSr//aUYiusQOit4/PLLbP4/sPzo0/V+Djj8e5evPYeJjcNZhMbPH3zq4lh9rylDR
cBBZC5rCNXa2lWEd3Yqeo+ls14da3CJkzH2Crmx2WgalcXRJ5dRt6sZ67mvsBuZhaV+X5N7Sy7MF
bWSbeJ1Da5B+tXDPlQFpe6TGBg/yMPczXby23jiIKAO9fxnb9G7GcjhFZZgW7W2CNkUEwcm0qh7e
7y5qize7iK9aWkEicrLnPrGasLXiD9vNAKe5vQigWkO30uOmCic+KOg9GgVEnLy3bfVszRT70YzH
x7qNPlNc287khgfbWlb3LgWJhTFpLzsy3jdqokIuC2PnwImezYvS1I7MBNwub1q2PMZp+oSDEtT7
dGBqcioB/dO6QfNWP02TQxIGlfg8ZffcT8GMxYMDyU95B8tJ3ujD3zfecgIz8pNYkYOnf9Va/cWN
+fjOvTRO8ygiY292KjQmLRhNs96YLj8GwrPt3GfhatJQ+fAjqS1x6Bfwt2UmPk1/iY6tY8pjQbDQ
oc76Opjc5dwZ40XzaEejRlsRv+bWmsVTkcfHRn9sS9jKII4YIY9P9RTfOLd3jGlTnpZPgGM5h4gb
OzFCPbdeCgRCAF1sdrWnupw+YY0dp1b/sqAWmmltb+RYvcdjAic5OZu15dBtiIMiUijp/Bder03m
4OGybDpedNrRa4WzPtzHWvQeVct5ENYjt1hurG7/AkgxMIwfqiD7Rx/O/UAAm02GigK0ujE6hxuZ
WW6zKA/8qfuaQmYxbS55+pS/u7yatRQv3Kv1DebWH6omGmGWRaDatGC8z0Aq7b7rXSX54whf5Hzq
RBm6xrh1BvmWFsazXby5TbNcU7q/b8NSnNvMfoCyMOy9efQ3jYjHI6SogFHGGfMQ3Mvy0MnsXfTR
z0xTl3m5Vs5LC0IIbTS5PoAdH0zIiRttXI5VnL7h/R8P/aCCAV3oErnwkWugzmAtHOtqzw8NCUFM
47ZtI52Nsmd1Z/vUtD3snF7IWzdFeRin3YHrIyqAbnKYrzmwR+WN6JS7UhXbBkxvaZVbrLnkr/i3
ZPXB4X5+q7CWLpn4Fi1JmI5lTm/PWIMzjIaVkxHCKKwQDEnQerjccm9XZzfua9uxMh6KoggMZe9y
fXnVveIwmJB4OzluGI69EcW1tbV8z6sBFA3J3xGSnE1xq/dbSIr3qjdO0nTpby4vyWCSr9m7XxJ8
sdssIbN4cTCzWXQ5pisa9j1Czm25eO55KMeQ+/Z3Mdg3I0rX5WRefchem7pzrokfH5n9fC2zGliH
80NlxjHlMkCHFYOAqYpdlpcHp9THu5wO6065DDyQoD+uuITtEunXGC1gWBq3RixbvdV58ghBYl07
elVyAUUwAuSxuHo0w86e0ZWDHr8Bx3qAuldvYNw/J165h2VlbxNHGnhtqm+KhGl7Fq8FkSmC/xCY
aQY8CX3qPCmqrubFXZor0tcvhLpUB2n0EHiR+y7j/OSOYxwApZzc7qziaDMUzbOu+dfFqr90ufPV
7EzYcdGdPvdf6jl7y0Dr7TuI3TG6nVlTYTPM4eIm5uNsa49Qi49TQbHpueWp6xH9wKpfNjWKeC4X
TXpwvfE46h5eY2u/NNWnlRV7YPcfXsxMZyTFgUgc80LATr0psVhtjdr7SefidXIooui9hniMd7W1
6lltHHcFYukNFKODt/gfZr+yWEH0o+bWoYhLfWum2ouprLvVbBeywu672Xir/ZLxJi1CuyBJF2zX
R5q5LIyCDKBu/MLd8IaP4lkbvTt96O4XE01/m7qYx7GcmCoGEGz/XGmuG73BnmMk7R1xcEgkoks2
jLsmE8nGViRyz+vtCugsSEboUbBUo9DSszNL79gZfRmSYHBrqgH5rowzlCnaxdaJqEji5Eejqn27
5I847TBwafEDlNE9DOsVlc2TzMJGuJfet45qsU9jO1L8noTsthnC8IOCYqojcRbOl97KXqKCpOyu
2WdzT4JAua3h3m50Fe1AIu6rRgSV+irb8r7w3behMY7EXwRdbp/HtjuMQ7Uj3CAw6C9s6ThCS5ui
TZZ2m8x9qqMxwMlymJN7sFkgcxmSjPkBNxDeR+MdOsfVHAc6ISCEXX8PfR7rTBsdFrDIXMibZ4CX
H00G+0vaU3YSzZvnN4GToyjHHFr65mHM+zvDvZsWK8CqCRu1bB60xbrMEztXNYmND+YNYqp7cyb5
s5rP8eCGytWJ4fkshuWe9j+5kfQBdOuTCpzrdg+XDbok9RvS8OQzMcsfMravlujuLdEckix+Jh4n
1HtJMEfjv4O3DNL+s6MSr2e2zoJIL6e5d+qJRajeWSKv9eyc3Pzr4KH8H8qvMfOTNkvver2/utwE
LMRk0Lzkhd7gG1a8h6ZVJxfgQI81cK6KK/jgr0UMFWnW7G++W98PPbEx03xx46QIutTapr5xKCyi
y4z+o1/6dyxSMIUJQjLS7/TDvhXWfJYa5ogI4hiMZ0cBO8Wa2KKqLHKj3aYeqLonszhZbAqSuRHb
ck+ztyvohPdhNxX70bosqXcczfwKrPvn4A0hkSIJnlrOT0VHaUKdn9c4RfULzqEIx299F9vZQ1MK
bEPisS8GEiuGTVJ0X+CF56D7XlKkE1at7cCv3lf0VLlQqY01MONNXAcwhwkPm18rvdF5Lnt3TwzJ
QRXtD4RLZ5lkh2n10TbmnV0QeSSm/OjX6+05P9sTIyZXvDZT882HmBx2tk0e3iCRfGst8/Vu2U5p
8TIBX3gYF9/YCtkie9d1ChulELIM1ha74ylL823WmUikbOdWSfGFy+B3M+rfoEDsEYsWG9duXpus
OqgxfU1dkosgcgqyfOM1KGJ5HjrmYGy8mIa3llM81sCht1G7nw0ndAcNfvVlGB3s06QH0WoFUaFg
/34SXbFFUtLVOESYHEZdck3bk5bMgYCCOz1Oi9ypFi10ea0jzJPkVkxBJiXnR8K9vH+EyQ1WkKZq
Ou4X/yV2zbd41B+TXmc/8PZJ/Jwl2R5d3KFP7NvCuKdq+jsiWB4G41ZYvEAYt5bkq6ZLsurAv6re
2czpt3HsDmI075KKtBStnk4TCZ3Q6sSnX75K1uYMSJbmHjYjdYh8LhIV/M3uLjHmeJN7z0QCgJzq
PhIcG+g3+sCJYBF71A+95r5l4F4BdLzW5P4ttXbszTNiPQxabFk2JekUiVNdiCejeB6cMFazPW4J
hwOuGyFPYrMuXmLd1baEJyYnn6lw73Ii07dfTi6600vlCZxUjvSZ/yzqGEUWnj+98bt3Z8zUa90t
AzoDp0dV3s2fZdd5Nz/lWt9k1vBjAP8aoqfS97CouTssAlwn1v2t6TlTqBxH/y7KXD54ViHOeh07
hMBlojj4ZpW9KqZtIaFl/uNC8hV7die/gjQcDznzUXeTcu8PO3woJ9SJ8EylnkkAvysiME+OhjvH
B7ex9Z98pPedJt3yjcQT/VA4c4dpJjWelGisHfGL3dWTyAv1Mi3OuuY2T9z3qI8pzKbN0JTtQ11k
1rPHT7zVfCb1cyrHI1qt6qwGOz722mzuXGzWtxIUQRDNhneMgX8SZ4Igad+rqr6UKo1DzppqOzn+
ctRwX13M0o1OdKDbEykHkHyYNIEpaHyeuxLVpWO0vi3N+aI8eHabeNbTJ1rm7qve6PP3SpX1Oe1E
tIvFEl/taVFfgGz496lV1i9cdFg/XhsX37xU9O8aZCpyHQeZXm1oh8+On8pHqBPzQzsSimeMjfM4
2Ol0bZQvz7P9OiTOBvZos/eXbnqMlGG/aLY9D5symc0vkDPH3VRXbGXLlD+Q59fj4gSBOnNgfpVO
QiSS6j3a+dP0LW2W8tbnY3dzMFFfyRtKj0UC1YAW+Dq1SEjtUF6/M+Yy3sfU9RthVcx8h0UAXjeN
LeEzxd6HzgjncaXUZnOCaz2OaPfmI00zSzpvFsLg7cT29DV1yN6opt462KlrnOkKzewpJTFFeXJT
09dpTW5IpLMduny+mvjJ4k1VzMMTKNHtbCRBO5NLqYwy6Ovlu5OnGjfetkf5Ew3PkSZevHK5ijr7
IpL8YDvFUaLysZcein5H7paYznUC07caRei4zlbTvTiwNT90Zs5f3X0ftfo4zClkCcP+IUh7ssz0
w0ZlMtOsZa6661Dh4XscORhsZ0Lc7vni3ottfWVpvk2mejZL+5jo3n1u9xgvSVtMLX7ifj9k9KWb
V8Po/LDS2nfGanJDGhgVZSGeB3t4iTTjWs30/uDZbxKZ3c2TdoQhz4QmHo6VUduBo5n5oSAnlLmQ
eZ29foNuK9+qtAz9Wl4I9GpRT1CUt0mCztveDU23K1vNDKqw7d969Nmdas++9Da4onYAfT+rsn35
z80OdNQ0Vf7d7GDI7iCbQZYsUCHTi/Z/a7rgWqdicsR4EPkb1/zkvEz9RPgZrDXGPPNJF2V9P6l4
eWB/ko9jIpxnA2vbtYlqMW5aUQ7vXjYU39xfSyVbVw2pfv69s64kua6pbF1d9brOjF8rbl17aonh
E1slDRTF0uzXNeqtqxUJ33LK1xUc/VrMU2y1MHIy7RSDqb/M66r31vWPIzsOSWSrL4Xf+nu8dFZG
EGXkHdMomwMSEOECWCgaqnVvMdZdBlrEeIwjdh69i6ZtbY/Ws+vM7EtGS30eS9k9kSjSPumqLc5o
sJpTtTTdNV64jZH1YzyZEc1yVLE6j4t90Fl3RC1Wxk8Sz+IDeQTJUVYKom0tAfqvm2m/7qtaEmPX
+7XZgvsZD3Pmya9lRZ1R6bP/aKeZH0rLzF6B3HFhGEe2byJqxLmeR/lg+8r4HvnaFEJyXxGcHPK/
DgHVZ8Z+XE+Gdj0jovW0UOu5kSb+/KmvZwkE34GSlfPFWE8aRC4cOvxrqmMMuSGs1zPJW0+ndj2n
GMHI4zSpO7WeYXI9zQyOtSRKzHjjLe3ygybhGQaS32xqwMmvY1Po797cd2jCSAl+mx2XplbRm/OX
EeQIq4YIEuJvaEBlvJthLwaF9ZsCzkTJSexaee+25GOibEpQsZjyvhp48yyM4BWXtoPQpI+aH/Lw
h104QGUYDSxcblRn7Fow4A2q2l+faDXc893Ca13Oac0teZlKKbetUvlNlan48GrTPBcpm8RejB73
VaI3qBQYWpYA1YWdfbP06mGwcqYeFcLfmqTjNcaW28IWAnVGw6tAQJt2Ll01p5rCoa4fJbfNw6jZ
XwjMgHCtD9wkFurKhdd3zknMiOcp9LXoOU3r57yTRaiR1hcsGvh93HyIMrmw/+QS86Z5unOxet8P
28p+IVGPCkgzrVAv1qDhjhgyNFf5ozcK7c5LpizkoIcmpGfJs0uI4IYBCoGJQjwnRvrsYac+p7Wf
HUqXMrsv9FNsGXCHBjnJHUEcFD0dDnf86F8TQ6dXYiSf86xl27xeJFVx1oemMd811B+bseCvj7wY
29Qd3gm0UKeScfWuFMD1s0aZ+3rOmwDhZAEK0957UmEYWqN3JaCXHc1U2ip685H3+gN1IShvMdUb
qo+XSk2vKMfKp1GruI4Rmba3+37wcNNmyH3dSgZ5hsoRhlsFpMIw9lYqqp3nLsvGs4d2N5isNeXR
14yIjyQ2dHZBebdfx3Jwj7ORJe+Ajr86Rk4F4VTNnnyfDpuNBftuyXteK6JDa9jT28Zok01XCWLq
ogWZPVyYbZc65OkRbEtpUelc528OZjQgZFRMs+TKL0mdeFVRx7/wzK0VV7DYtv7wzNc5x9hyco5d
hP0vrSfKs+qc6GhWvn6oOHYvKnJ/GIg4nzNTW3gL2FC0ovzBLeYztcQzwxGkIUZC7I8W2/eVYuik
BM8u9+UPpLfOJoerssnqtiDWroRiOCff5tl8H/MvupNeEPLzRgCCmEv3thjKDOas/BTt8jgbSlAK
k+Kl5R2WeKLZTMAPSXzfNuYQWCmbo6Fz8RhKj8OK2d7TYJj6C64yYj5d4/ukyLBx6vTFxYFnoD4M
NcbR3IyrZiNiQ97FxN/N7ijpJbO+poZDAsRiEtCQvgd+aMIWJKvhkHTAHdDyyUMMPPo99dZLJmD+
3TLhfd1MLZrpbdoNy9coyYrA8tEVkhKtbW2HppfbpdVHKmfrGGtCP8vRT48EDLXXSLndjTzx8uZE
2vQNUDXVk1m7h2mtqIa1tqrXKsta663xV+W11mCmhjdKIx4rgFJPdcaOa78Anpseibpu9j1P/NfB
+/9tQvUnTun/IDKpgQnqDyXKX0ZYYEll8/G/bs3Hj5+t/NMk69dX/nOK5dn/wCrvI+HDJ2ljlWUm
9c9BlgtRFOWkJQzkV0ykVi3w/8GQ+v8whPBcRPEunD5mX/8aYxnmP5DYEEbCtxO2iTjuvzPF+s1G
wzwMmKnwEZZ7+DvxeP55iiXaXBuMPu120C3H9kn2nve8uFpZBY7yxdV2YY0EmkEyRKlPamfrXRrm
XewEf3hs/8UYi07jb7phSqY1isHHIrNOsSju/vyT6M4gEm1mSg1OoH3NOKYJcvGj4xAX5nOfJf7d
hJpi9XIwmMDaofoD5Cv81OnkHPhPyQ7rutqrTBZfHYmVopRkH5GUlyRBARv6pnd0ReG1sL2Q9IKZ
AuM2HH2oUTbXtgfZNlCmarM8esSIbLVaA4g2xXkUakjJA8tx51UKWXLh7Md31EUu4Q0CS2YK2+Us
iPSDDmpy/qX8/XlDVrBxbCIxfSjojds+te8ZS2sHpJUOQ3ikmx/UufnFsfII82OdM3SegN5MoqOR
P0/fmG0tP4yscZ5xbvh7NVvDqcvG9pYQdZpuUplhbY9H9a1zvfZIqdJcpd1BlFGGGQhy63e4kLpb
LCw4LVwoQz21oLNUBwDmCLLI03yZbZ/rRmrPFC1wlN+NPvLZuXXzhS1K2/Ww/49paUUbLuLmHVQQ
bcdf0feTG4lAjbI5tDbGiBiM33HwVvj+nO/KOZ6D2q7789xp69TRjkNEjVXo9jUpDj2UhR07rhNG
nT2HsSO6Z6fWq8BHLcasq5ZPHMfOu7t4UdjMQPitRuccaq2FX62m/zLPm0Jo4yVG9fDcoyR7G0dS
C1N6+wfTxg/EKZ+E9XoKWUsz/KiL1Atx4pcPduHhv4yE1l/GClMNEis7wIWIxHS82LI+eKV29hhB
7eKJwSXGy6trsW9v9Azx46KT81WU3DQcMsDcDPRcZs0dgwOxBo3M+UGgkyijJQMbUYS0DG95D7om
x2K4cfsWtkHRJAcLzXlQdQ0BvlnWvSdpjKCl7RQRNjEO0VLTvrlLPcE3Kef7wiGU3B95n2jsNDub
Dg6Wq7ZY/5/4ETcdV4mpit8WgkFXqskwX2KISXymMh70yTJuNBOnq15pC6C1YQpGbC0bEE9XkrqJ
80Qpsq/irnvIc0fs8xy9id1FZHou2LoKiwCngYSGG0VAeUVuG4eWyciHOYM4ytpECy9rompLHcyL
262dvap6zUvL4l8Td2iZ05op/eLTImUB9ZhfPEcr+gLnkxvwPdS2l7U4DJO/3E1yso/KQdZbllw/
LGBFVEuFG28LjTqziXWPm35UBVjDk0PTEZeR0RyZ9sidcENnXuPsessZSBMTgrXWZiLQqsnl+l3M
xQF6pHWaJd3W3prENWk163GY4JWX7T2osGWP5tW5eAzs9mleDgH5XsYl9uTVZ5MJcRBe9b7Y5pLw
7Vgv+/NgWMn3WTUSD9DUb/2cuAGDSe7dTKTrdXGt+j1m1z8QyipODTSXSzna3XEpB2enYdm7tvzY
25pcyMeYtNQPs/KSk+Bue+jGvv/eYAl+ZGf2SHlUzVezRsBquCni2xj/Ip6fnprIIcAvO3o2M2pe
/jVbsWc27yx1MQYkHpPv1VZ1v4tkNu6c1veq+5KILTocTZxe+rEie7BhspbGdHDpxZDkGUX0UwwS
KrvArHWLQUU/WN0GA7AIhiR6tUjCuDI+QF1gOj6jKLKZ+Xf2SWYgR9vw+gcN1lzOqLZtXtu6WiAr
RvFVoK1jhiIGyIxyRrjrMAKa+/I0Mun4UhklNggvbljXqJw7QF9+tluqsYzhI/mTdSerjMEAsFc7
tCr/55yRdXKsyhJDSN+VJ48J3budEE2+pApvNR5mDMvYkfal7RI6zhC1+kxURl0ecUH+dFvsg9Gw
dO+F4feHSqhrKbW3ehrbQ7kSRXAmO+TNJQyBIfxwUyCNrWP9L/YXQtWEz0ggVu920dBGT5nK+fro
HkFweyTkFSV1Igpk+szR1G6JG8lvhhwHYw8/1p6OIp0H/64qiID/SUB42z8aaWE/xZWypl1XadVH
y1L4iCKzfFU5s4g6FiXzbsUBHRoNn1b4C7eR1G40DqnIfo2H4T0rfO0806qMzrpNJrkgn1agASYQ
SU+skXTi9f2Pq8Z6LAErwLQpSxK0kll8GrPpPHIUtows3DRPH7q2VcfONZKnvqkpCRCrCaxmtenc
D4Vff8YFobyhTFzxVtaT9X0evfmI2d/Zz8kgzgKTy08gYoy3I1NPD5pnOHdRak+SJvhYP5nSEcAl
eapZlrv7ge4TZiStFo9ZJOovKIXrR5vd+mku6vqQltqwi8GLExdGvDVzKtubLtYS0ehzEpqrLbXL
aHPL6YbRfW2lnnvXFpdZehqyR80fvDNZ7SvSMotDPVMR/Dtfr/U35TfJl9FJe3PTVAnRMCgrOpSG
NO+/Cl3W5TUl0g0FRFIu8MUIt6cnrSEUXEzfAHpF910zGCfK0RnfuXMZL5Y2Wk9c9YuTb7RELliT
uka5Fr+glCSF2UBktxED34Jaa0xJlWswCk3JuK+V2Z3RBpMeRgufAEDsukbdA/MYF/XTTSZ8LviY
1gTPaHhpJqNMgyytCWETMOvu56wwu5CGpwkFaw332caFmg6pgSxvjOMjt83pm3ThkKhmlm+xWbQX
14oLJK7oG0tcDduBB7xdBs7PIq3pdgN8lsW0XPsuF0FT+wCPLTKBqcW8Pe1W8tjLIivIYIOt2k3n
Kiq1dWiEt/Xgtgg9Tij35IlyRiFBJGnvmbJBPNswdgmJrzjf9z5d2ltWo4zFw8WrsCiu/mljNY98
1c5J5wTe+jTO28IpGeTo7nmM2zmUao4L3EVN+15FYtlEqTMTH212uyhrYo4jCwBw7WgbZbiQmunb
XYdldnadzTtqy8a7E1otN5Bgkk1ibyr7p9SPU1O+E9z1ETlMF6zsZLrvzTBakG0H1OhknbUwppTa
dQadFAhg8/Cmybm+QQRJQwspC/gqW3j3a97csp/1XqxzS3/vaRl535mf79OI7DSYo2Lv6AkyhlIM
9T3XWLn1aFFsAAaie4p0Y761k26qk1KLQ+5pMdykI7UGFF+ensHsZM9DH8mNCdpi7wxtfkxbmDqD
lBbJcVjgfw5mwdArZsL25q2APpgh5Af7aesy+0QvVDH5BEyLSNYzp3DCppVGDAggcqjBceWRYKqE
Pnk1ttsoKuKDM432ERlfhYgKi0jp9v+bvTPpdRxJu/N/8dosM4LzwhuNlHTnKYcNcXMigzODU5C/
3o+qu92V2fVVwQsvDBgNNFDIytLVlRjxDuc8x77L56CT1LfFm2kYA56ndLJ2+SyCJI6SpCvjHD7g
TShDItPE6sW8ZUaAE6Q0uF/iy9gj43Jnic9D46d75rRBKbNmJKxBtlPJTg8JsLBkOkPXvNGs25yg
IK+or65gjTq9mfGIbCTN9fs6J0N/JIbYOuOpfO8c5BZgmjP0FKssv491wDiXU5Hbf6hYMRn3CiRY
kgUXsV3fBqWierMm+60lLP6BC667NPbsXiAEEojnyvHgEgC3IS88+cGApITI6wT3BtYSBXQw4ime
GQQb1Vpvls8UDeVYwqQ2amv7WMDXA8bsdU/r7LsJ1A/p3MFzxDYUrebdy8vkceEUP8oUQBwIbcoy
UZfbsey/62tCJtm8HVpu0XJzIiexvFWAy5zvEk1RoGbn4vAJ7WF5BfvJt5vXFkfX3ueiAa7S5cxv
k+B2ycrsTYz6rpP+cCCysT+WjexRztHc3GgvLS5+oQMOElmOMWHiFG5pJuEKessjWY1sN8oaq175
6svqu5WE98MUNptCZMW2M4V9UFk9nywF8Ehj0moC5MC+GNb7soOtOeHFuG+ovpifJelNBsMkJloI
57v4gjwL9dPgHgqnIMrILLFjuRm91DrvlmypDoILKQVivcB8VGkak7kNc0MynmHmq7xztvho+dML
wGP/FiKNuNQM2hFUODAh19ZrsSixNDam+hbOXYq+Z5pfWh6mg4sXeeuHC4TErgDoCX3yMV2oaBPc
8JcQsc2jK6rwPNnttB8ExtIAGOgx4Wm/jEvAbsZptKAErYEfj6UHrZivhmV0uWs8EyeljyFHq3NY
DEfG4jtxZWAHE99p0H+1V+6oOtSZMFGk2TI3Fw1Pb7f43E0AD5qRFSbyxdzKIbi6ntbbqtAuM1oT
k8AQdzY1xOpOIdYE7Nqpn5enZK04/yZW9iJpGwuxMo5w3BzWJUu76CPzXxc+FXodzU5nGzGZPbdm
HXfCEultaXnu3ptZP69TLj/j7nM++MHaPlEB56chUdNbUSfNyalb60lMo/dUrF3BWemFGSBLnd3A
38xus6pb9zZF21eyXmihRYvrxx2ab07WoU9whxsUCJe+SrwdDOQvtuHuc5btahUe23vrhTg7QhQX
jKAtEs/YWsrgZOQY3c7+HD2HST4A4eyYKwoK2OkqjmdghxU+aG/sDM+KUM3OtxEFOC5dpF095ZMp
qBNq/U5AkLurSMbYurT4p96RsSlW62w7ipWbmIe7AaHNGWjAk0eQqxfW4EZdfdfID51tbsfC3q9O
eJCD/6nI5vt6tkVcZOaZeO5DapGoW+k4QQnMteSnQDAJ96U0/KDT6CP49Z2c1LtmsLEtdYFSMKyJ
0jMju+7B52BnqXTjFrPke6ybUxQWl9DLqnNq3PXi6wyeuxeymCvwIC1Fsy1IrY2RRqrTPJTp0ZnG
Z9thbRguNahwUs13+I+7gi9Hg8LIo7kigqn4yh6hIdw0IENUzbWPDoczEj1lnDW5s/OG0j4yOk4O
TREkF1NCayasHOuMoNNHPpYHmNgYhYboA1f2wyddFuVRgeceMW9ViIedqtu3QnmvbRsMN7YbOK+g
Ytn8A6VkCSoXLsYCESJT4ITl4jbMR++w9qp9s+ao3IUOLcrq47fHqNNessaentugeig8e5MvLIZC
klwJZzwPVfe9Np6+rXD1sLAIbcJWQ+9sQ8vsCKQ6MGJqT3lYJNvOMTA3C73crlJMaFyk/dXh/aEV
HothG5Ao+BF0J2tZvOAPZqy9Q2JPaHIDuIJp2bIyMfbBn4bt6Fyp1qL56PiW/TQleU+HY6LlsQLI
g0jI8vVh8Aj8nEGlINyy+dWTOLoNpjliE2CRO91q76YiV3Dnt/58EyxJeANZ9zZVNkwC8R1hNxPo
NThH0TMEB3LlnAc2VKcKjvqMenxJtc8aEBfVzpGdKcFQpF3cC90cuDat7exdCcLSsveNVc13YzEJ
umxLxdxcaJu8WAT9bnanHYrBYkMfHodhwwMVVHtu2++oVO6s2ouOfbDGniUuHmZN1vMIBKfpE9aO
FM+M4xSnjuvgWQt7uXOSDEkcQFvdWG+Oirz7KjfDu+U5bcyfs66nbAloIE5ORzdGiWI9m8i5bZxu
1+YwWoKm9W86icA39yR2F35J/hW17zggjCxisXfhIt4qtCq73MdhumpkPAiwdFtsCVH9Ptq93Exc
zYDf2WpDftWbpfKx3MiTn6lTVZhtNlcvxBRQXqI0Uh2D+o4L/FBB/2e4cUQl/dFqQ5enxyr2ar7K
a0pSsJ9psvsDFKXbPJkUgKHhAYAfpR5J1w9Z77zmJHtuA+MQUV1C0ZeCiVEg4Lc6vUIgoUBaK1ky
yhPuncGFvgvLqcZzkyc7D9q47O29r5sGq5GYzm5xY0X2pZ2V4nGsn0ekzuNUnxP2xLHqR2IdIqOh
HozRbmyQ86RdYz5G9XAmwRypNw3HpmpN7HelQU+KDm9fmqU5qaEf4Zf74gRpWcZFL6YHPHbpZ0zc
OG4D552W/8XR5XZ+kC3Kq+5bwJzrhSTW5iQofdkNp2zhzHRj+dBFat9fD7YJwtiV2IPqebxPK8Yt
I0qXN0fkiOjyZURfYIXOXrQgkeFS6V3XLu2NDJiY0TYkhP+t/vOazXBp7dXcIrpkN5VLvzv5JCDs
tGXUro7MjRVU9Saac8MHZafHViZqD79riTZd66jXyTPuHd+zvRwX5CdJf5Mn7rppcpup12nNZbjn
7/bYB1zrhMVb7RtkL2wg1+Ar2R99PEXzc5Tkz5iLsyOe5faoI7RHVs3ku/P0w0joN6katrpar/C7
J9a4T68SimaaLIavLgGlZfvk2xMyKOqEBY4RW3Crq09rS4xON8+fvGYyjA50dvJV6t4Sc1LsUoCQ
jIghjqHzSPnM4tk44Q0Ob9hqzIXaAHw9/x5b1mmX1RkTqs77FjDqInF7kQ+1n5vHvE87QYwK8/DI
hqnNVu9QSJl+KFavuOlZJp9rhyjTfa/yhE1j0tds/BaTH2dyrj/rnPD2oUDm31BpUlAVI6JQbmRS
OSDK6aCV4P9xK4jbiA15ejP5y6XGf/uWSLjgeUvrse/ZcL5EnicIpw6Lot9g2s2RB1OSBUkr4mkW
9sUEwKU2VV2tSOMWQmBgqCrinvsO31nPvliid6OXl28Kv9ZJDH73o89aSsfE7W9mTcNUWw4K/NrD
P+I3Dlg6nUPBIdtjK/xO7FOFZHA3tZV3lRjvNMUf+RQSijhTiptIe/KZkJT0DFhFvnDw1/ej72TH
Ke0GVHW6644yr5zugJxPsqe8KqVp/luuvmDdLm43XZNORiZhzSKz99DnvNgALClepQiRDSPNC5a5
fsi7xt8K435PoKV+sR3RZDsMTMm3pFTVC2XIpzzCxNwV+hFO2ouMimk3XQdeIynNw7qQmkPtfDEG
+br0GHyxhZ1iY631e3vVVYWtiyMvTUCfN/A3U8aD8HqK9cEeJ7NljzDgcQ5CxmaFJPXKdhnQ+SMt
BRCFRuXtXVg447btTHAcsuF1Wlju21J/UILsUq3gphTS8+/WIVWY6Pvus5uGVraxk2A+Ot7odtvR
dbJN69HYpMlLlkXRCYES5Q5MPD8cL0blOQeeyc+LDH4oyv+Nk1ckwDCC4iQw3hW0E0Yvoqy4TPq1
AOU/EFtG6tnDGKwPfupHj1kQIlSfSpLvBvm1hjO/0Z5ybk1FbayBAl76fLHeJz9N90kTfY4GEcZ+
m00bqiSXAJeSIixyWosVEVlcZpKofWuX1lieFVXTa14K747dcIfUwCLMyoRWTGOHd0mXj8MVoGlY
TB2CbrgRFOp9OExHZ2UquZ/k2p+KvrbupgU0NZ/HSwZh7kprYb2iSS/OLH/CBokSuda8eQBVg3Du
rbWzEV7baAASLz+LEJSDKIqIyZBfXIbaPAlJQAKBBAGS8lmcZRI9Y+JwL1ldP2PitNFvIIWfgmhv
hvKlKfO7ZVhtmGuE5RiZKwF/XgTB1hvJJPBrZFmSCoezkNGoux9AuKNkw2h1IRNiQBZha5cvM9Q3
HiAOZBHp9nWJLP9b4wVMLZsM74rQyJaiK+KDr+FuCdsGbQyY+0PLsXg7ZH3yoNd1PS8DttcwgtwP
Av/VS/1Hv8+BgbrRu5+LS2nSm5Bp99G9us704jxG1EUXhRZPd2qnKv22jPlHb2oYtPZthqAeDkLx
CH8v260sWJ6151RbaTXlE7E5+tL1zbCb0AK9eTL340LPlDSmb3YDNOt0FcGuy1p3H4StdayGCGnG
o2HXdJvOWX7OedbeK5PgdimDlrIbFoDYjB5PACbfGzFK9mId4Qn7sB3O6eSSbiL0CcNuU6PJWxUW
IlaCI7wtmDXBcgUOghfd2p5rM3L0ie/oUP5vgrCSb3YH9IgCiAzz0JT1F8GsgednJBuG/2h+rsPl
dQgZUZWWPDScb7fRUubB1oLP8HUtKMy4D+dHNa/TKW1r/G6RHuyPntLWC32/Q6C88N5MXQJDY8ae
wZ3M+nvOBYx56eiWn30TTV+zYKCvY2gQTSyFisJbLxDiVcH01h3fQESo+8kyPMZLwYfAjmnO7pJ1
xsW7Dooys2yd6KUUPpZd06wcV9qePs14EV/HjPgGJCrMqerUa2omma7bUA2iek8RihK+XBp0V2ta
4d/AS+G2ePUD9YokVJ9YR1HG1aNUBzpqNw7GSuG5beB7bAKJ/D0q5uljHtRfM+LQtsMyfKUtt6ZN
p5p8Z3fya0nBx8JtZWC1AXAdEh5lh5dJDoqTouF/O+JGEOD5TUZJaXsf67zgWeKP7f7Wcvz+i1PC
Adn2MmkO7Th533IKcuhNrn8KE4AGbFkxFqDTYjzGThhhyHBoFRk6IyAgnvYg5YvSBXx6Y+Y7sQV3
nP1TtuAQYO3DpItwi96ZvvPbGQ81yEWCGHMV2waXoHFZQ5aJwHvoAizJk7y8HdCQPjNZy9AeVtt1
nUghC62uGjZJ4eODWdYc3mjgm2wXiMT70kAlmPZuaXfn3iqrVzlEoD+ZysaBKZ37craKnojIcGYV
LZ2tA09pnFzgDk4KTUQbdWCjeOxmvsDpGr7XmY3avEvyB7743X61ovHUyEbe21P2HvXXxA9FTbsZ
5+mT2xJl37tptwfG9zBmEzHUbYWZ2yYsPckkytuhWiFAfEQqXPR2h7KouWMj2PD3O/Gath1AnQKV
sQrXN2Re9s6kjd6P+TgThCaCTYIJx6kBGmCE1DFdYHboHSt5GlscRMHofzbJkC37vIbXYUeTvs1D
hl+GEdiTWyRFuclrz31h2QTBPsuTx7nG3EgagvmUDOJ7uTJ0KKLEva+1rt7Af3AiFoiQUAqqx/HK
ypo8v7w68boM5B8XA+KeNYkuirEkXUeR5y/ZaA9PgWThs8dvnk5bgBrq4kULJUEaugLpFXeyVwTb
ZHXMs1kKAelsnI6uiWjQmutWTZ0W/FxbvizB/npTo8D390GEM6ZFEAADs7PfzIhUyYz9wjRlKq+L
WbLa1Dyhom9f6MyoUgaXfNamdYiKyKdDtZQKAZX8zP4tuVCIEFJFNbmtOhqaRSG491qO2ikn+2dh
93db5iipA4RdVWrPh1w5S9wPQxAXbasBgghF3k5vP2UzVg2WDIw5h3Zumd0sbXcc6jl5zibj3zGu
5K3kLAWDrnYvrKbFA79VpNu+u7S3IiHHge1aTSbUGmABzdpwvSFSKEDLV1flke0LPSBbN3OeNbzG
0F359jBLfUlXd7x3xvbBSjG3MM277czgn9wyIOCItMbmktYpw7jO9oABsFYZD9eMI0BFzY9u9gWB
Sz4rlaBxxm8l0oHDYJVJ7JBSk27AsMqjoFC4uLaJy2oZ3osJGQ8YGGtGn+fV6o3P9/Miu/xoGCJw
dbFXh70saNsMVIi8/whNJDtm4A6QHorM05srVYnhDvs7e+e6jjVuVmf09zMeByxUYrosqyHWrqvH
T8PiLA/5wv3YdgFs1ozGQDsN5lSv7zet73HZsDOn/sc1pZ5AFHaMi/PeuXdSTuihsR/YNRzUzPcX
j8OrKL3i22pV6qWPdPCNDVx042HgxETqtBv6bSCWIbzRmrNQlFjp4HJbLGTvG9FpKBg1CJ1cWDu7
cNrPCNWGBYnqVMiNUQgDuQuyr8xA6TzwCd+nePP3CIPyhg+uumfxb05NVmMc7I1rX9JK8WjnAwsm
C0ZIPVifEnxGn6OMegP30GRfmD5z20y5l39NGFbSJrizf3RmkUOT8xDpN2P3gcHQJ5WtX8D/lVzj
vn51ZFaeVOetGF2A8H0U9J8fhsVmrTPa9hLPmjqdXoM0rRzsUxHSs+xSYIT7ojD1Y7hU6zapQ/9+
qKoAKW85x7j5p3XLpG84iD7FK1u3M5qMeZMnM53oYG0XIuV/b3AKxhKHNdCPbLzERqtGMMVIexOH
loxYZVjhEb8PiU2uPd0EuDDOA+fREyIPCyKxp3YU7eah9FI3lsOQfsyG2nntiqFA64BqhW2PjZjD
cqcj0EHm41ahxV0uZ+ZOtsa7DS8Jr5cGPK88xERYWSZ4iguD9gn1IajBdDdYQt7YY1nDSCcCb1Ov
voQfFwLZ8zs802HQ/8iFGnZDk5Cb3OfIGXRRrnuo7y8Bs/2tskV09DlN9+x3qxurlA/eRJBf7+OJ
k94a3C26a+j3MXtMpUPIVB/O4aPL8pvkHA9Nva1E9cSSNnqWlmseWGD7X2SY1Rdr8dmr1fZ0znWw
rNs0Rd/qNFn47C5sGRdc/T1zaDDno15vHQTEB5Q0+shVit4F9Mg9aaxPiPeKG0PNFedAAXbuHL51
lc52fY6geNuFJn/t0Os8zJPxSG8a3fwNfhk7AitcETepqd22zophydTbukhwj1ZLcOqz4phVc3b2
KvS2pCqH59zz7toEWefoVGFMiHJ9YpYBp121FU+Emc8QHtdHUL7MN3UQ4FoLF/tjUmtUH7DXPlgY
5EOdvJLqMj/gYK13QUIXByUMl/3sZTvgfo8Ze0KFGioGpMrzE0XLhYg3Jq+lqe+KZtLbWhcnh3L2
sQ4wocw0UTfRUhEARfPk3LZB1MTM/b6Gffvi2jg4UxZGoeWd665iaYMjZYyBQNsfM90Fh76srrhc
t3oVpNShJ2YnDc+nPiO5HbE6IyHPMKLsFHrUt7LgF0U0Hm7YSgJJ1SyqbZYP/fVIt7ot3orykILZ
jKWlkHVc43oquyOGqcDXwvW1SILMUvayGRS2R47pqbyu5M2em6M5sJO0L6OcvrdaMOvpUy9O1Mxo
r2QVibWphebdO8sZPYHLdjo1eAVTcxfWyRxHoCKekFiW+1UljKQiUT9hr9ZP87Bcw8qr9tMCTRC3
0WimiwHZB8dFhD984yRvU18Y8stoSplIJ13Bk79296yXog+1KpddqxqmBhlC26IG4OzVXnbKZ685
VVkgH4XyIWbUPYPyNSvh88wObidGLF/LmX0yOM8a4iWDSOQOwr+A13U/imI2nGdrz9TQeJdxXSD+
LIUp0W2pK4/Gjb7CsHHPFCrpV4aE1BD5dRRFVM+jogmvaASIWQuHj9dR0Ac7QZWFANgePq2JL9+Y
bqhP6NPWe2Ybzh6IGnBglPHfM8sVT4vx2RwkTfkCKC7bsxagva+tZYMPPHi+Qk6O2dh52PT87GkC
qpFuW3csz0OWFz8a4UzPNdcri5klue+izvPQTpRVTOSCu7cI3T6PleMcup67hua5th/Kcpk/MWbx
b1lZEZGN46vgK4/0mY2B+1yNNOBWsxTPRWN9yXsdHnzN/TmWyTlDG886x9P3aWfEu1dPjBWLK1mv
bgZA2YGyEAbpConNKoGX59aG8cz0tJIqyXx+HjUY1qA9rJpBBlG/kAAiKX5IgF8XFDotFitr1PS1
yZg9+BQHB5ZxyblqeA5njdB+Y2j1aZ2ZFrCNkk9z0ydPeRQ1+xQhwEud4AO2c2oej16a69eJdRWQ
qD5nBdSJ0rz6c7bGy9D+TlcAGSUpa3fUyMWHKG/xeHZWkn2cXNz8m6jMZ8YOzLdXdDUcUcoqDoHt
uJde+ut73SofqwLbu36oHBIoPfZ40BK2bHeWZ6ZhQ+x5wVXdd529t8BffyCuWbCVpN7z2okV7xlW
NT434kzxspzbAqMaZLtxy6OKv8GtZsYnfcBcYfEt7PuMzflassGuzN2khsdqBZmVl8N0GKMkPKAm
o+ZMlXWsWd0899Bb6Jh7L7bdTtJVhWLGucnu/ccKdoGbYq1fC8AN1IK9c1Cl35zARiV3Oh/1vZv0
xTkT/PzpilAQQ7wLDrAU3zlwrNspWUi19EsrtDZeWXIG/Xe0Ynmey3I5ZDiCASaGzXcPM/7eeEn5
CT/qlf6LZPjVL9l/eKivHqY6yT8XUT/deQ5LF+a0iGELmJqcSHn9+H9FLv//kBDescMr9O1//Etq
/h9K+GcFKOwnltM//8o/JfDhbxE5Nkzakbujhfk3yykMf+NY8eW/de7/IjmFvwnJv3hVxgsP8haC
8X9K4GXwmw2P0Q6dwLUxpSCo/9cP9k+tef/LP/8RoSR+NhX6JN05/FTX0HVa99D1fkG90iba9VxL
GbsM58/rdYacNurWZdp9DgxdQEa0NwrfvtkjmjSvai7SM6mH7CIwM0F0AElUSbx1edaLXTK0wVNd
jVTCGIVuqwDh2x9+s38ilscu0P7bBPmfP+8vxCeP8mlQbMdgP1O3LogVNi2FOGow+HYtYSyyi+zb
qLKT41+/8D9Y7X/10r/AvVvfrVrd0iGqFA/Saob8rii68LB2ptmzwgd7F5UWyyRGoEyU782kyRru
omoHhJIYvNbT8bLWkHGsudo0Uce4TGf3AKZH/Eb89nzH3JdOkt4mZAtuGRmgNkFfHAPKe2qnfK9L
9VrktoempLPojNsyRP2IcQDYHerChyarmmM2VOPzxN7opujJhuMsVnsSh6pzFdnNLUWkutX1On/K
xnlABUFaA62Q3NMUdAdNFqpdf12YSpxKrMkQ0i0IGhntA8PYV3duzCkAbXMsHQJFE5OqQx6MX3Md
9QP3sBwZejAlz2qUtWvDVDdPIS0AA8KaIJmR+sn9uMyPXd4SeD7v5tL66PZ1dBnKvDovefShR8t9
JKfzohcXXUjmE9axprcszxUlVOCwF81p1EZFl9SWmykM3gcIHTtOQuLJo/xMpjrL/Wm5N3bmHXr6
iv1okytrZc5wRgNuCGNP5I7NxF3DbOJgNLm5afNSuuacrEuyS3XLRgVxi5ViAO7OPvOmTeqgy8sL
1+xaBKAHtTINaPIQmvdMx4oojnt9sZs9b4xVtmoHyMa+/ZnVcboHusTwEx/4QuSIepzBrZx5algV
jpcEtOMGwtl0gOn7YqCnP5oKiJGpUPK3PrGu7tzGdma9iNrMe4WsgvKTzyRrGtTZIzS+ySHTPsqQ
sRS52GNgS05oOOzjoLLk5LptuA3Z8uEIQP5G5idxkiODqQnf/ItlujOQ3b3FWm87ZdVpdbSzKzNV
Anrh22w8ByZia5FtFRL14JDghxARHg6sVnW0MRK7Qf0yoCfQkfSOHbUxFugXcA273mfwThQiTprZ
hSJSQGhzhnkLozLY1vDjtyWpM6JE9jZDsxinCKkcnyas3OToe28IdIlkdRYoNV5b7pwS4ApryHDL
aoO0X5r1LgjZhZXzE5RG+4L1jkdtNozQaEs3TTsEl6Vpi+fcoZ0H03NEy0edRU1fhMbaVkuGqmHM
70DsSzyCgaQXHAechARwLZY8WrM+epJcd9dPnyAChRuvii6phwygCp9UyHqpW8zLYBh7tYSoDtnd
1AlMAN66m9E7GYhyZXf/e1UT2ONTxsTnVSK5Ar4AVQLBZaGALPqppgfDlFPVL72l9ygrDl1WfbVF
vR9W0o7LgNT1ThIR0zvuXQRs4CiwCau8YzwenS0t7tkznvOklreV31mSVecSHNLER43ROE3/RUjB
wK+r7WfwRYdelvIJclt6oMnAJhRN5uskCWmxa40UVSI/f89KxT/ztqBY9x4fFXGlW4T5RLZ2bXnw
lyHFDHAtqTqnJnVa1SeJOZIBPy2dJvXxMUwQzJRTQYCr3Y0xOuDs7HAuXqWHrxWz1C2n33xZ7Hl8
0RG243VwrY2DGPA4k18Rl2UA72Cug+v6yNjwWkb91CXV+DCPaCxoTBiTzpBgyhzR0rQ6pKGV5BX7
XYLXfzlr6Sx7OuSXpc6Hc5EM3A+F+zYua7bXLeqUckEUB4sNHaZs9R1t3bi1QzYJg4sDVWq87nmB
dzXqe3VKGSpD3tD20UoVm3h7SjjskN1XtQUvZOW8y90tnPM8rvErk/xD1JWegxWRdPODLXBsD2o4
4u4nuXMqihhb6CfH0u7eVcljoJhPiiyxDgYnDgwIFm6zlYtT1eb13aq9p7+5x+R/3qAEVHHve0KC
Pg+uN+wfIjhY6Mx53a8i5gkO0AG60oLOzeoEEHews3Rg7VQniudhbYe4qK3uLrk+XYS12hcUs92F
eZBmdth89FWuH4s5i0DKaE6+VNT1nResV9mNrXb5VKaxIsAwlsb05MwvHAy1fdadHcZBm/6o/cDa
WEPfgOmuGJ7wuKVD+f7X7/dq4vvl1v7p7f6CC87dspRN4YkYv0Hy1GvjQGzD11eF2IL++qV+JgX/
XpuEfmDDleP/3BDG5k+/WUEwRTUUhln3GPwYAiZPi+d+xnNb77TXfvzrF3N+ZnD+56tdeeR/+BwB
1+FuanIZkxLxsI6e88GpspEWPf0mlL7OJYqBBUWZ0S/LNR4s4yAJazF3+OlwC/KK0RElQM9Xs/Th
2+b9OJzHhAceU0+1U+g/dmiHCHXGX72TS1M/2Dmx5S0pcNvSCP5rTa7wDlv4l7iou+uV7XJ3//X7
/LPPL/QkOFPCNih6f7FGCpSxgnWOiOEKPzaM8GMS8jYjOJO/eaHfTZa/flP++Eq/lMLFYFgEydSJ
p3T0YjeJvou1J8EQUTozMv+LL+twYzwXj8y1UmiDufkbJ+jPCPnfP1Iqfgw2AF5xv7rXR/cPHylR
Wr5tcY+gZ/LSbeHDs69gTVC6+daDgjJw3SGVxd98bf/sjf/0sr/U1EA7OdyamUWe63EM6KvmRnAz
a7zyStvWuV4Iz7Z6/VBeq5xgZn731x/yn/4IfMhX6HV4zRj95VAqbdDIbaVE7CiGST1XovJ6tuuQ
85OB0VnZ+vdkN1JvAkLg1O8Of/0D/Mmji0H536//yynB3quHf8NMeijHzyjZzN1QJ8656nweYiv9
m+iYa6fwyzftii73rg5nBM5XTu8fP2cUYJYe4GPEngM/VszFvFH0+/u/fk9/8uT89Cq/vCeMSg5A
/cZlRGXEBmYaOvCrKqLCsvl//krXt2KDsKJb/Y+Dr43GGpimHa/JPG/mUHwoAaTz3P7NO/rTr8kf
X+iXM4/+YxwYJLk8nW3wXc3DfY7y/8gcNNkwGneei5SsaVSulMfdtVCW7dD+TX7An7TMLrmckkfU
llFE7/7zp5dkZoahiAkLTXEbr7OeXlrpipNSxolbx7w2LRls6cSuWU1EX3Zp1m2DrmTHWlnvVoAE
AaU6twPVRX0p0uoDUC6Mckq+5dpv/qZhdv7zy0a8AoZ5Qj6vP7H3y9cAX2yRVKvmR0vHS70gtRMZ
bt5mLe0tw9hbE/lm3452PPYZZJ1ZtRuaUCjnpqB89+pyP1VcHXqqT5SpyR6s864itAUfBfo3mogf
bTunJ7urKOEY2olg6sD3BbRnS+hvW0sN+3ZFE8YwsCOv8Ltku7JZ5o5sWvCoN33f/6PE+f/Ehpel
/f4//9v7NwCuO9UPWn0dfuIuoKnFxWDzVPzXw6ptlr0Pg+rTd539F3/5f5Mb+J67nE7cuiEJTNxG
/yA3hPZv0iOj9h+1Dqsm/uRfgyv3N2FL4FQRfCpy3gQ/yz8HVyL4jdklyxHfFfzVgJnWL4Oqvxpc
BdHP9U/AIO0aPY6eMZTX3JBf06GI6OCLjdPhELhNJg8wyfUWHDe95RLVBEQ57dozMykEt/aUJkuO
xPSKq8TWZKzN4A+kZEXULfX8O7awYSg+JlV34wVB+Vyo2Xrx0BadUtNMD35VZxcm3PRN2gNd2wMD
2gdOCza27rNvkxOu2RYRU8i3PCPZMzF++UaOEbuVhDy0C5UxAvRM+ig352R59E1T4b1cn9PxdyMI
y3fWAQwuKm/Psk9fshDYggk9Wx6gM47FlmHLgHC/XKz5WMu5u1PNgml5LFf7OfFU+dExJn1GtYJj
0Jb5ly5c0tulJE2K+2tav6RN5AGCc/GKDqN+n9mCExVbnBDcRiTmOlDZmlwUREEi63owfV/et2uR
72vAEptamktqD+1eVBmBwI6WB2GXKWxr8hNwL4ovoQpNxXKC4cr/Yu+8dmRHsiz7K4N5Z4KkURkw
/TCuPaSHh74vREhqYaRRfv0sRnZ1ZSaqq7reBygUMnFFRHq40+zss/faKx0kGcAEL3sfPOJeqyzK
5WdUEQa1vZRRLfWxn6wS7EMYRWzM4do1h60UmbMiljKuaCK2L7B5GGB/K2etvZTdVYVdLikpmfLt
kbl4bksuoWlpgg4YVbmNnTkTG2EuPFtvSN+S0im+TJvI2b7pJ0yRJEapiDDlBGaXiCpuTlLwK6Bk
9APJZaO29spIr8A5sHWywU9e64ABe5Rl/Yrlr9XrggohWD1jUuHp8W2IovgFX4q8wPtM3WF8EC1f
x5oW8zLmvECuOYxUyQxAVGtVhY1ks0hL0gFjRPdZN+UQ7/AGjZA1Dbn3O39i9xR52LrrDueVL4Ks
xs1utY/aEfYpI1NyFXoYaHFGV28RfX3pytOlQj5DGavX+EfrD4UN4rWVEBA2WGfBGsu0qX9Z2CHr
1czFM9unadncc9mWJ8exaPYgtiSvUtJxpyJWiutfGYNbJwXb3OHDHZ8wkRfNKixM44tCHtfdBJbV
vDh+VryzTK/2wTjx65Uth4e2LFnRRboIaDonGIUVAQY8xewGe28wQCg0uT2gKkKViuJheJLeUJ9d
Xc1HQaiYz22mDn4QG4SIUL+KFeeauYGQOSpsvXb2HvHhWv5omFsrp8lzdTCTNm22xLWCY+8m3olE
F9EY6H2j+RwpFtE4CdECCONCOQgR6VZBV/FdIy0xCAlFc3prNoOFbyeI6AGIiZWF3leY2/PrEI1b
C86qKAbxUfUyoHw+S5t3lk0F4UDLGV/HPi03akn2Ur4zPIxDV1/FWJ+xbTn2Bc4enIdupPllttZb
FKP2eW59GBhRq1EPqScmYKkB+ZozRCsY9/W6nOpyl0249PDjhgd6WKDYTfO2Urhq+wG5qhYxnCMi
qcSx/fBJ2mmxLrXwAbpn0lsbVkc6ZNJNrdZDVKhNPJcUH+MoMq11MeAn3tph5mAtjVXylXZ1/Dj7
cXxpZhZioNKCKcNw7OHF4INC0bEtqI3KlOpeC3ggDR8R/BWUrZDKgw/nqlONsWrawcWAzFLMpIRR
lfVKs93AkNJ53Y1SC7dkKiui9QSnX1qTbpoEiFZW9OQeyobndJ/n3mUss9jaBp1BK+Qs1aOp7ZRG
I5qVURbH/tkJo+aK9E38avXE9VelW8xbrKtuyxs2hABb+IWZrJUi6dBCxTpEBch8tfgvg7KvLjhK
XPYbaa4+HSMCxmE0EC958YbhGqoECBLpRpO7aa2URKfRdkFMkU5aBbiLlOcfOpnDeGzTiOE3M2X7
NTmYctfD6OPrqjllnL5gEdqoi9ADGlLwSplswrHPsvfNiUTarWhj2MTg0J3E05BZ5xJqHuUOUYIc
6jF+ZRjusUxJ02k3vDXVN0Hw4MLUkMEsrkqwKeeRh5MkjEQ8YAG5ce/c5INSr4lP8+SqlkFwp+vG
fpp8Iv9sIDLcMHFlP8qmVy/kPQISw3kk8HFivFwFdSRua+qibj3ash7VBN2Fx4bH28cHXwywBj9Z
gU7QX0++xg3ojE70JK3OpA0Bzti3qUwruOQ7jMXG62GRruJgCl71GJhIx7ndXvO5dYtD6Nh4UZrB
9R54NjVXABXSGxby9o6Z2N+MIXQE2o0xV69ydsDxOsfnuzNUlVylU+g/T6k5kLQYi9sMjAEKsoLR
PlTJCUIJlrrZsogiwFXB9qeeusjMHmv88Btr6l5r0xcPuu6dE5the9ORlD0otzAflFkZXwQEwZHb
kd1talGJY2qm4BSxCYcPhRn5J79KHqrKNE5hxdyfQWrjHosr4GSkNiVJTg1Gb5hKF4yrBEC6TcyS
PmkKMrN4PfkpdIAwD8blnZCL+g3yfrgbWT0DH/czzKRzNUDTl/5RR1wd+nyYP/IYDBv2+RTjS8cs
A1ekvSpqrJL14CW/4LC/FnU078dOjvswAUDve0XyFnaTg89pyM4BiHZ8WNC9IeCWOwWGHs9dQLbl
p4h76mJUR7tt7ebad4viF5aeOV8FFkr31swzC5RRYzrHPKp5uOBHco5dnOgHNQ8VmJAmvpaAAre6
nXw+cxEyUFZRE2u2jtg7PIDWwAL7B5ej5Y5yBRHRBUkrCtTvwNuSMm/fZisdMNUIcDs8EeJjX4Ux
LsrevjcdzI4WVPN+BWrLvzKj3rsXLsyBde4sEM1W2Ps0GIObaTYjfVm2S3RNmnF+7aVUTtWTDF+7
KcvO2rfkd6Ny4XMqc5VYV3FNBYfFUog2jqkx6jXtNGV+SkZqZVeu4Ee8sgoKeZtWA0jQTjU92zNN
TYAA61NW0xgMrcNXCVk3S7x5KKL0jKRR/MRmP252gwwqg1bGhuaZKJ03LeW+4V7ExLnYvbD5Okoa
oKuDJnD93FPF+wjFtT/DfcJLmhXW7WDHtlprt9XsRAweDx4p/r1X5PqVwEt110yRQag26ujDVfCy
vDjjs4rNPCVWKaBAemro1waeyzsusINaKdnHL7GlCQnmQ69p7c1i8WCmo3rG/1KfZJtm29Fr5pug
86Cuc2yx5HJVw0+0aZIZ+kvhf1bskdg5Ym6+MfqwvPjJ+Dck8/p1gzdw67e+9zHPgbYov3SmN1I2
WGTpvWZ9MtX9O26FNNhJQSYPg5CESDAPd32mre73/0rFHgmvjepfZe8/iBQW+jAPLgnkClanSsr6
FAzFsoouHt0sP0M9T1j0RO2VLGKHz2zo8AZ0egwZMKOitTHVJKYhOrIlAKP2XBPpgO/DlJqtocqx
S1wKlp5SL1RXktq9s6wq79yji1wzvORXbTTlL8aSWVl7JPE/KJ+I93MG+mqNC9a9GQOP5Fub6/FX
kEzmdFGNop8OmWTUvohLm85FUjrTQQvX/QjzCIhlaRKfK8EWUsNZ+7Aw7SaQN6WK5oPFyfVlWK33
FUVh0217Ng/pikBL0Gy8gp81JnyR2Hu7kmT/ZGvviISkL7Nh4P0iuCx2/VRJzra4f7KomD77k51D
O+rm05wI/SV+Dt+G5O6KFx6o1RCF5yme2veREOS1T+rvgSzJpaVgdEDF6r23uEqAcA1OEBNTC9le
E6ii9qGfbXEbZP6wMWGr4CqDMcfPOV+g1mbpsNnoupQa9l61PDSw8qervLPdFzOy1IhyqVvKWpKG
DhTTrD8cQ9EMUTUgNoka3CXFoJ4hCkPNVK485PRLPfU4eiDwT2N0JMrTYk7FGAebq9QRPHFnNo5Z
qcwD0YoRM62YrJU7LTRuhuR8NTa6uyJMDDoj8wLNKtxCbGMkSA5eM9iHGtgKHIaQFgQLZt7ZnaAI
4JQr63ojatbhZBPgTqxB6/Kjo9jwoijSkE7DkbvcxibrfgIgOB+ACy23G9Gle9ds00Pgsv5eAUG1
zxBIncNAOuY9qObi1zJla76CKPINbjbj3uya7kS1QvNMK/h0hLBBMk1x4K9dEc7rGpQOv9KbXDFg
S122JnHSSkYgaBIRV+G6yqv0rajyJsZLm0S3dlXwn5Blte/weUjTuw7+WKOFJ/i4UM7Q5OnJaJKE
zEveEViZXfcyikcLkXsyTHCooTwTq5q3TjDjt6IylZxWqnouJFUP3LlNSHpvvNlxphXtgzVeeWXi
ASsTg9E0hvBNrqRwD41u+dFwjTcLnJy9OzQXmhPpLck8rN9lErYwQcAkYmcDVeOwYdBhj6+WKOc8
aOIWWesRbGtSnyi2mXlbKl9j3GBgFRqMyp8FGjr00bEAF0jAcsHrxU2wJlWWHCVGp68xygiYN1Qy
gJoNJdRon8Wju8wUOiDcRkh+IrwUWBiwOktcFZ6G/2P25aHP/PZYdlOsaHksxif6kmxzX8BrOxqq
D38RtkrUevbm/LqU+L2Ogsal6NnvRsDKvT+QVfhRZ/6/mPWvxCycUQsE9J9pWf+36cq3j/gt/4cU
0v/6C37Xs6T/G14qG6FIsE2S7rJQ+13PktZvWEsdqKLW33ijf5Oz5G8OSwF+tw1nEqrl3+Us2/vN
c3GGoauy0BWkH/4dOQte4J92Aj4WSfifrkciAmXZ9f+qKquoYI6yY/gSfD7TQ0e+/dZv3U5vRNgt
QYSxy9NDkZcUy/l1E+sVF0nq0iofZo0ROOnWs+zmOMcliDFI0SPP6zHh/xk5klfs2lhNIob1Zss8
H12g2kCLchvb3DYDuagbiikKYP4c2K8gp+JyU1lJSYattDgVEKnbYIsa7j+1A8WklvZxDwRkv81p
IHBMiui9nrl0bUPlMLlSMK3zTWlHATbNQQ53jAsEwFBxiBnYoznZBzWmzb4pZqznRk+k+QTcgcW6
U9dFsZ5c6CwlFtA72pLpo8lUzyONOyNuaGUo7FciKMzvODGreasiUphETQznXNJolS+DfvQCrsHu
9kEQTh+gK/SpRtjatGNRLgCOGpOIaJz+LU7b8QgbtsDuXnvJq2N47aEJHepvh8o078bBa0BX2h5Y
ekLTAowFE1Na2hCjUfIetGdPL2QOAk3KwMafaZtVcsDaB7MQAGfmrZwpRdSrgVBd24U1XA/jbFxy
Avh7NTvJfAOIpbPu7aYSOBKcSUU7dqhCPvdIO8dJ4arb5hIXxZpCB1vtp9Hi+F/Ba2uSo2pb17wN
ltclIx0lWrlLc6i1D208kfzQFORC/KzrF+ZOyPNTv7xY8bHTNP+hCNH3FBG2BdgM/TMLiunWGkfy
14Uf99Zt5AfcCA0f2w7ZKrWxwhKzUmeOZ2LN3ylH/7bMEAwHYoTY/TounjXqX6MsG5NVO617CN03
0vfjFQVbOGJnR++SjM4LkkVwpLDQDw606M6/7+V4xGhkIWIZIa4WeOxbJw3v2zSIbkTeP9u1oB/c
K68a3h9r0rmfwO6PZd8chzFi0MnNYu+2oMBHWnm3YtbldWSL8sLjbXMuCEUfQamDHhDcC8AzBfvC
KVjjVvVF56kr2K4OUCQnW81hcM16n82jw7as7JGDwV7C9jad+BOOeb5n1CyeE+2WN73I3EPXE3qO
ZMUiRMYdN7UW6lZQ+1uG+OpMF0t105SgEB3ip9tZ+qQnx9gMH6N8vM805rFJg3OcOnKiyvebi9qL
xSqRFTrnKIyVU6XvlZWKe1VZGQcSUTuKHsOdF+a4R0o4UpYjrVUPujaxdHetcm+GhRmbFPWCjnnI
4/rUg1PvR5MGws4lGNaksb4NY3p73BmRaE3GfONyU6tce9+rZh1N/ZmFEmkb38DxXn91HQzUwdIr
F2wj/GNk6DJt/VsNVuyFpHy3ifmVFbGZ8gXlv+ZhJB6cnvc/eRZsU+FnbuFa6kp5opnE/GK24J1e
1Ze153fkdRC+TInJjCzKt1/qy67AYqYGg598TQDaKOAVQRaiSCfvEGhDl+u0wGcp6BPYzVPVXqWx
4a/KFlEOosW4HnyfhOnkzi8G3zfNXeFMu7mj9kIsQ2ec2Uu6dLjP3Oqecz+9gPnj4yvP+x2quL8N
EDi2GYUHd02btFtuKOTTCK9BCMg6B68WzOXYCgVeHaPvCMFhs1k7kLU26O3kdM3Qnp6SVFNRJELi
xxId1yP7vZUx84BWzXetoMSaXaAuRmr6djF0WGBb9NxhlCtO5Cg9VNTWviDMmr2zmCh3oOIZPiNs
jidHmxElWnhoeCfwJERjaqlaUcHzIO3os6Y9Lvn9DgKZPPqq/oHp1nMXC8DfN9acTq5peliGcLbY
DuXby5LxD84EeC0qTmMTSJ7dgpoIraFg9GUHcduWhXgcKuTMGrJ/thmEYmwkKVE+lMqYtk2cW5/4
7GV6NVWDZW0zjSph2JgbSAPy019XgcUxNcARpY+P1K4CbEINJhRTKz66XREMt6OTN4jM2Tw8tZ7I
zpNvloJom0RvuoRgGVzPRAtOcRDziCL62a4APlOvqW3dvhvCRuZyY+85ayfmH9p0BLsggwQHS8tg
WEqhhmsZZu1xGCjo63i+X86RMe7yGDFrFv14cEdfXsipH8gPwhcQeRXxsQ/1E0vmeuNh2CKvJclX
VfS0Az9AwLTAD+78kXNLE/2gDnOu196AdeQQeKwOyKtZQ5/vYeewsUYr6w9UrrjFle+AlJMNwXSz
642vwPenC4SaRYypECsbxzTOWeYBTaSp4LaYWnFqRRzdq4EKRdHQwo3iuLLKmebMPrWq20KCxURU
DW5dmN3PpVGLDRsrhAaQHzvyd2je5sSS1oz1TkTBfQwGjH66X2XK5V3qt0pb+y4GagO8h4qD9L3v
m7M0rOCqsqBousbcbGAQtufYzCQ0XV447hsoVyallNVAOQiGx+SN0muqVXDarjofnLdRngmqJDdx
SOMf5BAPCGF88J3QPXKsAMbT7NAaZuVwhQtRHWe/Y4ae6rbfAgMxVrJoypcUSX1j2vX7OCAeNo0j
V6TvyoPFe/NWYb+8TyL3w6+c8Ywq2ABj7rqbFoUl2hlB3BrrgNpzeA80E2Fr70Gcf+aTU7/AtKQU
jVlX4i5wejJwc93bPJRdd3xmqWV1Gzzm9dtke9mrDukqv6fFAAz1VPvMxJ6M1KslovgGnIK4gRTo
vQ8poNas7juSSThr3ylMb5llvX5Yl5Z299LAcOXHPiwzxo17IQz9IXIylZkti3u7HLt4S9/uvKfe
tKf+o3Ovsdc3113VSQrGkjL65RZBdDYd7ZBr5nmj1MA535GI9Bxc4J5HH6XK8C85ifDeuNUS0Paj
MbIOg6nyi2TAP8pPE3sA4oaRnYcSkg+qYU1ZnNlk8HSznLgTq490aLc87Ohsy8axJlzK5oKBe+7U
GthedFPoSPJy2inHPh0gWwsb4Zm2J8qQTcv5YgXTHbh6MZ5NghWfANqI1z21yR1ReHFAw5t5+i1L
RSjHVvlEiU52nU2ZuKmcoqfJWMqXriWtmRSOsVNNGJ2h6XHlEWZT3vNtZA/WPPPTVQlH0+zk5oUX
oHHEynErKHetfxVncKlwLitaXMOq3dqN/crqhS4dKnXTlTllKWmaxH+ZwuG7rzvDXFtW3wP4Knf2
lHB0AdB191k2jb+QHghThWMHXpW9Q/HWmnF/b9W58xKOcI34ifYo8VFrB6BXGWoPfVCIX3OmzA2H
kvFKpiE9J1Yo3+pWjQ+slsqr1IM6thpLG9AVt3AcaalJCJ4MIaE3q8q6XSJm76PznPRAmktTSznO
gE3dLus4VyGsDkj1evqFkGTQYVPTv00QSMiVXYbZpeGk6trpFjEHO/unWTQz+y3dBs84qhu9SqVt
iMsqs9mKJrYZvdgdzaoYscakwNTRNB4rHtN+DZqmuHeHICNbh9EeMgIAn7ZzjE3rhKVcI8jB5h0Q
ri546LXdxpz6EVpkqGB0g1i1f9HTM1HS6Azx+0SEPlwDsOmv63Smo9sOWS7mzOTzZcAd27TqLLqc
Rh4vOzFo/5NCXOsqTLzuIk5hyex9sGxPuoltdtUaJ7ELzP6xbF3Kh70yeK9GS9/3FiMUIGFjGZ5I
H/ImiPgQFrgZ+cgr3iNrYqre1dzXmHogKjH/jMUQrYgrs04PHCc6acqtHrSZGLcTFQzE/k0i8ODs
cuMbWAeZxbawZQ4e33RvZklfMEeG6K/VTOp9joV4Z184tTve8uoLP3V2tCBtZWt0t+ilHIkN7zIo
G8eOeePbTnq8A0WUqy1MvNLaqMQftyFW4kUiydSThSNyWBvlWGxzytdgaYG+2EpqJGJuB3gV8OfO
+rJtUnlLAlCeeX3Km0Fb3Dq9llWCGti6wUnAp8rlhcK+RNWvha60WhUwQZt1aEC+t6JhPDYOBgQw
demwYRkMxjP1K96PaQ3wGZk4ue0ooDooQ9CTOTgRucASJx/QGfiMUJFQZJbFig+AD0gCuHxi0iu3
8h/hcU7vzDGgpdMxgTCmysmDgBwmzU0zjZO1TrQcT1MzvNimeQ8qXT0UFDsl224sq9sOKnB16rOR
Bcpsu2/ejM9q2025voHeOB4V0dRtPdrtS6dE+z1GZlBskGOD+8oci/vZSaOnacg5ibIeFDB+5CXj
zC4avIJVZjsuwsY1HgpQ3F1tgDmPUgq3UOEem96zL6ZSaFpAk9xMMaNh4VxFTTDcEJ1pbtnLo68R
ozpD4xtXmFrao+/1watvmeN9w3WLjelohEdGJS/aWaPIjyX3TbiKaio2c8e7c23jv/VvFTVvfIAQ
PtZz0E97Uw3irYe5dGQdUN2YFoneQfpk4Z3GWRq/nZobWAwxmpisMkbEP5JHgFyGD19E+jOqc/Kv
XRoUtHN1/XJj5TnxxjjbrzpGeH8NGAteSWnYCBDu4HMtSqenaIAlteIlZsErZZ0yS9fxgKW6R/Nb
gb+apnWEK39j+CAm07nTDw6tghYtsGPF1YzCSmoPDegsluWo64CA/D5XniBn0o0vwODDjN1pAZqK
jSXPzToxgfPyPBeXSo+6OGFB5hYAVZkK1lE5E/cLH4xSLrkVTVQ/V1sBxpk3cy6BKykdfczNAtAK
AnimgRrZXMsiygigN0EDVysHKyHw5UwXQ94b0THwZRNvQ/Y/v2rJtc2ES/g4Evr9crMhONJsXT67
bhY/SWR2CA62OewH07AAnTt03Hpjd5wgeEF4LbvvzBooywwFeuyiVubjWoER3UxW2O706BoAoiq1
kRnqdQ+vflPYPmM++x6qsCLf/XD8iK2vJ2v3gYV8vi0J3q4i6V34Se/spjyHQtHK+b4fJ/MmR53Z
2EYGGTJsR0Jk4CnOLVUyHyyobdAEjbrPzXHizGaXTCe3NpgXtUjOM6IUXSBx/uxIo7/JSTs9VLVf
Hhkd25TbbGXeJv4QbHDEhNdtbroXPR/4h0lz9W+MfDqQkyA3m4zlN6iF8ta1G/eBtz034dS5oN9a
HEcr1C8AG5xLWrPmS3+2xkPsiu5IlSXVNlqUeztTq9Z377mTN3eDP9L4GUXOFaJ5daAS23tl5RG9
hyIlg9KbrFATp9mEs5Vd1V2ZnFofUryU1IG1BdTrwUZnaEM7+g6c+DEcjaW/st5SXiD23O2GdcWc
uZ0IWl/pWrN+msu9yloQ7bFsAK6rbBMAsMfwHTzDoJLXZVwPR7dNPiwfDwNqRUZFC84WVj3cB+zu
wo5x+GCwzy/DICVVRBHPOrLG/Bds5vJ6dkDbSMGIwOnQHqgi1wedpsQuNCkY/nvanZ8A8a3kXlYc
nn8QR//BGPcX++wyxTm4QE0HB54Ditj7i9Hb4PFbDjxIjnB5ba6dyy0tEFV0Q98EFbkubyHYnp5v
keURYPmmzj8OhQDr/S++EfFnv/XyneANdDARenzEXRH8xdXfdKEaC7I9x6nx9mnf6vdYimG+Y0Uv
29sgKC3vlAGSFdt8LoYzGy7mPxowNYSWns937PRPeGFgFfST3US7IpXoZ9SiFurNg8/hbJzWYIOo
7fxEXzKvvCfyl4BeI2SJRZArht56h4NbsgZnanxG/iCBo7W4t/vB+GjikIt3F0SPBNG7ZfUYJS86
YR3JI865lmaCKBD05nPQRLxRkni8I2KXBhuUWLllM51dOrFuNmKqwJX1Irpl01WtddDoM5CM6dIY
R3Hd5RHHIVjsnRjzF5sF9J2G1+gPFm3Bi2jpL/Jl/aNk9mB/kEqNzI63SK7uuf6RPaHoIoH6rm1+
1z/CqO0o/9MPPLC+LiSIOZqtZ4/8IsvgjFv+Kl8u7KN2O3sTRdS8Jx1pfYlpMVnnP7d7muK46dOY
wq2fqB0TQNJn04eLIWDLlBrcpj9zgqUrgc+RE023Stp78TNOoCZ5b8mcLPQnGRyN0H6M3Kk71mMT
keDjhc/mCSZ2Khfa3TKz9D/jS7BMMsUy03jLdBMscw5Gax1vsbsU92kF/JRSByaiZTYKlikpxka/
aYBf7m3VoFEuiuiap4nxnv8MWeMybxFY8d7lMoPZyzQ2sRp+VUAupzVaDuNaLWN7vvfcNnt17bx+
I71k4kiatBjxsCteJLfK3Rs9M1/uB8KAMLqlql+asPbKT1C9XbKN3S761qKjoOmff0zsH9H/T7KL
T9abnJZrs5+wAvsvQYEOzAU9oxwnsG6s69qAKVgNidq0DUDisjCDowoa8AWQKAEANNVtQOj/Cl4d
9ViGN4wXno7Y0AHOijYoAJgA6a4Yzkw9+EQddNKXpujrfhUlQt07NEkRpibLFk3JsPX88RbG3+2Q
Y7lYFYPVX1lBoWkNEGP4gRdC7Lyk9gAOq+zOlu6IpO+RwPWsexxqt6UdniT2xasojDoUYGiLZnTP
Z1zcmMVMqS6apWcACeKJZ5LwQK+DgNaowDvEwI1wf3hcUDk7zENf+/kJI595EpXVO9uKYsEHywc6
GPVsb4krUVhM2HFAe4PbcMPDRZ2Cph13LTcZTQa1NkhYOEL2W3fMswu4lAVUT6vxkAy9uvykoUot
F2bgOrmrT7bsyW9GQ7ipRIoZ0Z3zjVRjD14o98PXmK3C6+jihl8PRdXs4NnE+6SgepRT1/HZWdDL
kvrUzJaBy0fO8QZvsYF6EHGLtP8sQolLgZbNkKZsr8TL0MopxR7cwP31u14ePLMJ78Jexu+FRSJW
+1GyDSkaOY8oIygFCUGkxO0v8FUMa9hr1g3S4sy7kktnnlJ7jw/A+CVLSN78dXptGUF5xkEa2Oi8
NcY6eiDW2I1wRpNOxvRZ97SNdh1H2uz2VJQp/QoXLHkw4tZ+UmlRAl6fzXhd9YpH0zikd7S4LWlP
R1y6PKVgKvt6S8iY+s8oxjIVW+ljaULnWuH4WLBbvDIXiTCdnCHGoyoqm82958cmn2uZCkqBqnsp
h3rX5wgU3s9JNMetc+cZTXQ90AEJkq4xO2BTotTBCWgRgdR6WSJZP/skS48dXKufPZO5rJwaVF3w
SvWyiQrbnK2UTCbsLl5pv1s/WyvJ/sr+2WS1whW7zh78p/xn01WSRSSnn1BaRoZDLNAiL6tfI9S9
5CAcz4pu5rq2zO1yjn063TBS1TbaATSRZduWwvfo4J7jB10xGQiIiiBZIMfP6XYA2nFUttLcq5XD
cN2BautWWtLufEgDjwXyhIDhbprEqi4F/PXkoH403XGRd0kyviiIXgHuqIdMJi8EtPiA0JU74Uu4
UOG8GDCkv6utqlu+63bnsmi9HGNWRK1RuQfMTO3bP39Q/TlpxGnuW1wseEg5pics4Sy7zT+owybK
fIYk6h9l5N5E8hbU71Xd3/18kX9rEX4NiItk6bf+P8sf+6jqqaEoRv/kCP7+bw9Vwf/++lv+9CeI
GvznF15oHn/6F1BsiZ7uuq9mOn+1Xf77345QvvzO/+kv/q+vn7/l4V8FNuwlIPHfhzUu35qSr5rx
8/j9Lzx+/sf/tryfP/X7VtsPflsSV4EpPWkLToj/2mr7zm+srEmXCcskxOFKNPv/XGtbAWttvNMm
cREuqv4i5/8tpcEu3LeXSkzqOvkHFvD/RkpjyRb94fxyPMIjPjOi8CR/kwj+kj3yWteofRomti54
nKmcbhE5vq2g3PVECI1Q3/VV9q2A0f6LhQWEy79+ZZKEJNutwPRcTCk/6/Y/vCUjLgKLSaND3JPN
F09lc9U5DmDCwe2t6GjTZ5YixTncqYApzWfih2N+zPt4vkmstv7GFjCNa27AowfPPwheKC+uLlPb
sSscaZNTcHtyJTphOwUniNTwmjpwoTvhhlzpGlHtZ5aPFwZ5NCq8JOjwcmKUJXhO64HX3A4R7VIo
fB+pydOlo+lnucGutbEAnVV5hq2JVyUClm/Y5qWOsY86Y5OexWh5PWaAXtxYlPWe8sjKKOYmtr3q
xnS4EUH6EHF5ox4KaXw/Cq+4I/O1hVF8lYq0vcYcxHcgZ4uHJQ/OcQW5kT88TAkEvkr1y7bcedR+
y9ay7ayIoU82Vy7OOvQOBEC2Fbhoahvnp63dFF0L6SQZLHn2mB8omYuZLXNKvAa7u5sq5WyoyYpf
WFphA6XNxdgBUxa46nsWEoPR6u9wtOVIdkRSYhWlWn6C2GwhkgwgqaNGmo/LBMo/0j3mbagviM9t
RbPcqqQVpMRxFKXNikqMYR+Y6DUs44bLwTXKK0xgzVoYoL2RLOkw5Foab+1sck+c1D5OwNa8Stpx
KX4fibxQbsySnacNjkrl6wsP2ybWT/q99pXTjVdUZehdbMCMTRHSYIXq+bIc+/pRUbfXrVXdcsny
hVs9kS9qN7Y2AmPlZ9w92Cj1sjqhg+KQj52soJmVIvYQYYUQnNPWUsPL7ByOfZO9SRWb81OR22ZG
7gK+oV7bE6fbgnuZbvl9+DrtobS+XMN3zW1EX8K2d7U8xd7QYldDwKBWpvHStWsZ+ti1YH1JdVRp
z3XJrIgsmTYu3dhnDqii2n3C+OaznE6pEsC/XYYI2ToIVh62fNY3iLPHsGjxakVcHa67DoOdQpS+
hn1jvkRmFX+FKLgfvDLJuc1KeetnLnZaqsancgtqOX5hZZ5gWeuSCMzYUr/umRaZKrvjq8x2TOg3
zLikABpzfg210154c+qN69Dpc2Kd8OvKTSwsgjFLGxwFJNO9Xc2U+VkBpTKDZet5kxZc6XDNg7NQ
ACoRJKOhvutDS/6iEiB+bvBeB9jamupa5vibNwG42af+/7F3HkuSI1cW/RX+gLc5tGM5oVWKSFEp
NrAUldBaOICvnxPVPWRX95CcXo7NbGhGI7MiMwIB+Lvv3nM7Eoxe3xvjuid5hJWuax916LP1M+Fh
vNVwNpgRPJGuCL0AT3GzpOE4bdTGd9HGxj1G1/zb4EDZBannPRe43Qe4bVkgVqa25EOIuxDaI75Q
DmKkFe5Lt7YxYvRUbSOU46oNEh7Rq9YCHkehlOrI9DQZmFt3pF0ljOidWEfEbrdGNKDDRkxzi4HO
8B1rlWHYRoAX7jBvYq/0Q5kdZwifxgKXOneR1MsBeBJBQaOuJhyZRqrSbzDkUe0QSzHr4S4uPyQb
E7liI5zv5lpULUoPR1fuhKaH/Bzz97h9zrayShTmwTyLbjky0UrTUI9A2RQdQue4xE3LR8qJCd3S
ZU6vXNQzt7nE26KVXdl67VhOfs4MSuPmqkUOr6iWfyYxhZcF8P/0olEtXrmZ84kqjNbsUTyjcJYY
cYS/pL0kSemLr/DYCUU5H3seDVm1G/lNCZscoGtiK+E39FFlWfAWyyEInHKVinlA6Hb1t4x2B7xI
Nm3s1F/6JlgdwEsvFIUMdAb2DqqQNARlSXqSyRXLj/5WOKp6VNPoYGYNBk+tA1SSZ03E5RPfLo1X
4Ba4pce4F9ilokLg2MyiGVyQwqi9N9gHQnhiiXONR1FGt6UExb62XQBAJRj/aNtmVucfJtEjz049
XL0rkNuxu7LrRLxpaLHBcsIS3CL5ERkgaUh9rSY+tLEBImYrXc1huUC2x73ChUOjYl2mY4hpBM8E
yhYcnprEAvidyWn5vwAaAzHbqP7UtHSsYYmdD9jsIYGaKrjiSmpevUEYVxBXvW89QM/DgKJ7nBPJ
jVi2LsjxaOIJmmKPfMKCyU0PAUFf212qinWecqeGIwvAb0pJki0sx8Y6TnPKPUMLphbOjvlCVzKt
+Mp5zdfUD9GZah94zDGYlvUgfX2tmDM3/KHD0grL/Kkow+YQpgrTbwInHctQFoL8LOZjbhZyKZjb
jh5fvbXFb/42Q+TqdYR33pMOGHcOUu/4RbJrGz+SXvdkTaJlapGLW5qV48ldEIKgucg8wZsMGXoW
vdul06l0AfCByRiiJ2mNkg9aZXGyVCPLSUy5/G1jEE3P1my5D9x+q9uxMd1tiKz6QpGpcXIB6sBw
zszsBRSaby0ga3pYOqQLU3JImHeXZm/UVC1dpiCmYNm86p650/ZQXgOCMLcS6993ayIDqYJ4pl2g
tz6AQATEIaVLz06ZbU07psZNldSULZqsaz7neAiJNNTIp0ta/BwMBK1rnmO77u/L0kBlJUOXnag1
8l6cPoq+ZoLhEeyZGtOwkaVk6PskmsEId+OI32Ae7aFelmGgniejct94usRn9LyIpGdQ5ca4MEHU
ssrrKrIKi7pNvRsZ8Mhf2gPVNvsMjHNCGoEGtxZs54rFRsuXAGbr2AoaC00/uC6H8mnIAdcWTTCu
IuwKaOTtFG04GGB26DvhAYyObPfehfKjl/VEZQVbITu5ILOwXuB+3hp5gK2RvQz+4NxUH7XZWcci
IkC8GD2Dyo2gpFatFsI99bbxwqatfkxHy35XrNazHV6SMlz7ZhvXC8PkkIDLzeu+AGomiGZ4FXpA
PY66w6IQBpt+uNi9FU0gLZWNfcK30+rZgGltNVw0A26+tVQJpQUsM0R5BDxvP2mQ5saCjsOCg1BG
9s6WPPaaTBLhVbPicckD3vhq0oC8oZFmIWNdgVVS9PZ4Q4k7ve1yygeERipAF5gE8Cyzk5wOcR2L
d3ZkhIdjBwg3wDgll5WTdq9QiZklYQeL15D6GHdptVPyNmqyNAvfzEu0lVkY94WqbHsXDhVnE9uY
9SM0CgznFKFY7X4KLPbFXAI6oH4tuUSKoUrcySKb1QbQq84W8ZzhGqMyqN5jhvQQN0jUjnaASy/N
0HMqf2l12LUdqr+fkGwhaQlowYsmiEgR5m3J1oPSXjMY0f18GsThgBviYzLC6kWC2MVqt8RCYiIT
zApblKL/G+Qdqn7MwmiueLEqNG9YYoXcHi48YWuAcelMq5xVxC5EmEoWE7C2c1IBGNJ5QZ1d22Sw
5gObR+4Q3E4U+rE0Baa7QU37wHtgPHElWl/UQZEgH2IaC5rS82+9vmlwm40auQqj5d1sTHG5lp0f
3YvJyK9YkfP+8aX4xjab21Vm0X6zVRS3PGEpbR/apgOKHs/OOK3I27S0n05V/+VzGvywo4HuPRIZ
Ub5kAwaqN2e6+bJUC/14pq72wa4m6NMlVqArFDla0U1BP2RochUSx9QFNMZ+0l+xYKFYzXV+r2du
KouqCKp+JeA7U/9ehCQ4g45Khh0JhFEByx+nA/4Iun3rLB+YA3jSyjSKSiq2JyviMVbU2XXOaT5f
EUwZJGy7rAED68b3VVqLu3Kaw/XMPpE0KMX1S1njodNkW4F8JXgYnbrHK5wVrjikWQD7eCQvqrmI
Xf+hpInaWljU4kEst9JLsU+DAIT3+ILLCGdK5UnNsZFZYUzmrSXq/2iALaeN4hIL6NOKnqV5BJnV
wRFsl6HTZk8TuDrCGqKPvqdeiDGj9gJORYXIOSIaLqExjHRm+U2StHzQrVSfZh6WOz1NY7XvY76j
VGcz5oVsdt4SuwzlhjHWudEwXdkxiCLDQhGiqbCY5XjoF/4Ei7EAowCHMCAaoWxydDyGy/rMFhgB
EaekDy44njlg9+hZFEg08pbYSk1PDCsBFDdsXQ9e0eCUENn3Ys6IlKajAgjb0C1L6CQXCY20bmgc
CK8412U3cISMOiJnhzhX8kCJDhdcwDd/D66pwRIWQiewU1vzOTqMeVBqk21s2nKvVUgjkSiTT5fA
aLOwvNg4MiU7Zxfjm6FmudA1mGfTnK/HKH2MZrp+aDQgumcBH2htWN2loCXdCAlqmdS58wW4iWlI
XU9uh4c3g15Yehw/mnJogQx7XcoqfmawmGNkzp44yThoSf1pE2+L2ijO2marm08NZTYGp0ZirVMT
8DITaayyMOK1mJhFvGnkcDEm7o3lsykrymzX82CjSESvwzbVFIQ18psschPDLex/1rvtUxEM/bKL
TQJersJYVyXTxinGG4Lp4AJNp3d3uMP8feAFNNXqysT07FBKt/KDOj4aMKsXZJQUBZ9NVlxHiqjV
PDSa1ozAD+gqUcV37ETbWsn2q5qilA6RgfTzUPgvdCKrA/Z869ms3ZAqVsYzjzeobzIqMDq81DW7
7SBy1vyLqbhlR0WX0WjRw8UjGZJ5Tu3NzqwDVbHWn4wHAF/iCJ8Ba78vqp1HSOYRv1n6GlA/chGC
J/E19F7RvlopYxAHgHgwN0Wg5LzFKaIVd1JzxLdph3If91X2KcgGniYj4mQ5sPI0MF8YktMAjhy9
wbIR4spSPvZ9m/2koWpWxo4m/BZJPOrUARmkkByDk8IqvTwzKwUAFDeA4kalNG20K85I7aH6cdvp
+NVeOteeh9XY00VD3YngohgkGcudkzMmbGjkhOtglq2dLiuvt3AWsAnEIaSN73SBmdRNmWzKV6pV
PpEwf/R3mFfacGkVEYdoDcbiuwqtbBWj5Bxb3epr/Dmzt5Qy4mDaG4n7gWaN0QGfUkzmzCaN2VvW
HabaIV+HSnJLDJSrV2Ewh9OyqloMC3EOm2EbxwHDeZJha0OfNuWpb6pqBxWa01OnombalGKkq2ci
CLn969Lnfy9q/qSC/s/U0e338vot/97+L9BHLd9ESv7n8ugijt6a30ujv/7Ab/wa9QtnEQfLMlwq
rk8bifA3fo31C7VHHpwqE13fAWDzd2UUujKrUg+5ErCMa4Jk+7syatq/8BOu8tmgOxbmHP+vKKPq
x7L999qoKXkisIVnC24jxTp/EM3rgUx34VPFWQWG/ZCE9rwidlYcRo++Uso9++1Q5y9RyoaVU5Mi
3Z/naFpOz5KB/7C3Bbfkq6i006ckimISnzPBH7/wAridXcR0YTYRIP7GdUkxa9pCdJG5pyCl93aR
QibZp9g2t2zI5iffcsuvufS6p2gGWLmwLbO7gc443tKcgGOhlWJpM11u6FDFmNkM5h0TVX2E3lse
JqOltIFSzn04TBczE8ZBah9IEB6rrk2OSUb0d0FEqHhI42CW+zS2BShJXmjp2AkuzMgdXFa3efAI
0LDe5o5wjq5fDq91XFEklAiVQnXwpvgbp0T5GDiTpmjNCvm3rXKU1G0l1OeG2Wx++mGQEb+FhHxg
ARhy7HTT69lMGnsB4DA+yTzx8PcxEFz6AXPsyq7VnMEgs6nKqTc7+zGzBWTM4qogEcJGkXIxkKCD
k1Ow0E39F21m4o4EQjAusjjQb5XhkCVB/hqQ1sRUX0djyvRZ4zCrNoFHomgZRtRst/M07V0KFDb9
RJkq1cI0T1AFbm2q3itPFhL5PjEMan5yW1qbnIKfndk7FOSN1lfUZYynbkQMYFFkdrNLRFqTyvRJ
ESzHTvLpRr1v4hRVFPa0wAmoVyq89dTJaoOU4t07pfQ20IKbz6nL4ph3I+i3PU3bHxUOpReDA8WB
Apbw6MD6PlMRbj5qu2iuUsDCzpI8kSc2TiUTsR5RHCFcY5mjZCtxnR/qy47KMJ/ehaJa105KiMjB
qXuYhsI7YYfUB6fr5Hl2Ku+I31WvDbd3XvHYZQ853IR7m3yN3sGIlud4Fn2Fy96RHPkd+qIkBpyb
ypW0UXmp6q6cRlknp6bqFsEGXxojE6Mt5GhSB5q3VDUuRWCG8OmMCHtNTANV8BTo9j6Xc/DqN0V6
EKltv3hUlhw9MYEJwfzL21Qa/jWDaikx6RUKRtBQ4xYuWoUqlmL0j2hpoyV4YwSahjPVzta+JfBD
g4SLXh1PuOJFSVGsmpK1hPG3YtX6Sp4tWAVuma/qbhDfaht6ZuOXB8nWeuP1QblyJvumA340eo6/
yX3IakFjPwVRvM57s92UpYfXFkTLCYC7psSp/jBEU1/n6Gt1U335oAOXAfmuzCcfwxNr2c22vslr
1Ginspc88wZKyFy6MFHybgJwD2zePXqMNto0U/g1ZPuQZ0aQFWULU0JyYFvYCUUb8ASWhAOB2Ng5
cA9/7vITqxjEPYa1R/KvxZUAvMAZlX1HZnd9f2a3GzCIYXFC25UiQucUo3plPINU0KmOUPDYhdEH
QrGUK+4mOJZLOaODYfSIoq3V8+ZQaZkRv6Duil+SH3I4T+JXJDSMf1+ctIPDl9YJL/0EnsuRxEjE
RrmJw2XRjcgBjr2Vgy3XPOSNvdGwBua4SYo3tMn+h3MQPHq8tagLAyZVjswbFZImwCWr2VQDtqKu
Ken6DWfO+apzYnmvkmZ+VXh0rYUZNwPqk0krvBektwHa2UYmZfxVUaLc0eCIj4QGQTltmBfGdWwJ
DScHDhKb4KF/wcwj2ee62ImHOY13UxDX2PDSEOmi9cyrxpV4hVns7uiqb55tnD5cDhNdwoHG5lSV
3Tqzi+Fekhp/JiiXHry8nuqVmQC5bvuayjwqZm+ThPAIvnq7fw8pSlxbpr+bQ+dIich06mSaPTdm
2FKTA34KssF9Xw3pnko5ojVYkG/cVs432AjzrYLpdFsXpyru9vkwTLewjGMQx9bw6PvWsGmxjgEN
Gz0CGmklrlE0ZHW0uJpudNVkTMvc4Zdp7xsHW2cvOB+6F/T09Fsd9+UVb3N6JuBlvzLmu+mqpl+M
/mAKmG/CiHbjaJhY05nh3K6SvrPWWnU0dLLvu4og54DaDvDf2H5/zEgXgoAZAOhAOzs2nLzxpmZ8
dLNOM/Io+XwfzIi0ywDj55Py0QynauxuAEhYBy/LZyoCM6yerZskn3Ua9XtjIDmxyIUT32d2yFV2
eW0vjq3bDll8E7Jy2pnoYh+GjqatG4Tc+lROAaBVZJzQ6Ua68DZQZ08elVrkksJsO2ge91VTb4wE
SYRFmL6L/BalrhMhKC38qXsCQuE2sKNqGQdB9oSDdH7s2OOeZgv5bmF4tXmobHqrlgVLkX0orc92
ojZdghF9dyJVp+u5TKpHUv1Y1GyOHgXelcY7jZVKrkzFvvKyASIPlb9ZbRFzGafJdWI34Y1VMTUy
pAWwgXLtp6+a+ym5y0haYj2FRXn2bGV0e13H8wPEL5NitDLvD7Jt3G+w9ofHMTE+G2ayeUvGn+1X
SBuj57fhd6/vwk3hXpZrkzlai6llGbvAozyu3cy6gC89/YDVTr8RmIi56ZropKhsYCUWXuJUjx6C
y3dqB1KkpvIivcfJoso74wXfv+numoRGtq4m0jpyEx1DoejbcZLDXDnDsx+E737Ysl5z1bFWPswZ
E7AAi7Id0+c9oxP6e1Lqw1QH1+iLNemxGr2XVCatUNVk3qcNX5Jd78fOkYSpe8+KIViItodEU/jd
XkUJhw4K2dp3eDnX5URww8CXuDcr4WzrhIfpom5EskJGJhbtmPrMfNFy3kPhinLLx60R6MdyKrON
MeMTxP8IbNezx8e0msWF6+XQ5FBA02wJfnqlIx7U6K1He0KZYj101q2TXzdsMCFDxMmTMU3mfmjy
HvWqqD4Lhr+tTttiHXLc2o1e4T+7FnnfwHDLz6E1x41uZ1Iv2nWn+8aO611Pc92mMtsdo2J0isp+
2oAmr/EUEcUY6cn68lAPl1Xg3FRmEx9zweO+MGvjnTX/jzpVRZJjHIimLaZBxMcsByPOSZKUZxBI
fZrpX8T5lAv3enIbbiSgPd7zoTGhn7cQEwPRbXWu41t34hxlQHHYeB0h2Dnx2EIGPrCXuGCpxZ4J
6Xn8zN25vUUruu6V1ZHSqVos1oLjQIcq6k3UpdF6nbJn0ScOndDJ/cK+YcuV7bDyWQvYPzYNv+lW
evFp6qJ3oPeflcE2MwzbDYtB9FI7jL27sqoqi22vNDZRLY7cE/OeqoMkemAFSflSOY0FQRrdJxwj
/BqXs9vpjTV14k5hY5cvrG2UdxiwZ2+JBvl89mVmf3HIKvstWzjjGw+pmr4Cyjo9R4f1Yc5rzn6N
Sv3PoYe+t5lBTry29qDv/czxVvbcz1eyFVepkWALBSR4wFIVLSzsV6e2iX1OcxjYFypP4gk934C+
oRvHemAPGu7ytgPDkfnBSnfJ0XIq95o7Ao4NiAQnNzQHluuhFT9X/MTJzMUEa81M5+umUyj5lay9
F3ZqbBgasznxfXV6zl7dtGnqaTinoo41ApCrrsBCsSTANTmba/JyEj9iSiMAOZzsfmZTU68rCmZe
aPvNT1Z72YsYtJJfWyUnFFbNKOwcVoFmRqFb3qZYD1wIQy3SWOvoeKbhgP3bOpzheS3SoGJzA0ru
yITORjWStjiEHkcMu6fWmRDbNVZrN1t1LZrt4HpnFUrb4gDGbmiJ2S3/VFNsvIdVr65captfaPzt
90r5AiO+G4OSykNWr7QoBv24tDNl+auCHAoN0qyH8EBoIvhEwjpCzc20HslwLjyAzxu7drYASrIV
db9UGAra2JZTEjRb7lpvVE3RomL25SrCrb7NFEs6qja2kRnemrXzVRtDuAuKUuyxtrbLlLZAWUUY
2uNrEGL+YnCrfIUbo7uXugH0RSHklu0XxLJLAwrwrK24jBjYj3e8ETOAAyQ0zob8JgfXKb7kxFsS
h2JnurhN+CBizB48cuLMFyufJbrf6GxJSdVDF9GHbGTho+DYwUpxoKQ76VDlqDYttbqyzLZeQYyE
5g3ShWHkXQQsLJxkRRiIWIQf82yQ4WtXmnBFGc2ctsEr33vuatb1BEws6vYQJqllxXa6oDdmXgVx
DuCTtq9lSivbKh6KlpilLpc6aza4JVYyY4E/4I3to11Hee2qtIubuffSW23BPHRxVVzx3bO38KL8
FY8emNh6QnFlbrIOVCKEd0Gl0i1oaTbCNVufWkJeXQDqo5OsKqzNnLckgZSYhu1oOMGZvYHBniMj
T0wzX4/7z2MPdwKVlMRLup5L1glwHtKRePps2cPOFvAae4OenDYpKLuMooyBJQFZfRxBqcFSNYfh
TIgoj9ZuWJGPsvPxjW7Y4Ni6ELEgU4Dx1KnzjLuhD9edwIK0NC62h4O0jPjOpaKJ9mzWDrtqlFSi
sJR9Cos2u8d/U114h7ZLjUWatQdsYR1nUNU23PKG6sm2u3tr4lKUnXroutQ5coMhghJXajdm9dtc
sW+pcbKuuzGBk9j6awyQw3cTlpzJ6VSqa5aUaseMVQA5klX2gqrvLkdzuqSAm2B45ZsVL2OKRYiV
5dE2Bwa0HSce1U7MCGdGPkUmJBh3nUIlWCiYeOvYbKqjEXLP5y4k9bcQ/tdLmfnxNna7nq0z7LFH
xcHFZvmTZyN+CpzR/6++/U/ciRcD4L9S3/6jbd9+aj379Qd+o+24VJsxVSggLa7r4U78u/rm/8Ig
y7/tYhdFrr38L/+F2/F+gQyNM9Fz+WFDXWIjv/kSUd8MTOTQow3Puchvxl9R39w/4HYIYUjp80qo
fL5n81oXS+vv/IFl5GkZsePcBRE3z4UcBeTRHqpDspVlD1ARYld2q1DnATvTnoCjJJw6gHJwbPNl
1HlDu2jQHhv4xx2WBSR2hO/c6cvdKPoAvvpE7l0RYFtj+7e/4+Cy+P7RXnogC9eDgaPDfWn7Q7wH
PLxOnKK9tePCPPutQZ+0ObHlNjGxjaYf79swGK96075XNuM97yDRv4qHZ1ma3RUsjg0SxYotSLLG
islAmC+9qu9XtLnNSxcNZmFeihjnRpUbD8vByib7sLYcSsbK2r8KQmFcD6INt/YcvbJtiY8Q5NQq
EahyswQqUzrWJwWSzlIP7QcJArVNKyzoXevQxDEG0z5hLj3P+LfJQMro069dEuroggeS7W/eKLgt
eLLZAJvFYOPzmioGsjt4xnWHf3rue2eDewKnfCKuXXrRymR+5xa+F6G16vLgiaahIyv0k02FLxrc
IbeNbUxzXYRXUnzYIC83wWh9Zlm1bWGmLFJ3gssG7AEXFnZI3FBlDNbMQX9csevDwmkkT1nkjOvO
855JFpySxlAL5a1YGTTLuB+JA4S1uoQmIONpwHUcbQHAldN2iu3tKGA2YB2+TZuqYfE5tgBrwtzc
YV97x7XBgMIgf2b5Yd5MvWMu6SzoX/PWJPPMIzf8MAMXHCbs31t4rxxlDW1/NE0vtllfqxuia+hk
ozt9NX5HFJO8fs3id5yPaZXrUxOlNySh4y+74fkHmxKHSUgEgmU669Y464CAgAzHf3iHy+SQ9h3n
ZHyi6BKisW4oKYYrnKnblJ32SrvznYrKc+pd+o20dzvnMRE3jO7HuO6oI5ApfhR/IKMYO9NH5iTj
RonsNbf64ar13D2tJNytB2LqJJt6Z+0R5j+OUpEEddXGgrW0LqgbW/I4no4dHhEqXZy7jvyhcSJE
l/hLaFNGTehGxNYyxx7Zb7oc38JSkGaELulfJrJk4I9dZZXN9y5xe6J7RG9y4vAzaOotY6rLHwyP
9a7hmIZkbOXtsGJzX9Ch5c5SLvuhJjdZSYJI69aDjk6gNIrdpccKy6MQLtA905GBv4mcDEUIBZvo
8CTsOO92PVibbhmZaZvTC2XH1ZMABI2IKgqF+TDNYcpxoCmJRgyAhq+dKKHuDVtHMx2DOsr0Ro0O
BpCwaBp1n3OYK/cpElf5VcFRJsGSJD7fgDbKfPb5IiEtQtrDhkfvK+KJPlYoArWSGr3IcpklS6e+
PIcJfkSbIBeq/SxNCtyWJeUqw8pgjrzIywDfqbOZnoj89Qe/S4JbsmpqWiWBwRPYncao3AWmZtFu
DoIsC5W6rJDJO4XOihpZ3iwvFYuGwE3Pr/FI8yDfEBJsSGAzOemkyAE0hd13HdSlvYoBeteYRGIj
vXUhPVDqRRBekfZAIr2OUpC4R5twLibU0ewuCOomWzKQExOGaspuOu+xtezduumyD4blPt74Xlqn
sBMUPBd7MKiC9bFu1YAw7iD8y/XFCpRyT0nZGucDf2gVeSRvgxHNrCZunpXzAfu0+UpwNLrg+ro3
XeCzJY091nAz2r4AVTwn+3ykZ1Y5Yon2DYTebR+SznuIuvFZFclIaVU9vShH15s5jbKzlRiXAqIQ
Y3dRoF17XrkZhla9hATRGLs6e3415Pyp3T4gg9wX3wLRrCqf8aCFaps3Q3d0+XcJNHbScDiAjnrI
T10zpBbZnoB3dJjo9qU5ECxSpkR9MzWZsRbRiGTPya8zL+CCRq/Nosj0kbs2TlZ79DZEsbr7hOoN
6y7IoKltaPRSLFtbF3jiBQI+sVAe75ws9ucdRKRwNQD7je4zz4g+hZsZhFixX0UrhQbw0JAAH14p
QibaTlIX4Tsa4pZpG/SnEaN+pXp8H6MkwCvMtYz5KXQhhYbVRSFvk2UztsNt103xjS1YCAw0FFwp
C1M4FKV9ELkJgHnZU8Y9F49ilt5JkBd7aUenOldC4lIdJt9/aOds4qTd5NktJuryvWDlt+shAe0D
tjRioXt4G24QG2fR+g1k186/ISM+sCUzEvUemqp/yuIUgFlTQIin6qAHtEDkWX2pbK5PFYrAF35Z
3S/hbnnZQytqSnzZC2BKstwI6Eopk+wrVi7GDZYA8jodBvcO44H7lAP+2caEab0NeoGbnYwCK64o
pmgtCr95KMO6wu2R6uK76anya/CEfta1Se9hbdOb5jp5Qx8LKihckJH6bRLt1lWYtSK/ytLKfmA/
U+enohpVukuNEuk9jAVVoPCOFShvElzLpPXHbVLB0aasMrU/S9EMZzc1aWIsi+xUUNbIINwF3mPW
GM7r3PMEiSfuqtTRTOGzOwh5NkeDrV82ZeMV4tWwUsBhdoH2oSWHjnGMQrPbD7bJOiy0iSs4OHoE
94gS2pCC/wEQU0w2rE1/bh/HyBDX9L/n82IMW5ZULos5wp2CQ/6FVVxgVBjqbEK4ouMC48KUgecC
gt+S4DI3s2W1zrmhPO45b0MuujIMrWGNzhLQOAaMNjn4+GRg9oBFDPYCF1Szo8aE5x8gQLc4DyR5
pxtmxsg8CznhgWOpiMWGEZQmkNbyCL9XEX/6SuuLmzSHEoY9VeH02BI3cMJTXAjQE/ScDmfDDOLw
YFezI0+adQB8VpwXCh3uQg0eKwa7REz9HV4Rp/pGvnU55hjWkoxMOLUlEkQeX3k/ivylJrhxlXqG
2uIG9B+Izrpn0PIa3l7AfR8/9AW/OFs731EYuMzY3PE8y2+smZZx5bVqi4MO6x7qWrYSSTufWkxl
cAdbSxxjq+VTqEDykITFMfYxKhdv0jiVHB8sed1OhGXjJriTfOGXTRsH686Fl9OSlX1WRl8fEYfC
x6Stma9bLeRCVm4ItiGMwjWnm4JPmPLXeVJ1daKZnTnZsm02lO7oKz7WqqM3LkDsJzxpZjAJW8+6
ymhdpTSWuoctO1MshCV8s5Gcv4vUXyVJDiousB4nY4j5mOmtxIU59f39CKet2huTgqZszuEnjzlu
lgG+J2xMOrLCHcJ+sDaYP9i+0ss5AcW5ne3ytvaMcdvGvQELgn5Yim6dU9lUCnXGOdYz9O/C7B5C
JBxjQZvIUQtnfuOBkdyHnpl9VqxByP/j799oSwBl6ZqgWDDK1J9hWHAEK51gH2ZS7zJUv3hTjZHH
bixuqF6VFHRuavrrLhIsD4KtHjm2XzlR52/bUsNx0uM436Q2NTV1N5UfVTt90OObYmM3YlZypTQd
VkHWRYozshy/0++Gs/8m/f9zIurPE88lkv+7iccae9pSym7c22XGmoh9c3MoMpE8/PWXUURpAWmz
RGRN+/PLDHNelEEg9N4bGxaH0BsSXLu17f2bP+cSff6HfeLy51w+X8PGycFEyH/9+XUMX5id8p1+
P/dF/5ZcnvBuNzMRhJPKInoE0vh7NtARv8Bbhuv0X/+V5s8Ag19fHu++R1Wdx3T7xz8zhiVOBbPV
7W2iJZvochAwVe5u7MvhYNBtdla1BR6rtKeXdCqpd+c0gcX9YeZ0QZ02xwwDjN/l4FHgCdzO4+1I
4fPetWrq5CUmxWqRzARrFkLH2U3bNNyqSro1CWJEJR3I/r/ppPvzH8QkLOEj8cYqk+Dez+8n+lTk
ZWVf7ee4hfeBOSEEaEwElpArpHue8SE656/Syj8HC/7pQ7SkK23DuNT+uZ78wzXZsKu0B4DNvGg4
nywKntO8e5HwaWNvqv9SSvXykfFiP6qpDP4l+48p1dC3zCIjwb7XcyzWoG8/x1Rscjl2/+av+vM3
zeKydMhcQuyxyTn8/FaaeWtUJdh6LHY5PhrbqKBbwxFCGv/XV6Hx5w/NItfJFMkx0ZQErX9+pRAn
TeLMTrbvbIP6lJ4jBYp0FJ5QP6x+Re7CbLf+TISPR55ub1LdW/atujQCX458/Y/TX4WuvOpAcsy7
8cf5sPlxVvzXv+qf3hPDMLm0fIQd3haH1vqf7j4QVuEzlCreYy2W3r5SfXc7liPD0l9+HWKmjvOj
nswBXfvz67gAc+HY99G+CBgGVo1nkq+/eIIOP17nL6WR/y9a8siKc5PwIMf8c1ve6u2zefvbW/H5
t+s3aub+tnsbvmfx7316//hXfksxW79wllbc0m3sI1ybXB6/evU88xe0QtvnNYHXqB/55v9SCyU2
Pj5n9auHz/ydVU/+InG0kG+WJnhupO+/JBZyyfzjSeOR9KU2DEsgVy80XU/+4UmTJB0bawSCtQaB
mSTj1rWjjUEkIx3tX42e//R+eEl///RaLnsnvIfUCBPh8Hkrfr58wxwnWkVR8dopGCq9gRxwvSNY
w6bG2VCJ9JKzMe40hr2N8OabMGdPFlnPcGSYysfjmFUb+Ab/7jbzh3w/vwa/lfWf7J3ZctzGuqVf
pV8ADkyJ4baqUDOLLJLioBsEJZKYh0zMePrzwXbvluS97T4RfdMRx+Gw5bDEmlDIzH+t9S1zyfjz
CzyQPz+rsE4q3ylkGNTxFLSZPOTOQCcBpx7SNcEM4NDVOK8qZ7u4fPwIulW4tN5E9U60a9us/0AB
/Me3CaLbX98nj7g7tz0wQj4c9p+fURG7NR7tKAyauYt3MEsOUSnse2DI4S02IoRGodFglxOaJG49
H5MKrbidRcf8pifaFJdfNc6D17A1ciALXniy7eRQuyV7ug5sTzl8dcfvJFg3PaKcU5U3CGUJXnCM
Tyuqfog+gVRztMBqCHMtZkuPyUQ1byQY0tIUN7pEM6tJKdnlJs0hBsFrpEKHecQ92YN7plb0uEAp
kj04yinQoM4Mnb8qdfMYOXBBZHVuHHMPMGwl1Qsk5YMWc8zqv2nlyXGZH9uDdazJ95g2xSNPfdc/
98QhVmqiK74e3YPdPjHSOngUkOY9hWeq3RQNAkkbXWdIHG56yT3BeHdee2JCRwmPbFU3GR54P8zP
kxgeir48sgPajkzJHQjw665ot4uZYatBkaO+YYN/dr1YvDpb3fSxs22szxGgpGfzmPlAy2m/tWSF
QvuMrfYIdmntluyqc8HsFERl0m8BZa1RvveqGdYce3l7eBifThc53FckEvg8sX9a+64lPDgPPZY2
Ymep2hjyW+zemqU8l3AikwRrO4Bklj3MMXwze2qMaC7SkoeMxiJNXeCybjESvvVpGNj2NzlWXxtm
2YqFGd0uA1pBjxAVjncEr/ae0a8Lz93C61uT8+ouui/qh6QNv0Zuod1Mkk/O7bJbxlbDvTkD4iV5
ggugDf07tO3qe2RJUnl1zZsGXwctHg/WRwMT7sp5pnrz0ZlxeVFVt3ZQsJOlZ9Id7AfX6MwvHN37
A5T97hWXIQValh/thmE5rzu5Hj0V9RJ6hyy9IpkzEwXPAEevQjjJD5RadFvDaVxWc2B52CHB/fMs
nPFNKGyOBJAZfo2yj27ivk7OVmfdCtU4VzX37n1rFn+2Kv/PIvkPXA93wRWb3LP+8xq5q35ievzr
T/y5HuI1Xw4VhgEh7Sf1zLWonYCw4hpEdUz2mdz5/jfVQ/zmGcSHfcNlK0+pC4v0n+qZYf/mQQAB
BGLZBscV779F9fh518kCzRPTHVrVfAELjvPXzzdf0+XCFPkwBBzuqhVkrHkbskjCxyU1phXp+Mde
6z/e7v+y/Pz+eDwgTnl2kItg+OPJlaq6JuPaH4LZ5mQy29FnP7MUo7OM/3Sss/6ysABMgWeDLMjG
HX7CLwtL5wjTskCLodrpVAUWgqgUA0/jgM2svsnCqL/pZkTC3GzLTSSV/+7kFMRSR5odCt9mgM6R
3jhSi0EZaNYRZME6HKlnGyIzDCrPERdnSXGRxW1QiqBPr5vfE17p72mv4vfk12BVH9rCN3K8zHgs
fk+IkdIiLdYuwbGETj2mikucrMXN/tE6cRU0vyfNvCbvPsmdxh8MOXB+lBypqjCf73xp4nKCKBrt
sDZg6sP8ek1heJ4kTb79XtodSzesJu5HnRuGzx6KJgYQAI7UWEc5YaLIm4CZa5Hm7urZYm5ZYLsH
o+UP0bhqbEVkjhi2+ixSTR3dxjm4EdeD0aM1am55huf6yASWUmna98IjgPX5lJgA7ccxP48xmoAd
6v06SuoXrSDY6OnmNbXJT5bCPU+syvQimIT5sE+uLV9T5ynmnI9FA/g1I3sMl7QzbjTHK1moRRYY
2ojRe2peEh8SejHa2WaScNEcV4Oe1bs0vKfpNm+IAMRZvbbwawYEvwIazqZdFplXgyR0Y2r3k+w3
wnCblWOM8c5jn7rJC/9g4sdZZ7XFwy89GxznPymfgD/epfwiBiyhs/TQEuave6LQqypu4CzYPLjp
FPqm9/Tr0NFE2+GcWtM9/xaZ2U1RRhnLavRtYIK+MhpkWLvUdpzCr1UGZX15RzNrOebZ8QMD7mit
j+a76MKzkbkHWaX5OjcK1OERS/dAHNxsrCvm8HFdFcZ76hRbCwogXbbtztLTT910siAL1YvgP/rQ
u0Cj/sR8fAbgfSRAaKyzPlzKDuVDBKiRos0VG4pTHGa71tLOca6SoGYiSTbeM6mwALwWgZmxBx05
OmxuZSsuiVa9lH1arwdcwStryE+6P344lMmygWbLmBV8eGqkM9YHv77qW8oQoHEsUYaSuayPe6Sz
vYs5xTRChOO3OGyex8h0AmyU+PItoiFOqD2GVnSeUhcyrsUeptIwxZtghqeMCd7oRBgKs2rnKPOF
4k5eAKIFzWbMvIfkW4hfPAVot8oJ4K1bl3QYW5d1ofPQzmBqB0o++43CaEbzRXxlduwTKQdfq+U5
NImCLyoGtfkR1nK/Chv3cdB5paVbnPuSz8HWa+ynVRX8zwn0/8qW4rC6/t3SeteV6du3H4+b7EOX
P/Ln2ur8Rl+4jVuaE6fhgJ3411nTWlZJy8eW9McxlOHBn2urZf6GWYRJn+stebEfz5o+5VEsBssp
1CUfpv+3eqDwx/xystFdsawxuKdtwd/2LwtQFEWolQA/dtzYqCIysu6tTKDrR9QK39F70pwGqU+b
XLOrE7VJMQ0rZXTg+5OesHob64651JNXTuLdV3q5ZvBKzMTQoQIP6XjSsjJmGaUPQwkRHrGacl8f
5zens+/gn29AGUwrZyxOmkYMm3QxxsUq7FbKTy7WxOi6n5Mns7LfQ7sD4SSKY9bUcmdSYrdAWbJx
KzGgridA90GSusaXXCTc8TDU50drJi8CfW6+pfWt+E4jJ+wLz3G+Lb1Xex5vuOVeom1NunkJxjq0
zJo6dBbM/PXanjpon5R0UHKA/S+aedSwsKAhQN2u33vd6g8k1KJnu2iGg1ZW1gYCLUiUsrjWODbf
MpoBj6kxFYdBeeMtdRjersIBYgFpr2BZZNXY3cXQUfda5pSnKho6Dt+NWIrBWXbiNjVRKkCQqHF8
SFIas5qYcLUZcrjSCvfOJJXxpeVM+iHzRL0klBtdCx28SKV7/l3CNHgNoBP2MFrlQ4+T9eCb01Pq
9vIuFqCESOyKAxjP7oThJTn3sVc+DRC6dgmbOogZmKW5NNZKyvRtkDW9GbHH0UsmeJwo2XD7B9vH
e+7W8JjsEJNlsnTLdo58ccB2rcnP19+dOfyc0smbN64/PgPJ32cx8a3OzIKkNoxrv/CxE+AVd2xW
/BfbGeszhAIqogplHbpuzt/tTKf6MlMQgZo0FhfI59qlnGviUjr7xe810cRd7UXFAZY0Ts5YDcdC
t8PLkJeUey/si5Zp8MGAKX5D1/BHqE6G+QIZXgfA4/sPSJ8VjTxNs8FI6HLQRuAPyOJG6GS4MOcV
H0Jxhwk4u/jxzHRTm6cvJk3Bt2UOISmyK/lskLW75BTBbiK918+TyQoeyQIamNsPm44EnwIEYPo3
xUD15Cqu6mavx+iLHf5Syoedz25gycGQ2gbSlP7WwaZEsYk5HlrGORfHd79EuOShdgs6rRLX22L3
dR994MDbOi/yN8AFWCwazPhr4Wgk37PICFLFSieJAW7nUtPotaSDUZt0CRSgIqw0Uz8QUal5UzgV
0RLII7s81YtDMbu35ah2hQW/1fXm+ib0QnsjUm8tWmdJxde7mdR6DVdMpTCDeroNGTKQBpl2ho2R
JxIsQ3WnZ9d6hB5Ta5g+s8aE95HZWwey1Q6Zszx5RFZfs2ScOBTrJeJnwincKetX2ym+lVAexNyc
m9L9TojAuZvDzNtTBGFvFQAWbj7LTwSobqF04hOu5/uhse89oHFsFJk+SBlOD5GfID0NbDXx80rs
zcU7xLQLaASCIC32YaNjQgJHtHuOEc3YVQECVpmj39JbTVXQVBokR6P2WCG3BV1bux+tl1GIVTnW
jeosvkzAKoOQifeDRTA4oMvJ5Obhj+umX2g2opq3XMdl4MEARZ6a6/E5KkKPGEwaB3nWNFvywdVx
dLVk7WZ9s+urlGrOSpCFNxp2tQ1I5V3ItPzOi2axjVzCrWw+XDw7EzKP4tOeMhFTrwU+ztDidpf5
Mg+0kH0FZgN7R6jTg+bnWIRFjJgKsKwik6WWdna9xcibVeHzVEKqBo5Yn1t/6I+6HEvEusHbx4Vf
fqMGqj0N8dJjRQ/zPV/yGr4a3UlsZ6ST4LkdrC9OUrnmup1gwGaUx7AzsWPv0hCN8eDIeNY27alQ
H0PIBKNffLEGiQV/SnZaDhSNNwKDSOVuWDDECwUAV/K+lynhlYf4lvuE6pR+Irg0e076ophDBkXu
0QYxtS2JRUDYocr9aZWaQgSWiptV43d8/9tJcHAxkl1bCh1aex5kOsOsOGKQBKkByIt77lLwYoDD
wAVa9imdSeCjwj2Ucz+eRMXavRIlZuUYD96m6Ib3zLMyimQjYxOG/U1cJtfUcgASpEQIqUnAztfo
9pYAx0y6MKx3luAOLgxwYGNoyaAr5v7Dj9pr3LtfUqducdLzA8Dw1NNLnXLboHSsSMW+d8AvNTNo
G73VN02OV7rVm5mYYzh9xSQv7in57U/89DUM633YR68t6u6YJ4+M0S5mEQVsSykagTEbNC0aO+Z8
esbHJj4rTU+PIzz4A4lauQ555c+i8K3XBi18k0iCYawS+7IN64co19Rukl0IkbHvl4xaXNYvUA6i
k3Sm9hZbR32qKO774ECqYRYbl2WQpFCeFeW2YcK7cefGv2+cBCbRCCJT7146E/JUWpy6IZ0vRhHd
VJSEsMzmJVvdksJsn7OTvsGuF5LZ0I8aO/3VYDVni5aBYgQTZ1LFgoHT2tFOvFOGoXPaTC30y6wA
nze3BwX1BYRWTYgdVg+/68NoJnxvTpnxLubE1R+saMCR4324BD0/kQDDC7VyZDRDYZ4IfXolCbqk
dTC+Du0bDZnqI511b4PXPb+jbb1mNouPguUt7WeSxV77yG7fYhI7ZQVNhXkir1Ovt5upFuqGs2G8
EW2BWywxJ/2JW0+6oTwMB4GkE2swQUrqJn0rs8cxrBtUuoaU4TxoWTweCm+ai50TgdrbWHHzWEOq
GRu8m54myC8XnvY0JQRP64otSqTXHxTnjI813qy1hmty29kUC64sq/CvdA0+jW5/V9E3GJRlfGkT
tXU6oB9AxV+MVn1RJA8gYWTWlXkRqQ2/ZAY7T9QRAPBKAroe3ZcU9M2qYluBRf47RowdXP/93CQn
Ooz2QzswXybPjevRLphKQuAEd0HfZg7hqGICC51b7ivR3VEEfJ/p8XcWtKdB9e8NhyM5gpypo4hO
XKbxGAVrrt1pNlh32YWFMWqF426YJkw3OPH1ddgUNDtOtryEIt7mIozizTCCNfBju6Pm3Z5XuEQH
gwhdinFZ6NYjt1/vPM1E9GGnaHbAFr48GAa7Tju+QK1MThrUMGIfg7WXc8PZGSvjA+fdeUtOQdwZ
HtbFIn23sU4vh/3u1PFBEyXtqIVvqqMW441tBD5N0ZhUhoEvOYZm0m7who97S+v1daW0NyCY9X6S
eX4evIklOpT4LF30dtk446aaY3FuhhDsqmbLo+f21EhXQwR2OSUBN8rXLh3dpz7k/kfFQsy5cII8
7ratd6+gNt/6oUGDfVq9eTkReuGrBZddkGvGRys10ln4b16ko95kX4lNYrY2xHC5g0qXHkPi7s8i
KbyXEttZkMiYZiPKLwCYE/sTU9KtgZFoH1TJFCQqDOcK0Shaj2mpC+pOFMN1meX7VhLu63pnT3+S
w5taRGcM4PWd67FIRViLrLbsnuu4lWeReOoVlLyxyQSQ0xVxcI0bjxVjq4YrbYRSce0kIXSAIlzD
zdS2jpv56xni0K7uu/ALRjh51fHgoYvI8N5StXVxMBYc2IMx4Dfz8hlParO2ioHJkhDTvQmlaUUS
Kn9nYAFWJ3HKTx8IK4E4suyeZAddu6l9xhkyL37msnhLzCQ+i35Oab0bPPMEYi55iCJ2eTDwZfLU
QFzjVksg0OzC6GJQFbQDMaRfDHfie92TdnXipjmEc2HsdZdOgtIGsxmarrkZkDreAej5Fw3o9tNk
GNqqa8G5O1bXvPpozfcZLMaHCrLZcfA8wkspugZvvUlYk5MAoCw7XTfNsrgy/m9Sm/ieoE4e//NT
R13tnoKm4UKeOlw7gywvNnm8EyqfG5BT/xjKASjPXCOulPm0OI4A6Wez470ao7IoJyqs+wFLSTC2
hjxFTeqw/3RgLbdCfOXIKoMZ9tRH3YbmxucAeIgnr7p1oiS59Eac7AXmmHVrl/JYWb7OqmGTni2l
Z6zN5C7ThjLooqUzJyG/nWgG1jbTTy/mrG4hWpor+msaWq/bgvR+1qJ4mP6hdYHTiUFln7xQwnA+
zIfMjTFWY/IjeZhPnyKcv7fkp1ceVo91DZBqYygQXTxKgtMX4wk9x+EpZOLTZ6TCpeHfmCCJNiD9
euyUInlOtHTaDDNhIPglaxqT3Zt6GfOJOd2WekGywWywxqI1Q+cpP+SAFOlhFatafwpCxQStJpf0
FMfASlYu9sdNzHeOXk0HuU9CnO06ZZxttmBraZrlF9qCkKIqvX+KEEtXmtQfUuCcWzvcekO4M3Aq
H8OCkergbNxo4OYysSXX9a0WGdOFJly5bSmiWlnTeJvazTcuzxHYUgGxsupnGBCqARAhCSDgrNqp
2bCYxuolPEfce0YeAoNWgK+6PKY/TL9E3D+DXDehyUkv2VYStF1fa0xa7SnceykN8/jU1bWv82Sj
44nY93QEBVRSFntWivRo9DXKYl94t9082TsAlXJdiuimdy2dOLrSseCMHQUMOTavTZwx/sZYvhS3
z775DBoMxp+3tiU28T7HMr6uai1bs/Hdx9UZXjaiYNQP54JbYbbytLF/aERavkIH5MtjUZ/6HWvd
rNFV6450zcYSjIvep9dCGbQc2KJoi4Oy4TN4IPNatpmiv1RFVl7SNjW+sgKqS63lHHNjxsElLWjg
JhJjjKg68F86aw6fTKOzA9lzblm1ycT5tCjH6VCqzNg5UDZ2bh0595TzZsepdbqDAK4HXdu2d3T6
qu8OjGfGtXGXvFaV334fC/ysTV3zZcT9u+et8bH2GxXOm97b+ybTwN6BWpVUTbvhB9gvnKUHdNmk
eGjlYF8ykHK72CjpqaLd4dbiM72ahcmTgRf1FJnDR52nZsBJiApCnf7lyeBXpGv8NWYjDLDOUiXR
lJpxy2prBAXGKY4c+NumSTtrqY7QAKdg67KxWPmG1FY5E3HgCYlgxjOTCL7ote8+uPmoBX5B/Q9D
kuJGL/TAVAu2LyJRW/cR7UVTnx19Zam131aPo5O9qXq4mSdCm+mQvGeQXw6uxNHbK2sNQVzWK9pS
Gg4/Ht9hF1LzTedPXytZascENNEf4v//a1Hx/yPM1SL+MfH7u5nmrkvf1Fv741DzX3/qX5IhkbrF
MyKs3y0v/Lw/LDSO9xsF9pjfzD81w/8z1iRVh5DIyJP6+j8Gm/+SDE39NwaeFp4c2yShhvXlv+Oh
WWxXP3pokO1cD2ehj4cG7dJdpp4/mE9pAOkd3Adu0ApUm9XMEIT5kzP+g/vrV2VSJx+INsq813VM
XtcvD9NAeEgHuhsDvor9117XvC0BxUihKmT9Liqw9/7wKdz98Qr+F+TEuyop24buhWUc+/MLY0Ip
4F7oi6UO484vL6yYaY3JQifAeexDyS50RKlOiznroL2V7M6K5MHr3HTfht49vnlfW0m/mL+Wk2Xs
dOmnx4bO76MhezMw6eylZTgfbopons/GmNU3//B8f9VSl3do0Y4XhxyZu997E374IFLYK9MwQobK
wqp4J2iSkXUw+GcGx5LIH7rIELmwJROveleQed670RuepihlAe0q+zMiE/2lrMb2yNy4+vz7p2f+
9Trh6S1wtsXYyzXJRfzjdeL6Uq9TsGREMWv7JplpNCQxvAxzmyE+wfJjiFLirjzlrTUGuqZH+2VZ
ZRftMhsZbffZhJB7S7YJdGN9IOJ5pd9W4EUCnQC/SfbZK4FVvPShDWGjYkrWkYzbFZOs7//+tdiL
LP3rpYE5mFIOy7I9/v3za/GSGZBuZ4mgZtXGUaPwqABWjjaQWOLjoBIyeoWli0CrmuG9dAZ2Rzmd
AxklTa3Yj47P1GUc21fH7uGoGkZ5LjJNvIxQMJpG3LgqMTcESumEz7XoFgxxf2grAisqSl9rQRdt
EooXX1B+1WrgYqjfAGvQ067rFAfSVw7nfPwzthbOhBVihkosFka4jQtAtGAC3KCbPBu2xcBojXLo
d48EzLwyqIY7CUeCRkoZwIO7p6BCFTorYGpqfsspaUxf/v69/Issz2UL/UXYFptHw0Jm+fm9rF2i
96KZREBCt7it9KyEFTnoZwyDO1acTy0dmOlTPgg2FyG92MPYHD4dmatvdi3bGxkRsVqZEqj9UOX5
xtVI0K3K0jXW5ELquyqumj0hrmg8QeWf3v1uMIAihdWJTJL2YlhZdK5nhyF0Dnp2RYvHePayLt22
naP/w4XDnfUvF87vTmwLiwWi0u///4fvaO3pde8uX4Imk/2FWOnSemRq9qFGrbrTJsffSuy2q9DI
5yvnyuhk1QKlAf9kvTdm2/sCS276AAejf//7z+Hf3F89LBj4w/lLx6zw88eQR0CoczGIgHOWWOMB
+Iz7CatZNm7csf8H28e/eRuwmCyuYR2nH7f0nx+sYn3gEN6KYJoa90Un1bh8i9Pbv39J/+aG+NOj
/PItZWiZOI2lKKazkuRDp33oPHV0pBMbYMry94/1b+4IHmFxf1lRPUw8v7x9XJJpXZP+DErs3CdL
K+b32ZHO2VaWfm+ODbfdEpIHPgpdL++AYavN3z+Bf/OW+kibi4q5UCeXfP+Pt9dKG0DSxYxkcwLs
T8YgsYOFs/sPq7D5q4tVeAYbB4RGbuFoBu6vBiFuud6Upw69JOq+bkykG33apZyLR5qb/OR2LK21
NQ7v4zCtuzjXbme2w9QnV6TOrWHa+F0Hxi62ARECGNstJSgrMd43Zk3EdIr1oMaSstKxedc2gImV
5c8MQgb5AVNo/fdv2a/XBw1GYqFkQQnAAqsvpqof37LZngEtOsoNJMsORXvk3tkgM0dzKu0fPp2/
vG2L0ZiFD+kJEzDxgZ8fKp5DM3c7LChu7kQcIEFOufrcnyJV0hAJr5EYmOH/w4OyFfz1W429l/sN
2yXurK5ge/bz4w7AdMzCGMKgz4dHHDrU51JhsfPDcXjBv1k4K2Ns7rUoOahoeHX9Mt26DDje0sg0
Vq0en9j7APlBK7ZC545DEq3mpiV3iap3eYtoBav9NTSb16onto8rZgXoDEWAw+BKMhRYucN4EFlv
r5Tb6He+M+C5ommbvrY4YiyUAwHXJx2dKRQ3XkVRQKT0c21q+dbFfYZh1dRWVl1cO4kTt6RXhS/Q
/UQ9CTf9Q2Z7yE5Vdzs7bwT53kt9bm7LuRCAuET0Qma+u9Vkam6HtImokk0ZikumiapxsXkxf9L5
7zx9neBdkaVNSoAQJFvfzdxX1Oigui7NtfbrmJje1teLx7ru75S363idSRoZ30NadwMR4uRNtKj4
Ct4imVdtLtRWyCwLysSvIazQMmKS+r1Q/pHdGaOD6G6msg0oz2XNVZ350ViZd1NAPNkmpPkB4mRE
6nyjD4N5oKxoE7JKfQXyNQQJdjS0LfjFufMAbwWstrSowy07xs7rWcbTSVmxfSX2KkHaQSgiqUic
cV/F5bwzc6gYzmO3nC8BO7eT6X9OA/yeoXvEO/ZBCZZ4SkxosNDti8D3+ucilsemGJttg63sJsQa
RWlgal37TNFUN9Wc3FcT3gWKdH36b+W18GHkR+CV+sy1922tFPzSSMtXmTcivWhtf6sAu++MORd3
be8V73DHmttOebrNzCD6pNfR34FyRLhlsHrFKGW8lLLOn4fE2oEVrNBlsdTdVVVRXwHeYB8bIZkJ
qBpy2pDDnr7k0dxeYc93X6jP89dSU9OjFiMQ1ZWWXbRaMj8flXafsdG6dKmM1+kycDEga/PITn0J
Z60LCEGTkIKL96aFhjpUTiUuQGskZRay3c9pgbDU5d9U79JvvrzCQafzGRzOnR7Zu7l61A3DWHvA
2NBHb0LNbXapng6Hysiq72FoxI/Ej42VtLqEDbhHc5HEX6i5+bxpW9luZp85aDVG4urKIb5kiwld
r+lLryZVfkIlH7c01k7HolbFbSm8j1iK11LH/LRqjKoOV4rgwLPbuBWot4FigwmncWzhi+iamJTt
kJarTkXPqm6eax+sGfRhQ33LK4OphZc5+8KXxc6n6DagKovus2JozgpRBbeGcvapqvOt0sAYCIsn
ha+0fLJVqd0QY8bmTVD8rLISCVPRH1rIgcyl5QT8rmiHz/QcNv2HJaJTXtHD1qS+U2KRt8Z1msT8
Bi2KH3oCqEE/9to2szzvNmzoOTQqzXuwuulb44nqPleDc0tHa41VC2akbSX9IS/E3Vzr1rWLCz4T
oFt0TDVDd7QNFDrfaONt7FN92/kIeGZVn1GUYB5YYD+iCXMiE8z4S2v97sar55OuS15gJZv1JLg7
CruZWCAkI34jTt/gDHTnPhLDBctmfmXSNIAV1YqABGG7iZHLqO54lXHRbCMQ/Btby0mv6wBJe3AO
I47aCxQ0oInaaH63BvrWB08iVflLmUQWyTuG5j7gRo52ztYq7CcrlIJ7YJRSTcwo03Cxqrd6dx+F
0wlSAuIqibssfQyzrOQV19nV0kcDV3livutUbd7XfcpO3xugZaWN6TL6n8t0g1vvVplIq4AW5r0c
rQeDamjEWHNFdSi9dW63wwrSUdtufit7eYoNsYE79q1MgPQlZW/vhtoxd4idD0jbmyYe+5tS9OF5
6OA+rwTQvpeWKfxi/y8x23M8AzUfFu4W10rL6XpWp9ZoI5gQFqnkLLp0c+OtW3Mw1vFgzebarcaM
4axCQE78UkPsKXE4+HYClyw8su2odlWaZqcKxedOw+CwTfSyhG9Y1UfhEOq2HXmNMxRwIFPaG+Xi
1dus9GxnhC70aZDQ4K/s5JyEynrhWeO77TIBezvJd/7ozbvYqeM3nw6tI40A3cp1WDkVCCy+F7W/
75OOBqE25TiYoz3ABS0OtSXoI5qE3GQq029yyF5blNOJa1xdlfGZxcwRVg5q5aPXuiV24bi+A9sx
3Ts0I52ArE40qbvpSbetKbDzNnwuZ3966QAIgOrLjfsxkhIXrc1aGFMUaqs2+epVAnHSbuS2l577
Ukc6jQAxXOLUilhuY0CvThZvxsyKkIZocIRoWJ2HaBIngB7iHFqdCOKw1x9NyMzXPGmtAyEO72z7
UUdIPmWUXHj8qvH7i3TTd9wp6SOMb329tA/suUQD2TXfvAKFsMzZL65ctdxdyMob2Sqv2fdTmjQd
Gpt2JwzFdXcrdJDIjVPeLkLuKsLjSrNt7YSB1nnujSWd6r6dE/EuElm8EPwTEGHsJ6JIYkOnHssf
BOadGHrlr1q6onYYlsqVhrnlSKbJ4R5mqy12OWuT6Cloa03JB03AEWZjmvv0FNciPpDwrrf6ZAMR
MWS1qKlc+GGrqCIaS8c+pFEPNNTTnz27de8Qg8nfj5p2Lf00v5kT+e40JmHxTFnsgHNVPpSquywc
KrexP0tvabuaozvKs50NPpxsQ2VYeuiptHmM3ESsJZ1QK8ZRN01UB30U0sClwq0Ki6FmQAB2ggIv
/3Yw/O62bZvoC0dMh+qTPDEAVMBfXbnAAS7Et8MnV7nGfVG0+o3ZDvXRggV8M45jg+KbUJTSSypn
Bqbnd5pu00U16v53L4lLCE+UuCH26zdG6Gkb5ZQoVAmbvm0oUgvqz2hNb6bfuOeibyZ6G62qDJTv
lvd16ZaHWKakBQE7E8WytPoUxV5PQL7GKeAaifEFjrpcpzHt4ZtKsF73jH+wmjuhvrORAFkqOxk+
2rXR8eHnYNyboYgWVRJpt0GurVcSaMCKyqT8qRL++AL+OaepGCM2WZgY52+QYi4BY1Kl/iWLs35r
InRt8L9g2o1DTbxGkiXIrcP81TExYflCo28oQ7ZdDUPhUyCIx3GV6g41Jf6cWovwIvGfUy5/i1uB
+2OrmvqWMpDmBo/NPWTSb4CrnrvC7rZxPJlHRSc2Iuz80s1YnhoAn2uaQ9Qe3aIKTHJXK29ZbnTT
BRvtq1kuI6JxUxaO3NBj2J1NS4EfDbt461ppSNcNquVKFeF46GNQWJASUYD8BcOSrAzoh5j1pjJF
7U3qpxKMVBe+z7Z77w3mo/L6NwPUFkSkryJrXmJafvdFpBVX2evevtFLd23rhXvOcQe2m7xKik2l
GxCxqnn2L4VeK0JZ8GSKXOvoN8lN9kmeKG98odoHrUG/M+gHxMNTm90lKxMosI0jBE1UJZk5nkJ3
J0MRXXN/fAjHwqKOpSxfR5Jp1UoNurVntDR8kNtqH+bClfQcV8At69rdl9oULXVS2fTedeTy6CQL
AZRA1gpLq97xTfYo5lMVeM902Pc49F/LCpOKMjovcKqIqpHIP+Kr+C/yzqzJbSXbzn/F4WejA0Ai
Mdyw/UBwLBZrHlj1gihJVZhnIAHkr/dHdbfvkbp9Tvj5vkghKVQkQSAz995rfauBl0LDZWUFaPpU
nzYHT1bTi9mlbDq+r6BvpTFGELfW1Kwm8cGgmdz0i/9TbQpIJ+BcFgPmGceYxAm17sk6mvwMCWzc
33rgCsn9o9W66ewAUbiTGEhO3Nrbgo31dgyaBpZcpxahBc2E+DvUTsbsXcLAaRqSv7PUbxTs5pEW
Rb3rfDvg4R4DcF1AT5xI31vZFKqgrH4MNB23sxjMD55he7MISF85uVZ36BvGzYyJjGMwkscDKBTj
ZCYiwrgwd/mpYDx/S2ZotZGgmsLaIsF1jHyYIRiKjmXsPxfKvMLZXn/TY5zuGNglj44y6kcthRGO
DYnKQCwqirrAvQ8C23xPZBE8jLltn2zPZHQKL/T7ZSl8B8CWPI5T2RJmZeWwaTJpQzUwgmdPD8MT
CoI8WI9DijvPKm4g88zPEyP9bJ1CnNlabV+9TwtxY2S+5Psk9vV1MaTM9XXc3qturq/AX4sDooiB
KN+yxgtgx69pM0aQioHXNPCmj5PrwyzmwPZaBqnQq24Mih1nHvLLW+UYG0Img32LARdPIbbNWzqD
6iV36AzOxlJe1QTEB9hCp/4eapdHO0V3y77ivHZ0i8H9nCxkowzd0KIh2mzuWz/D/AfKwbYP0qM+
TgqqyX3e0ZRdVelUXHyV1T6ppuy178vurc0c09oIk8HBqm41WUoczrPnEf3P2vYXa+OURtdD8Ckp
bFDbmtdtopIbwzWrjSXrZq8irI2GsKBILEl3xzaZbaHmFGSmkwyAYsNfXgzy6J6N1ChgmPoS6ZMG
EthWA7PK+d6LfI+bX+XjvuEjGCuyfaov/ui44YSbqdvki4+lifDLi64r9uWDkSBS9rqMU0hk507Y
At1+tqCbQJOBqI3KL22/FwisNkor+9Yi+I/yngPPTYTG+0MmUfZWSaPqNpElBxXWlTOlD7ixhl2B
6sRco3mCVFM7hMZ18fLAB6WF3nQzFCiTIBU29WU3e265z4VhipcyivovZWdExyPTHqsr2yldJ6Qw
kNMxWFLXXukIEci6WHLgcpykDeOW6f7gHy1gTheWuDyP5VzuG+2Lh0KLYJ8aKRqPUtUDA2e3zWqe
dtn4G+rMCQD51LIUaD0CIs3TINkyc27WQw2NSpKN1myQ0C/2Ne09zKZuKhlU+bAOV7DFoPqChTvl
IuifUyJl8bOSBDC1HnWa4c9fugk09Dnbma5A8ZTfpNVc6PtADMOFHZasp0mJ69Ir9Sv4hv4roQ90
Akpp/OCjI0yKpp5MpoiwVLZClgG+G6faLCPushvpx8tNX5PbuvIRx26VRDVNNyxmPVdlMa2VQEZA
mGhzm6rAvKlNmRHW2lMuelPrf8uyLqe7zsL92gL6yDe+mI7ZQFhWOE0G4Jxgcpu3vg0QWMCuPzNS
4rlSqGNMVKqPFc6j66iTcb41fPGtsGlATdiYncFheEI/c4ec7yrPJ8XFpgW2QjgQP8CwKp7mcR62
wmziY5P41i2+L4PGRzd2xGFDCN4uuIMPSKjsTWOk3QD4ve5eBYkY+4zt6wVVB5kNvg+MjE8Cr7LT
Wf5Rc1zaTFM97HlUY4jxo3XX9JlBjHI+oIOabQPd5jAPZEHP80IQpCSSMXRmpU8Z1JrzRDX8zZat
f6C7Gh9tNX/2lvrseuPZpARYFVlqHYRFVo5fQw1ygA2hTK7Glw6R3ZUfNMF1Bmz8UxHhm650nS43
dLbYGUoO1qgpbG9ctY5FG7RL+1DPjfHZBxNsYGZrX70tp/775SVAE+HTDx7mxCFjzLUVGgGtUkp7
l3HmsjKR6K0aS4nQifhwxAZTgusX2UGiC3M9fUsR3Oeh8slJmCPvTiWDPA2swZKPFa1hO/d0dHIx
HhVhnYducnBig8oz+SnuyjYwylGY5MjXFjQeLBHzulvI0Rjpw8W7oLxEsPjTrdl64tzz0a98tuEV
/cXhwIyr3tBdEi/sTqGD912vsmiRN4Y1TyFnGVj1JJauW0uj+C3bYwBDHqpb2/wAYka7rYSpEzXU
usaM9Uy000BISkVoee2PPAdImTAomFTNENjtCSETW/KQ2zMWMW3sarP/ifBEehyPdnODDbDamk7n
HdBUx8RLJrH12PgdaWKVQdDclPnoVwz0VdrqH0r0RXeWTV8wMBBleu4oTlFECl3Gfbi4Sx2Hvo/E
n298mEJtY9eg1uaOTdAnqeA8GcJ7IXXPvcqXrglzX1u0Zst5Ldl7r8YMqbuvRnftc1w5K8tFeyjL
MuRw0GzsWU1hqnDdO+BYT/PkkywzmMaCohJy1qqivrr3FqpiZJPq2HlB+j3uNBsweuZQSMZokH+q
Z+Qm+RMgFf1gGLH3wry+piRKI8SKztiKjR+bdVi4mSUwKA44joy0oAdb2I/DUkEBXJAFUgI1B0sj
qW8EoLruoqC9xERUoYOAexU4c5nuJs6SO7bpzFylOCZDAlSQ1CIUjTluLeqdZRRalYtyKdgGWAII
ttcpseYjlyVc+rYpt33qjQ+4Ssx9wfGe4EraI+iPZhvhSyAn4z4tluymrevoym9LgOo14c3TJN3r
GeXbfsqtauu3OltL1VMD9YW77qKsuUvn+q4vhXi25mhVdfZ7WrsfAUJvIJnufFEXqhauOOJc4mvd
EKn9CeSj3MdxYj40QHPDthL+VblMxSnt86cqCWyw6SoB5W5bj17nOE+4oKIDoSJos1r1iDoKtVTk
Tg9EH5j7sZD5zcxOikKh2vRxBmjO0DFZuGW56wfMk3ZJl5mGrjiRTU1+APL17djX1YphyNvod+bR
RC6+m6PyoIrO240AxddZMnxBHtM/FughojHmcFywzswSq69i8pWnTXkw7brYtIQl7byE3MIiAmDP
HS7I+hQ6eRrGcauZxwoSnw4Ws64NqL3vTl/qY0wU7i18H3TVXe6YKMBZSSv6T6DV4T3WuYk3Boil
v7HlbStbSrEhJ/G5k/24zcCgo9hjtNxszLY4+hA1dYNiKatuVGqMb2Ugf4y+Ee9GY7YOS0Vc0uAX
7v1odmHdu9e2HvYGeslVPcTOsWuTW3q/9cWjgt0ru68NaX5LGj2xNFEO2xOIh2BWy5EG2HMegBFv
TC9k8IAAEsBrrCBiEVOJ0jIje7mbix+CwGX009271vE1MncLB11a17hDbKTezPZttgNDbhtJCaRl
evDspW+I6mpLFN0VkyyOHt5RYk8OO02B7BYLxGMhL56UMqNJSTkhrWB+r2BmETCRo6WuXYr2cYaX
MSNe9uJckSUiv9Vl5Ty6bVzBrk3spFtNhg2DbMmGfbEsCGapKpIraaS5uyNaQr51yjLij4i/4PHs
GoIORWA9CYds2G5SdNvyRW1yntsmvEifte8vwZYBBa2MLl3uI8OJHtuGXMZ0DOpg5/nY2KRYx35r
X7XSJuyhUtO07JWn0w8iNdkVvYxbqiMpMnsyUp0xcrQwMH/EacRCbEkctyZS5ujoptQnIe5Ha3oL
giy/D2I4UgfG2ZiagShfFrg0uy5Q+oY6x2QBR5OeqIvsdIzZD12TEQLraeDC8+jSh2xS+eM4kN8a
sm5UO5Fh3MFKUJF/7Kau99ZgGPtYalv+yL08X3VOMBJQDrEbrwoOKruei63WcA1Q9VoDskm2+8Lk
q6YYVFSLEZr/e9/ozjSKu01mTx0jzMG78lxJDx/mP0h9wps0fjGzJgqoaW9FZh/6svlIzAJ1nTvd
Svb3uK5uhREf+2wwHh1rWjAHxVV8LzmQnLjjkreozVoq4nY19bF57S2E7Mh5XMcLDr5CtSnTpQWm
fhbsVBm8q1g9yHY+Y8CecbNFHDMyLdrDDGQ09uNhR6xbfROQ7By6HTd6mdJsjPGkIrKxxgf2bvg2
fk6XLCuackMZQKU6GA4GqEKr8lMrWYSdI/qQY88BwwJcAS+iZnIQ0VfoWKKwCfrpMcA38hyPDRzQ
FGOWXcj2JkPAAHTsBLMSgOPsWWvLT2hS9DADz9QLqBFRpbWwRSF8qloM76mV9WXYgSs+6qE34cjK
POPgmzIWbgc23XKMWfKS0KdfsGRxsF9Ma1yblDo2609Z35hFJR9b8h44aNE/TU1ya8gGesMKZe0W
xYpLb3U+pbXsAIzO+rx4VG1waDB9e2h93fTW7crzNFniPtZWFG/7QSzvjZnm+5HT8ckJBve8tJqo
ipaxHkciLUNcY4F5mgvDbFeex2VADwYstgQKeStoDX2nNqUK0Vl0Q257RaOC68eVNJKLf01axTMl
XLoG/LfLF7wrpWUenYDY3aRX+XM5tPtubKatLKeXocf519fxMwPkXWP53r5glrQZNcp6cyGHZC07
SY87M25FzEiRdSV9HmDdohhpqEwUNxred7P7qnR607TeJfRi2Xl2t66mgugM+LWknKBu1X5KBz5p
NokNJbZHaTOuwDvF22ApbWp81DDu2pHpN3u0ZYOosZn2JfXn2YSGu3Vcpz3IzG5/EC5iooOyuUEm
qKTpqmwD9VhIyyb61hpg3UY5VYPW3rWX+OWzPbtYFgliVNDCHSISq4lIHFyI8X3S5jeDB9GiB2lz
xeSEkQN2ZFB2QVGuO3O8RG+Vk37Qc1oh7wfmvrYT396jzyW0CR404wSS3s4Zq+J3bXVWWCGueXSB
9tEnnpv0KDFMNxRw0IxzxmbKjijkapso3tRuKJnAXx86WzkgtOWU30ycY67UEpEzPfbkva2SZF7I
1y5qHvbBtPFVD1zy0LDHF5xPCfWH9jepq2CG+lbGsc4+uF7DNjglcid7TlBEoAz2iQoOs2rHVBFD
V6vvSXbqs9T4rEkYCTuPZLz8cuKdtJ0+oNerb0RA9nENpuMu09rd8yiJO3JK9IuT2N6GOBu5Rj1f
Ue/JYWXr3g4lNujQybBSMMvLr9E5ORzL8CZEUTvhPOf7IUPS346s0jsXrsRqqbvLZKyNrNeCdsNV
xBRo3eRBQtaLcB9Gwl4IJqrld1IfMCjS1WPzyLMZs60jjVUCQTkskhFbbjMIpOrWuGpyYzh3aSIf
Le7P+6SxuJViAXHM0fWDRKq1gpnhEkIiyIVjkaVBBdTLJH+Jbkq+pGs/l+VjCippN/bu8NpGrHW1
icdoN1Uo21aLmfGJLxHhkKoqXN1N7A09pOfku4OO9k0SH3e72KTYME40QhuhIpkEQoa+F6jQNmOX
K1XUYVaJ5ZgYsHZZxRXfzlS3/ocxGW+Vv3zGCgiuDMQdNxTderpJeP+G7C4xrHJcjxkS8/XkJOV8
E2hG1wTTTP24q1k8kzDperXntm45PgpaplPpk8V+YfR6rdkvl41Imes6KJaZ7BnPQzKgg+tKWdFe
emX33Y5xl9Fzjzwx3Lakvx8qc/bCPDcwRA5ThnwmGdLoPqZZ9Mjdlb7mVWOdJ5vwZJfAuk1syHgb
1ZG+dQnaJn0V6+QqWvAqDIVlnlFdDs+5tmlM+SWQ50xb/iHp7DZENhbjp9TY8iIz3wSuXh7bAGxw
RbDSlt2i2LgebqRqNkko16ayGb9YP6vkMZxF1R6BGxfQ0WA2yiW2DsYQEFHFHiJCXUAf6x2lb2i0
DGDccuMjj2P3RfQctCuKpH1vJD19WC/ZzWmWbq3B3RT2PP4wgtY+pJMdIVHHg1CEiZVek9Q033FH
FhypHbxOrsq+i4DcvC6J9SN4W0V6FfVOA6O+uSgY1nSNV+gb+TWnS/KEBSQYQ4Yb/ox9Yegfrbns
b5y8buWN6Vfqalgs4nCkMY0bSa21b9OECbrOzbtFJNiADbe09oGVFJvGHdCoWA1dvSDzniIl7Juk
qTmIWB5Nm8KeeJ559Jq4Z4jp6+I56UokJAYSKt3XJ6M2nr3K+BRIO5/KxmgfQN1HW7DN6eVUC9DE
SdMXEzo4kRSx9yTmXD2QZVSvsww3nVUAXsjGc167/Z20xHw2omTYZAhRjqKGrwYVaDyzrJzdvBCn
xbicD6YyvxG5Yx+rojd3RZzgzCdvLYykyn9A7O637YRLuStVSqlisjogsNpTG6Zx2Db2kMAhdeSh
8Pp2pzpfv5Vx2y0rMrTt76UwOI/1jYmTgXPyMUtlvK7gX8Eqqsp17+KujBtiPEEXIY2oCMJVAmtZ
2bj0fdxh1wlvvGqmqA4T17LOMiiIRfB5VzCa0tK6p9maHpUm546ebcZP9eZt3Zj5IR4Lcdd4bb8p
gW2tjaTyj6NFSyOrvoDYbN2ZPaMAtLrjGA1zfhFOS/BQcjE+ZtWe8BMKVj9+85PkByqlT59uaxgz
xU4jazt7SNRaYiZ3TVt/5m5eXziChNl1xaq8JKrli7NOSnUdd/H15GENHVl2cPeu54LBkGEteI/j
ZMMjG46WQ8YFqQmFah6X3tqjGAo9UyX7JauKUALzxxQZcQqcZgZZPvS3puzNFRkTe222V4Vw9mO2
XDst3e/FcpkI8SP3vT9nW2eI0SM3GnIi0/3s3WuWDuZknJ18L80fiep1n2RFxVhroEduWVu7/6Fh
XdBJraINCXLxh5EkzokS2MSGHee7qk/755/ivP/CXhDrQmf7g0Jx/TF8/LfPn1ycS2r7//rv1x95
n3z8mD4/mz+6Qf7x//6vF8SygR3jgsCSIEAE/9MLAk7VNBHZmI6POjP4GYr+T3yc9TfPBKcaALUG
oeteyDP/wMf5JJ9z5uFfAswVF9Pc/48XRFz0hP8pjIckGgRYQDzTcmG6mcgqf9UbSqQYSScqZ+1O
5VVQwvCY/OI6Lrv3oaeCdDxznbsXOEM37iI/HqkzzJckcs3ruldnBDBvY9Pd0Kij25+oEUvrcMeK
7IV8inRdjwa9anzINBSK8wARbWUG+Zng7XWgliu8MDZCOJilU8POPv2VnvhXMeXPD+cL8qRMgfrV
QsD964fL8H8MDOwcoi2zNcjnbR59VV2DnML7C2Xq76/k8E1KEEaBdXHnIOr99ZVio7PozuO0RsdF
SUrqAFmzy1CvrSb+C5Go+F257DouAlgO6K6Q/Pa7cnlx06k0GFKsK1d99yISMhhPvtLq61ZdYBHF
QZVduOgVTCbwa08h3zVdB0lQ3Ca7yJo4s47NzkkJi3TVU1WVJ0Pa2B5ld46N6Vi73oedUDk07lq6
9bduxsHZiITSEYfC4uDgAR3HZFuYVyXO24Po2eUHRcCyY6bTOomWD1fpt7ZN30XL3KrI4eT+4TH7
d1afyzf3n7etd/nwkKVNifgdRBMdul+vd0S1qxZhBOsadFCCLM4qZzIXkoEEz2gX1OemdD8Mn/Mh
kdgze9zKUeUPQhA+//yN/HyhX98I8WcoaEERO7ZP4uevb2RJ5jkuYwmuZMAub7UtYRWGd/bj/pKn
WXwnFfroZAvBjcWxG4nqlcs9nnRvR6+PTSaw78XYPWYz8auy3Tmx96Gz+L1cSBYt5F+YGS7Uy1+u
mue6PouQY7umhw5A/HaXVpnvG/kwJxvT1OjmyPmgy/tEq+CxNdxTM6RP/VgfUPYhtnR3aWu+kHND
CJMjVsmcrBnIrIn+wUNvXY5/HIxd94lkaWf15xfV+v3b5X0SrIEcxuFRouv0G2RSxq3nQvIx2FAL
WvsZERAlg82Whvgkx2Mf9eiCsZwwUxkcGkz6XbX6cSm7zdjHf/FmfheC//Ze/N9sbKbbWEXhkdwZ
MTSegS3khFUS4km9bu/6v3y5n2vSH2+oy+tByzYdtOc+VJzfbihPgPLRBZB4gfqOblqDQnvo1mM5
cVc4j1Zc2Ft/Keu1qo0EabaX3rkJvg8zefcWIYBiR/0mnkrK6aA609cLY1Ljyqx/0mmRH+2E4zZZ
VjMKofQ+KGEdD1nAdFpf+0Pv7Dljzsyh6IF0yiYfumb6Fo9HrBQZJlVJtJrTXiOvoR5ZmFxSH/X7
wTeXDTlYzE6ZHazsLhabQei7P78rfl1iPQyVXBjbdF32KsvD+fLbkybMAvYfX4TWDti0eJs1NzNw
h7z8C1/ev3lMSD8QbIo+gFZcP5fb8w+eH8ks2a4inmmRecdU5Z+VRAZHf4b53gXlT034ms3To8Og
bRiXB7HYb5EPFkT10XsH76uS/Q/icpDH5nuKBSI8u9NcF7s/vyDOv96av75PThZ/fJ/Ihr0YF0a+
ibR7vVjTFjh5FppZeY7YoGFeKrVOGpWuEuqwVTFXdDCbJaSOP8dEgyDD1ET8Ob2xmedW7AWmkFPX
d+Wa/mnORMyPdnHrOlfa7fIXKFx1iH3rRtWTooE69swNSJAx7MbhVuOFXVMtawQyxSpqLwFE0zIg
/0zLDcmIiFGd+nUeso8oaYgqb6blfZHji619cmY5OXzhBy1gfMTdNhrb+Fih79lCqnv582v2rzcR
px2saxytMHewg/x6yfIh4LghcFfGMroZAApItA2p8JhP2ts/f6nfAiEuN+zPM4cnaNc6FqjCX19r
zkxElaIO1srWArKbftVpIxCJLvFLMlmoFlu4ZNWCfvALQeEU1oLZhA2hdjUNNWGWVAF8KRLFSPBX
7qfLa/+6ynhCSJ7agIeK8+pvt3iRKauUwLou2rSrBae6NI66/XtF8H3+j/iz/ne79O8nFa6AT7Sn
bYL3w+jq/XYFOjuPR+UWRGpaVHuzN+8XLC3rSA47nSYAQfvxATBq80Gn8DmblnvZi01m1k7oOYxR
Ws2Upu3SauP1M0MPmVwXxsB0IPKc8M+/rH/3Tl3f+RmGKmzYdr9+VwMU3GKWUHp9t2ZVScstWMCV
TGj8ocYF9514W4QiYNmGv9hfLp62X74J/F/2Ba1I+9rEb/LbN4GdYtA15d26bDwo8R5LTBeWqDNE
ZT+ohSQ0Gsp//mH/xSjt8ZrEsCIPD9hhCRL49dMG5WI6Xo58KWijXWkbFmbTZr5qHAjFdsrRvhy/
0999bhPnA0veh60REkbGt6GjV5AYdX3jz9VX5omDVTOgy57+/P05/3JO8W0O09jnWYRdRCS/+QBn
A5iDaQ/GuvfHdZp1RGdHYK15XPTENLHLdXF0uIkAvXxlMrkatfve1928HdzorWux0Gau82BP6gvk
wbaczW1MZib0q/RucvMd8StsVXW6Cpr6u8t+u/GYW6jYCLCM5DvdoOvJcoSGuGjW0I6JDpL951Ka
T+PivFk4k1BwbhWBa04cTRsluvwvviHv17KMtQNbJ2ULam5ApgTj/nYKqFLIWr6VeOteeU92Ke+1
X++9SiH9ama4wsHQbXqZnJo5LkIr4m/QrKwAy/cb0jwfhm56cLqMzcCw/TBlaj3bHRu8R5RzaZ69
1o3XJXMhxn/dddz/nIOyeLdTvMWgQVeuzK+92IF2FkUf+DbQvMf+oxLBm2WnJ4sk2LywD+SM3yjE
dOvJJJZbj/pHkqlmPdrtTQchVPFGLbO8LYr5es6y67zIJcR7+aGGYW0IBBBZNe2GwT3h8dkxsdSb
mYD3lVW5gKQqYWOFasG0mRZ6Kia7A+PyBRP6NnGgFM2useKfrphtfJ+6+LYuzh7xnenw+ec3479s
sr7guMyjSWkHsf33lWF0K9CXLaHygu6WpqG7V/W+JeWVKfPPV/qv3EBhi2EH/n+T9/cf3fJRffzS
PPn7//lH88T7m7ykvFCtXAreny2Sv4M0POdvLA8clPFmYtD8SQ7+Jx/Y/BtjmctpEV+8wKbO8vbP
5Grvb2A5TDZ/m/Cpy7/87//5y3bW//bnP/Im6An/tnb/7MNg4uRVAMeS1/XrOppbNjm0eVKhiTP8
W3ydk7ctUUptK80QK6aJ/Cb9pjhUCBhzqH14LOWMh8LES77nfB0cMlxHj4HDz1grLwte6tEXZ3uq
vButTec5lVF/omsr0M2J7FudGuIGA9h8qPh175Y0Y0J2YGBlTOqcH/ms7XHVt6htYfTbT8z7MWek
BMp+oUCwT53vFk+4UIgFCQg3of9v3fWtyNcjwdTrIYFFEDfwAJm3ZS8E6aLBIxXwxWyS7ERE4DZd
BhYQg7ELMi+eNYUBl0ge2Dwe5lCZ+3YoMmEd6sKPQhlLaDSc4+IbZL3VLu3xPjpzDtWsHfON8GfG
QgPiQDWzjoxoFddB5K/9RNLdT2kwsXU1JxSnxtVcAI2UZaJuHEZ7W4VE4FEN5nBCV6I3medWN63t
9MQB9hZnhVY9FFVCSiYI4JVTYP3JR3kTgSEg0HomVXAeWciYmocwy9RVTJttY9htzkolur3MUeIM
XQN4cxz0B9I4xFRp1mxrItkYV1564hpYZtQN8qojGOI5ypsvQucaXKxD14L8LPPpzRzm+GVQ8XRe
oKQ/BVBKP+EB0KR1wMYSYNNCfAgXfAXpwTVH/GYpstqLpIYIEYcESIaZ2pvfs6WdHBpXTnpX+diz
UuTQx4C6fAMJiARhBxnmpdEWBGuSaRdkJoYwfBjDBbqzZtTVNfq08staZgkG07LR/9aWJOSlrq7x
pxmbiMbDI6rbYu20OIIQcH0tgOrudUJ/wJhdccqLmO3CqIbXOXNJbPaD8dVTWfpSk/S57lvjwQZD
eMzUZH9ha5Cr0szAa2VjO9aEDi7zvW1nP2Akv0vpRaem00BgZi864m6V63GCdbUashrrJVGwY86I
Hr2OAi/wkNSYLFPdL1eQJL1bbFs79gpiTSsOlJMXq2tFqfbR9aPeL8hx93HqA/BcmpzZdrGx4zna
w/lEWii0cO9haNe30zAtzCTc+YosCfmWiM71N7lWxhlTT/oSN0V+qPKJcps6/WOKqHGSBBdH3fv+
cRJtv04DBMquvE9nq30Qai7DYCzURyba9kXOItl19SjeGtXEBCIqsTCUiFDK1kjLTk4p0gRjfdvc
xD2BIytHODAjEkZC2uuaWzmnPYTqpnmNEA33q4QKHf4wQdShyQx1m0WUV8pcspBwG+sBb4gFm5XV
4dYWct7T3EHekpjEm6+UbU0vIG+8K7xxCxoroz6hHKPmgJ99m2q/PzXVaG2GZOiuOGdgHfK9DAOc
S0zNKUchrjZRMVifxENbnz44008iOdoTM7C5W+MZ0FYobVVsVFXhsa36vkMI5JrTc9olVbuzULYW
1MJj7gH9xCxfLhnD2YiS5siG2iYXxLM82ZU3buqCycRIPne1rr3BlOuGvGoK6Qx9wyA8RlaaqIib
wbfoMmBgEm+eY5OJEc0u549cXhJuF2IsojW+ecbJXQqeDgXxlFwPSAfPkCshbSJJGe9nQ1U/0Ma5
MyLU2H530O/IVdX0yduMOcbB3pvjMfIYTuO6LnAdvSHRhLqa4GF5tkgGxdhrTefWtHV1lQazQBpu
1MvBwE1c7YbSF5Dfg9T4FtfYVbHoNt55xG3nb4LCR3LTYLUW9XJZtKdoYWEkkIiA9aGat6PNiX/n
2+Zsrio7MN7cZC7sCw+deJXF6uf5RCFRmvsUtQMSUdR7wLyxQ1PBD0B4gAAsOuyNiTPzUvkoqSZb
1o/oGRh8Tqhy8BRHXf/N7DTi5RGFSEKDQ9rDY5OYxtEDbrody4bDpTcmMRCZtlwezThvspDE4fEt
7WIX23bK5J6w58lJN3mPaikfDRcReS+jfBUVVobPTGC2swvc0UtWuAfLGpil9iKdvzrDrV5RAfbM
TfulCDGwg83N57Z4SHMveh2noD8VgfOFi6fDOhM8OPNsIqyUMbmlc1HDazXL4GqU4/y+YD1HOUOR
+e6MJvbTGJLhwXRj1A0p5IZdbJGmdOmo+XdxHqFHX5zSQpOGv3EbZHhRN52HpSHnQO2g2F7cKQSL
nj0jrpzpM1Kpm06KaH4snH7dWCZkl8ntpk8EriOki2kesA7AwCClRp4MENXeasC23HFYHeUBcD/P
fceDcG5k4T4Bt8uPU+mBSCg55RIEAlZj2QGXVDTmY+t57MfklJcSBGIOhTjdVISTn1G78J498jKv
6NYQYqb1paPdJ0F/BUCnfYX7XDoHcsQWpIJeOYGDCUTRh53Zgwqo+OIMUSBBN8yeNyhVXPxoDQX7
a24hDFeG4okZINi8Mqkcj6yh1odpDcvrZPr+oaicBYGdpzPW3ko44cSPRmcJo/+NQBB93yuBEgeX
ICowKY23Fnn00V5887mEkfxpqVnuQJoHL7GeEd03QXHvCOKowdBKGlSDKE8CxCQmNmKFP1l0h9ss
chBwBYhjX5RyFpz1qajfjbxuIPUD8eQZbcSjTPErrlgVjW/YSRdM0uimcIhiNnZwmfgcFYJxKD5S
NKbNzlAKo0w2LECdsrTu2l3GGPwMc3h8rCuz+oSL6Zev1hShs+mWyXvIRJbQGpkWrqTK9Igovc7v
gsRCJzRErt2HDkbyYzSUApMgaSTTkDAz64FQrjsynsFaF9/4ruYMX4DfvEz9wC6gEEk6jqUf8i5B
ynSh/0K1bi9igxyo0L3h5XYMHskwXxqq0DHUo+ORQaD/D3nntVs5km7pV5kXYCPoSWCutnfyyp2S
bgiZzAh6G3RPfz6qq3u6C93nzAFmLgZzmchSpbRFhln/Wt/ycLTi6IGyFTeh5n5mNdM21Z7sNpFy
O7z7Kf/64FstGeZURS+RN2YUIY14guKMT5WIWnXV7eg9dEMcEv+I+b0nTdHe03E838zj0jKEKNo+
goStHocAPwUmKWHtvMYMeONlnBNMnrwLMTm7XjvscDwZ7uTTjq3NnVmaGn9/n8bbZIbs3PsmJdkt
3po7z3Qxe8igsN5nk0G6Qf4kX5leK5gdjnwiYZbWF0H/q7mqnCo+gI8M3qmTsD8pt+PbkmHSXUMC
B3y+alIbrtDyk/KQ7OBlOrzGeEH3aq4NFr/Ouk2phbrJJhc8CciSeZ8MMMPZaTEh5Z6Z43FLxOQT
P2/DC1p4cB6dDlvSbPkd0bZYtW8kGgAKZBR6/86qMP8V6cQ+uZEhP3ChTng0Wyw+dFHeqsAWxwmH
4/R/5zp4E3+yWJa/u/+5XDQ/S0b/sVTd9z3mf/3p/yECI3c5G0HoP7k0xvn7p3rP/sd98/71q1X/
dHv86xf/cXsMGbAD1vWXApdAYEf5++jd5V7JdZIFG2mWMT9/87fbI/WnLp4aNEtEGDQyLrB/3B5t
Sk4XQSq0eVz977/603XxP7s+UnHzp+sjnB+mxcKFZmTZcAD/JPJYcEM4wnfBvoiigkRli3G4DQ2O
7cZUf/JEslwJFV6H2g32HvTjVe5E3cYfkuhoMaP4YhsvDmw61gaJ/U7nYb538i55yxpaSkuwKCjt
xOk/6w7nf9iCxMiGSd4amJEfg1AZu1IXUlH+2DVfEK6WEX7rP1YG492tEpXzGWVljrrveGrXG/lu
CvVNnDiIb6AlObh73bGe5dHzcDXhrRK7uArvhI7rQwV54MWTdfiVGkRuOEFPEayJSO/sAl7VOkuy
8UvGTvSm3Uif5jbBqe+N6MJtqSAhh9N+skSxb8cab7WV3eDTD+7sDLltspISOI4wyfnqJZXncBzS
7bxIe4pswqgYDtretI+ygjjfHMXVj34uy18xAOsb4jc2OAj9PLci/InPMri3ffJbK8vtYz7Vksle
EJcI8WTUIU1FqmVjmfKk3wcT/r6utNKXVk/ixAW2OxWpBTw3h7NDFP8SK+xONJC0TxmW0SMlPT5I
uxnmt0z9+EP5o/HTimRwruPWucigjT6qkUUUWr1r/O4xSt3kHGleSnamG37h/JzMJxinFHjChXM7
IAcUG8Tdcj2x8W8jEfymS63YcI5j+pz1fX6q0ypbNaybpFbADOHS09wsLYoS6MfmgzKKJye3KFub
o3CjAi1eekm3Vu1l9SF0caBVOjWXa3d7qCwi2APG1X0gLZ+bHBb6HqcdBUiDnZCaiK4BR+wNgPP8
2RFZxwCMXayblf06cgc7aIvUYe/4+R3j78RfN0tLjtd3ePoIe2x8JpUDLN6NxZlqC3zil8VHwsmt
qNxb0+yTowYlzC8dwFQn8stQzuGXWznyx9ibxAwGO79Oo5WdAgwp8BGKms1/DGtuvDAWh0pYD6gb
FC8ZoYHBpXQaCuhxan+1TnsXOo2xNpmv7mg/s25ne8p3yeCNt5y4NakEi6c2FmH2g1msVW9GCu13
Rs5nFiYm6dem0G8z9tczFR7VI2dm/8x0J9hNg2hW9ph81c5SUodTupp8/5pWI2VxOYfihnSB20zJ
ZnBTfJEcjH4A3AhvFT9dt3aNft6KaOB6W6tEMqIS8t6e8ZZ1ii5E3rKZyywgcrFvbeZwbiSwHE4J
4dDcLT4hf7chXlyjPhju0gYzGsGW1N79rMvP1hxPjHyY44phY5Fz3zXAb/Lerg5BDfsbItqzwlYi
zcICb5h4Ke4J778Cq/3JccTglpWT6bbAl8OcxQn+NGqJ/MQfypblgMsEZU44dWcqgiuyCzyORXXh
iL9Y7K2t3RYv2ZjZalvWDaCM2Yxt6j8KWpnmfvhN3YLeFKrIziFew3xNXD+9lNIuXkpQk7vWhz61
9UBr5Vvmr6TeOSGmj+H3+5x+v9t0RdjOseC9oElmWRcGd9LTeuht0rjaMdK3f9im/sU8zHeWiew/
DntwioR0WC8kScdj8/nTij8ZHUJiKsXedOUTnvhFaLefiBS/CUfQMVjSE+Xi07n4jfYl7RT2sAv6
kSlU3UDsWBnSbUyqf1SZcd2lHYNOl2HTJFn/i5OifFY5WG2/Hg4OJ7/anutxbenmLWgpggHOjTOz
PVkZI4E0jT9rinfXPFv5/Ug67YhgWpO+zvQpNFt1smrsTOs2JVYHC8c+FhCmvbVIRbflc7TW0ZDi
BvF67J7hmN9rfwjfSiqn3yj16HeYeosPC3vQrSun+jaTDRCnYcl9dYP/UhpNdPRyStSmPO4f+aO/
a2YdvxBhVCdSk/MmDLsAXr7n7gdSK/vSA3pmBcN0hFECoYF4a0QAy5JPGIGTfjXA8F/zbQ8IkKna
pZRP75vBpdGQTXab2anu2IM01702aq6d5ZobaYfVlSN+uKm54vzGaCeJ0abpmdoVLM6Vm5y5tOEu
16R4rwZcvrtwDownux2sA1ZjAkxzIMpf5M7Hq2eU3tX1y+Je0cRwj+edoiDoSQfbdNQlqkVzQLk8
Usm06agT2/hlQyFGsISCfG0ikA3D8DAOWHj7odDE8zN6eZSDKptNmszQVDdPGsrdGtGBg25pWh9O
ZUfPZeSUFCDiP+6SwV5atRltdVBM3nD4Agq3re4yN50CEtGO50IG3iUPUnvHwTm++O7ETbXx6R9q
zGSC14GxfS2aHsQWXt07dARoHIja9R4oPxnZ3Ms2DNdByIAH2ob9nN7rQZU33jgvWZiCy5i0q9Po
+eEDeHXrSPaF44p/NDCdNESrJks9ZVwq6iHLQWZMN2OL3zaBXbBO2CbWE0tVu6xZ0mP1ipZ1zJam
eshnw/gNnqj47Je1LmuIEAwNpVk9FVZFm7n7+Xth1N+LJCuFs9HLytksayixRdYZ8iEzCwEA+zXQ
hpAaAFbecVmDG8sZT8VQsuZWAOle6D4KdkDkWdHNsn7s/bo8z+SY3lzErU2Z+T6X88ba5d8bQ7Ls
Ef6yW5gZqDLYNOwhtUxjgJEIRPEa3B9bkAgrJPLQmDq0Q7P2nydRuncwAxw6fJZ9Dc3MJv4OhcPd
twL4kNFX1a5d9kndJDPF5csOWlQy+BgqEhOEHnRHepzJ7Zmas541tKOfvozSYR8pSKrQgJYtfRb0
BMjJoF8H216/M/PaZ1jX8ivyv08N03KAMDhJzMuRAgInhwssnwlBV9/dqOXcITg+RqGq116uOurC
MmqrIkOPZ6oGqw1wrvEYuZSodAVZ2Iqjz4axdnJMtGZcrgPlbMw+JDk7lsAYuOmlN67VJkcbMuBN
InOLfjHPue1aN3gsJhNPeIOlcIfUHv5imGvdj2h6n32m+/u4neIfhk66pwgxqaVTTvvHTipjY8Ct
GDc5cg2XTUys9JArCk4MWx8ao06JlPGlrBsWo0p2KPeeZiZ1qsil0y3Xh/RlDH7zMTb9C5avahMG
xiJs2cLd0Uhm7gNu0c++5AdPuDUcYUwR6lDAC55liI61qloXNlbqGPfuXNpHWGPOU56U3j1IPHcd
+2xd3DvL54qMU0x3RZMdbSNOKIKH41SsVB8kbLwVvTHhmLQ3XlXIrdcP4YGDpfgYw1l/Qpao+Ixn
MuEcSKW9G6gsFisqjMlfSZOPcULB3qcJn/g6o1yO9GOF3tQEximse9JfyTieEh8BjkxZQ+sGY+CH
WBqCApPgfibP+gwGK18D9cn2cRFRfkCEfuRDC7wHWEnpW2J7+K+EcO2V3eTdh0RLeqs0cR1B1wHY
yjTa8598CIJkW74jd9sBsD5bVcjDb/hdxlYu4gejBqpX2NkSHmIiQL/T5Dn3MT9GlCbF2vVoHC4r
YsPJ/EtYBtpnR/UNlK+Y/qhKJOUuiLsaiqElXso2dUh4tfrGtZE/pImaPBBq4ov9mbyvIhcF3aje
BhzYt4xnvFUWeqdQOL/zIfyAYGRDi8szLkiUax19IJm87QOH8iKhUQblf9qz8nCwjlJxXYyaxATy
q+lU1otTm/rQ66z6Obhu8jNqRfMr5X3fhMRmDn0HWT4UV9vLvIw5mesdXae8gaR8R7Xa0iM5gsYb
R2+b0u8MFj1TbbkV/QjnkESvB8kbKeQYeB37bpS6JzQ9+zB3VbI1G3d6hQhRka0k8TEOBjkv5UWf
VhM7e+kFQIj8cjnWz9TNLYkDOkKU86VpudmHTk05kAn7JG7y+FxNlpzOYJbLR8/orWfF/QXQO1T5
X33KIHBtp21wKWDR2Cv6eZKnohoYTMwDZu4kT/MdFUAVIw9GOWFSAUk0Ipc2OB/iJP/XPn7P4h5O
qF81JyuGUZoELT97n0XHQVOUWmBIxpLmMG+LEyODzSTru9Rr1aGAFrYdwqzdV9E8cnHC3Uih93Qc
wUTs46Vji64x/yX/Lt6KZjq4oB5NO7eyy51tav9N1bG5p/yJIDfGV73Ks4m3tpkEaMZCJd2qKttj
klEeFOmb2Re/F+//ltyW+d7h4r1jYsv2WD3jq3OQ5FTXPlqymfL9EMfzV8JMaUVw6JrTXr024KFu
QIiZG6B2wz4QdbuaYHfuxVJlFjPCvHYS9wO5LZbiuukblqS+20jHqh4qP6ITja2E5ztbqtKQJ+Zn
r9Jkv1MR6DWmtov4LlUrl361rCitm4Qr+8qIpHfDCMl60N9tbM53M1voh8YT1Gn73jaL4TfYx6hd
gprVCAtEzsq7M7zJOTRxyrHIKG5y1D1H1LAWWjLKMOqSvRfrmlXE4o4xUvaVu1+g6rME7sPSQGdM
lNENRAs2FTNJMmzzLQfCc2f1t67QL0H6Vs6PEIOR91H06sJKMOrI23RpvSPrLh58N6pfeb7YvJae
vGFpzMsU3XmYFpkHxBkqBPwJo9mHvNGvs9sOP6iKsV/Jsbk/PQZJawr/nGO7lPWxE6iLtxT4BQo+
q44yytuWer8kkUe6epAX/Rimx6jVA5Nc73FaagJxd80raKiU2yxFgjOeobVfpG52CPCazeyn/viC
7EcVS1HieMaSpA7ScfNjRjPo1llaC2cDUhpMeAoZjHLeT5nvkCoqk4NTulxkMRptpoz8bx/TbMYZ
EuqL812bCGU8unczgA00WsESyCjISS1T/SCdH+97q6NrN6SlMXCa8ED8ThHuiSfgfgu2ge/B2tRL
0WMPwPKl/m5/ZN4s10WcP8qCRZQMsjHv+mXDDTzFMM5Mf2TGVJ1Sh1xjGlUcyFJF/6afcOfHe/Ec
IgRvSQaAnWTNIHg/0VbpxkBW1l1mDN4a7D9vYFoIFuwZQsHa07xZfCvlugtzvqLv8m49wXu7TgUs
HINh92clC/ugUlYIygLaTdt5E69KnB8KC5W7KwgtmEGaANUvWc2GoR7ADribiR6Ps2VG0U3B3AJQ
yoeLMJOk4igpgDNVdIawl66sdLS3ulSo+IGzVv4gtpk7T5iCXBiyTfjIvXxtheCjUiuHRkr9a36j
Uqtb50PvE7g15m08uoprEsnaVROk2VkFrs9HEJnHoSnNLya48IistvitomFcgcGPj4FNH10NYxiw
a8SUvKD0CAZ1mb5CVyU7VqdW9OgYPaWAHLTvuat0Zyd29VFMHsoSc137mhhOv+5kXL3mng0Uq8rK
c2IsOFu/Sg4Vo5eDsONs7/RNfSnsoj20WESrkaPkmBAXt5xwZiiamHveMPtHx3XtvjMSBfTBb7Zx
jvahsD+YQhJkXyirlnsa28MU8HnqInzFJbJmcBg8WkUfIpD7ydWjnO1IL1128WOcd8iQ7jEakntp
e4P+Lxxu1r+6CrsOJnkKaEDQhX/y+IEytqKI8NPeoFJg6zoJ/B7Zw/StMR4Dpm64/9rZKJ+lVxR4
PhkvlRulKuMBL830QeKwaraZg0sbHB0VcXLRK9F0bGgzoYB+aCqi4qSLFoVTeJpAcDAiEE6gtU5w
LB1Q6NwQjb8aSf8/NnEtKTNMqf9ej398B5vcqffiH4X4P77qDyGe0BpyOmZT5r7ftqu/1SGFf3GW
YgK8jn/3d/1Nhxd0HllhSPrNwkRjL1rK31xc9l8QkIjH0a4kAgT0/5aNK/AWm9Y/qTLI8DjpyYtz
7PIZEv6zjasU1WgURtfuRM4WtzeisY1urMxFUm05hx2LgIrrVTv2LWDaJClJonhc7bDEpPlt24SQ
H3MLVdfquVkP4LovXh2m8ZobRpOt/aGp2CgGl0xFoikQuYQ5k35/4bOmtT90+4nNYEBZreatlMST
4SU70Y1uhqbZxJyfjwx6edi1zvNq701J+spMcRw2BINHuYUKzpLImbQn51VE8jIGvfeBFwUOjc9M
duxDDvcpcK7aCIxtXs0pfhWQXhU2rMeeAMFnbwnjfSrGLP8hssj7yEGrvVhayob2eI0ROocDpXbS
aeVXL8CnMorGR4IDoneXe1NK8Uufj0+tACwUT25jXYRf61dMZ9Gmmqfx1Q6ckdlkIarbGNFBbPLC
RLbxim4mCG9ZAAWzjhDKxksk1Wp9zgVi1TfLUJQNpLrLG7MGW29i3KrYi+W7KID1reJyMlI05FpL
IGyIhB5G/NegM9kAu0FhGnUYBp/a1l7E6bzX88aAGmCfA24MTBeKssStZhYNfDuaNrXuqGG2uq7l
B6DBrVoB5Mx3dVIkH3an08vMUfeexnLnS5nm+CPULjdjTaNgwRm7Lk5VOkOmtathxDkzVNe8LbJ9
j3eX3dNF0VsVU410J2btXpWW3bWuq1RuasAMIWd1p3w0PZnU6BTteO2HLrvHWaMeUpMhKoGbLjyo
uGv3EMLlSyJHXJPMLRg4bOJCQ3EIfEIGuqv65gQTwjSg9IyGuaMCa7IO7DfJu9v2BLm5p0n7bPoV
u6/bMGbhZIG1OCeW9Ix7jjF5hN0HirGT1D21uW23qKc+XKqQ8r4rthHy3hpw8GsCoPGSxCEz9Ths
Ir3tuyiveGAnJg4tMgK12xj47f2QLxN3dhMbQ0+dS9KJpdHvnYRJNg21HF8BVv9IE8CIYar4V42i
haMW9vl8HyWdnT1Czi5Z2sEzx7Vn37O8d+exF6rZZy3BJJDLQfFaWOTtfB8mIKRbkHDMDfyNWVAB
vGu03Z3iiJsmO6gNYwms7DYsSu81lIkZ4MiITUrJNUNyDrU6REqsrGzHnK1hwye6sisbpXeiFNCO
Sc7Y9FoOnXx0ZmtRtFQSvoghrn+SOg0+vD5wzv7Qo5aAuMElOVDrxcnvp8YzmZH0GJiYdabz7rtY
He+kI0uP1u4B3EHI/OGuLmaqV1KtnVPTO6A554zU4M5uKv3ilqr9QNiiFyOjNTUjXD8SErfSWdsH
+DQT4yZMFOg0oocOFQHyU+cavQIQTuxrZAs4U/169JCkAI1pKbZxardLEh/JcJpHx9xYlYVAGQZm
pLBlBLzmCGdTsKLCOSX1xQP7XjpG/J4alREdrFBlX7Rgm7sklPal4A0nJSha9dl45CkWP99+JHN4
VaFmh+cm53w2Ok/owPI95zzOXtzcSl32b8YMWz+BmYlzvAwvIFjkD54owkV5yFNZNHO5YzOZXlM9
ZchsAZS6RoAL4Mwlrb1rdkUI3KH/TBpn3PuyXWjOE7cBNdKLpBNTt+e8M3vvIjNvfmKxcfNn+Na4
3BP8ZZbkgdh5fo0hTlbpS4xzT5O/o1psJbLc+FmLEXAy3M3fCJ+wYIIEi+Wq7uqM64UvcTBY5Vdn
1yEH5Tq2xD4A+B9cndHgtolvyTZ2um+xHsB94jUbHFeQnS3QaW8afwJyGZXuc4AVBxjToIGbUvm6
cdq2AzmXlOpsu/Gb7Mz8AASUyler0u/ZqCsQvj2Wl3aiC3p0IVexnOUgWmowJ0MK9xH/RGZt9TSD
dl0cawfIk7QapYaFFXOe+iNkDPfoZ/X80tF7U1HbMARbk5t0cWiizomfhJNjk+sZp14hJjCy0SrI
diHb/TEdLVhpqTPTyGnBEPziPuTfQfKw3wyjz++tyeRCjuv2mskxiO8REUEXIt671I+6Q/EGFXY8
FJk3InwMVfzlaY9wadyUwdaY6xDODa4+/1kauv89+rGVb9w8r9+YcCFldvgOSadg7YNNmZfdOh5B
XuBP8vMtQC6EHbef0H/cObrXTT+LLehE2W9IQ7BqOYbp/Ww9z2HjTqODQNyCjhFmayeMhqc09LEy
GRaCv0b/IxeDRmwGPfUa2AujFIN3O1FCjXJOGhNbT04ByPIeGqsg8wuakBv7rqu9R51B/rK9+mcp
AUdEEiMe+kPAnc6NzrHd6AI5yPkaVcINR4XBmlgDN9y+wuA7xW8pwgRjYP8X9tAPWHrG3owzmmQi
mSMhtcCEVq4cnZ9dSgXttqxYiVfKbSGyA4Id7KPjuam9nuizqY6DEzGF5bpKzMo2PCxYMptw80g/
0wCrm6AZV6MKvsqyhtFhmZ15VVVgcB8WXexCaMyC8Xbm8fmKPG+GKovfZ+2oLO8gBtHY5XTJtJtD
kRxSmRhbCyYaz0rWn8HDMvjghWg3GYbqI2FOjHNJ4j+mILZ2dE9kGzhP6WcexNbvII661wxY+Wac
p/bDqO0SDqrnxKRNErhFjht5t75X0hwXDoW5TYtsBqANJJEsZFIaxg9HxciM0dDH5Zp+uLrYWHUM
rqYOitja5jwwuJqrRE1bwLM2WM/FWF8tFvva7OcY8cOW5RZPE458n9bdYzjb7a9gcfEzCMHQTyIU
f1XeotexIvT+zh5FcDd/e4Hmoglvhhl6rPj2C3WmVh951WIiahoDmyQA14/K6tBiu7Cc3sS39Wj6
tiFpI5hZLSRtYHvqZbErAWzkHCo9rEz5t6sJLGByY4IfpxomtX1UnRFCad6Ae7PKYFiVuNOuHKJw
TpFXtj7bempedNmpE20rAaMAKEqo4VM63spmsWJRoCSMtf9t02ptM7nT3+Yt23O7TeUZat6YDE09
qlPwgDGERDDSLHZo0MgUHF38OmNbXQxk1uIlczNe0zXad4BylC3O67lECMVes3axVxwDw/dfkqHW
yQErN6zwpJLlBpsBljb9bW9DeJjiO2qm5A2COCUiNiODd9cL6weLcP9j1KLMUQzuUSVAz4NNT7W2
eE56Fy0/tTMtdn2bbIDa4gn+9uUZHEwfSCUMZ4DxmPeibyMfy7h7TQdOxSwZaqooxSpS1OJvM6B0
k/KX1eRAvNJv46Acvk2E34bCaPEWclCIHqd+nOQF0zY8l/LbiciNQ+bbFPM1llMKrdCgv32MkGm6
K2Z+3I1EdPHsAPo9F7rvt7wCzS9Mo+bjkPaqBRyBT1ItjkmrFuHVWlyUVh+GvzQFFD8mIxjOweK2
RMoyagCRGDGHMtGvrL8cF5y6s5x1HrRQ7r79m0MugqMo5PQTGSmb0ciwe3qOqLqNkzrQ2WQmkpTx
bIx11vl2j0L5qoB+QiqG52VQC7JqGQo0BwDlGFG/Pallr+wj9Q4e0HR0ObRxxe62cpSq8d/YWMhP
8+J5dbUz1Uf97YyNE+LjGxjv4e++6PPPtgkClMZBF9YW95O8gktQau2pYWxoZVWEXtY8vco5xUwn
etaspKLWZx6Y05MVK6mGKZvWB7NjZQFcEbgJyVFh/enGNYjEipYh4ZXBSz0OZvDolpxL9iFPGrHl
dMTnBctYv7vFiOBF489u6DBldmPmY6Z2SnCtuJ+OMD+tBeJnBPlFeV0FpdV2evt2BgDlruzSD/BN
us+C/QY4djRFD2nImeA+A1UEDjzFtGFdMgf5aU8nk862OSiVLbkecuhrO++xs+A1xBYSrwpV1/WN
mkuOR1UZa2djmVXOdCyxi+jkmm2v7oLB196dRzhvOCRt3G3G3i0eOj+tjQusmaR6noj/zPuwnlx7
146zio8uwLLkJZZVkx/cJpqmXZUGU/uWz5N4D+Mk9VYVZM/oLfUkurJPb6DPIamzI8nvfWCwgLun
5ZjZjERcTAtwlFqol+LN9vq2WzcdM+F1TY6aNjR3ChkulBgR0sDUJ2fKzWZrgc87IKKm+45Rk8sx
0BufVNHl+ZG8TyJ2qqnsALeZBmxUOsyN10zQy24LCxp4laF6Y9PJwduTdgijE42Xo95VScDehRLu
R6ei1lNtreLOEhOFAF6ebg0mz+3rmHLcrupxym8gUVqYsiheZOLiDV1QnfD+TszZMMSR7HFzX13Z
pLz26IwdfXNaDMOlH2z8hYwU2z7/oZDOkw+Td7h8oNhggsNSxWpFawPYZdF6/X1Sh+FrwuFuMRJ3
FSlOfhxnUzbxNB9MGfg9oDpnZtoKyMRZzUzGdr7VQN+dg8Y4x3n6GlL/y4kcfMy9Siv2RCeq3gx7
DJlki/k+aeVj0tfQG9DwcWNn4UBOYLb7ZJ+OHgNYiK712epytqkCouvvOeasdzR9yIobJAYswV2m
ps9JUn5zbIlXcmAVfXuqaZV70maN7cGTGI4sdwJXbNcG2Dsne9SSyeymCNv0LEfeWE4tESaxKJhc
b42/uP9o/UAvuc9AML+D1Qngj6twdohbsgOAIbHUt3Kh6FXBDNowiyX16p6dWTehKOhy5KsFBumi
F8YGawU1FmWuKMTCwjPuR8hCXzVLf7wda6v90ZoON6aUFN17zljzCOLbgH3jRxgYshbKdz6bzPtw
zWSbOXftOwwd9mMdl84+rpL8mFiTmD9sk4/DG7zmzHPZPfPJhweqkwRfX/pmuR3m9liJYnyXrZDX
aYq7n1MtKS0yE9M69bbpH1FUaVSjEi57hQfsM7Vp8kAwgyMAy0DIpWaiqBlv3dKmiSlntoM8xE6m
xitWgfAcePOEuzst0ZbALgxUy3DZ37RNRMtMh8+diX2ciH7DyAwHqFOH3vZbsvs/rVv+W7fxP5mP
scH+8Q8vyKx/+sP2G5/1oH810+OvVmd/NSrDE1j+y//dv/wDwvU8VUC43r/yGHdsS/j8s/tHCdKE
3kWa998LlzfvX2p6/5c24r9+6V/Vy8D6C4sm0CVTWMIVvPx/txE7fxGmvcBaAmg15kJi+kO9tLy/
LN3eqJfO4oX1FyDU39RL8y9YLVE2UUnIugL++u+EUJFE/5xQxkjmeaaHZwEulLDdxWb8D7iS2GQG
Nadzu1uMi85GNFLtMR6qO8NIxJVkgPkz4KbMwIfY4iWmtco8YbTr6BOMmeY6FsesmqkrrpzJ+QLQ
ED7PRRcysSml5V0w3Gl1lSAKppVhlMEVIcJaWZVlbUbDFqtWZI81gY4fvlu6607p/q4qxHVOMB+u
qmJ4jt0qf5ZzUXxpkrR3jciTg+VUwcmbZ0WNaa7v83TM2hV5XRxpbdbldI4qY6ZMboIQj0sJljGX
5DMAswGCoQ6mh5CSO/JJsZeVJ1bOx2L08vmxD1vMFwsG/qkSAWhWetv6JzYRAkOzM1AlFzLjoDvC
sVR/BGvZ1yu7j6ovwwi4bU91QbzOzoXsLnoswvDURxbd29PgWM3DNKXVl9M4ZbyX4Zj2dLbI8Ivq
ivFjNrEPHawGrvi28+10LZPB8IB1hyw8hsfw6c4N/GKpC3H7393Cb78dFVdY4mXmM4eLHD9FFDxY
zoThLeH84tm2caoMVYk9aVrvA9e/0x9tD/v/qo6amiVfeWKGy1Rhbe2hqiOVUK0XmYSJoZqLZ5pZ
4ledOfJL10bzOYrWv4UWNPkEOAEPcwmUztrNq+EMuqPbF6AM0HdI0u35VOj26lwCQhlyIMpkXJF8
71Nmc2YnL3Zm5OnbzMPxSCrY4AouCnEymJ7R75MxLpxRG1ZVNGEtFzaIxUoTccFKR+LPps/cdVB8
94T//ZNRJfLiFOkn1S7GAhhDDY3zktBLLJMnfIscPrAbIr7wc7P2eevEmE21ls5YvkPyjjibaPu3
zPLgJ/ZeHnJTMKZ8UxV3orjK6GPXIwt8KShZ6Y1DMgKuDAtGrIIDotp0VA6dvS5/rKDfjKuiURfX
ndwHAunha9Nk8Y0c4hZs6TSrfd35wSeXAewpKQfil74ZtQaA4+Li82I5SrAlFrc1LWhD+ra4B2tB
pWR1agvbANCOH3M1ZbK9kCqNN0lRPGLUQH0rTQf2V9LR/GCHz5nj9K9IG0z6qp7nHTOTq5BA2jTY
0bgb2AcBl/6dPLRWP7UoVYzkoRgJFlSn4IA2jWE4Cr9T2CI1Ow3UYREXR9MKMA5h0FAv7RCP0C1M
2ZW7knTleKkn6BcblS7zV8GtUu2c1AMgq4zBvGO7Nf1V5TXeq01IFTtOIJFY91GunZ+kamrj1nVa
1ezIz6KQjoTv3Y1DLGFaowDb7m6YRkiZCQ0PjGxFQbXZyqb+aaRgFxr3DX477GZmnQgS4SH/1aMK
uARRYwyt7mfH08Xx2s8gP0TSwFEeD4QT1hzaEFtoDygPXO+6Z5Fk7jFwQ1k/pW05QXEGVpv8Gvqp
uvRYjXix3Yrr9kS/9RWiMbRSp0xS+u86pEU7ipoK4GdtCNhAPuE5U8wFYXqg8oRYtRn1G8Sd300I
1pOJ7SC3UVKl7ZEnE4dN9R/snclu5EiarZ+ICY5GcuvzIMk1TxtCigiRxnkw0kg+/f3oVbezqxbd
6E0DF7ibBApZEemSkzb85zvnSAB5K2zdh3aQ5V1JnfFvYYylzUGCqNkT+crtN2m2LVP2JOPAlHgj
HnD+FYvEaL+UCBcvDeMj7NmZ5e7yzI0PiAtLPVSAhs2YmFP3TBYBx2sPN8IK8T4hKHpSPhG7WK0r
Ghe4xlmyjgz+Ja4yEp8yBvxp2eqPYSiD2yHzyrcKlyDR+p6e7nptZ6eydcJx1db1uGUdio3NSH3N
QVhK3w5hE95HRoA7NUiTcEfrzvhA2P3EuIdwGrrxKFjTyktxIJdxdYwaqgZXdU4XhNVM8qyUppKU
6sZnWFDnrVBC76wWo9RchuLYS00qd8EWWWxHwwRyi0mAcgx7TLexNDD2UyfW782pD2/qShlriA4n
W4QuZltuWVOjWvVfJrPvT0ma0mtHV+VRoNbvIFijR3ZLGewbpk3PlZWO342S7m87tPSzbgu948L0
RMcAs66l1qnbJkP1lPbumK5IAa85BmesvMyq4gPApLMpusHb43NO5dpzFS09VKDIZBfkA152Sko+
YsiRZtN3ZXfOxBT8hKAXtIkxYyOmyzykStE27Rf45SvPtPXBhBhlPJkHJKTn1aGgxWrbtqm+87As
VBQiomHtJosfWJmx9YeboHHTR6lDF0YJJ3jDHYhqCubs1UvD8drHCV2wd5VD7R5rtx/O5FJgDORm
6npEbNMySnOi+zD0k3ObNll4KdvMzlZYU3+xNbc33FC7j3Tw6FHU41if6jGLzwUdGHyWiYXKc8b2
sZB4bzC4DuGFz6I+AejMV8QpgeaOfeHR9ikv5PLHUCESPgh++kcEdv6CXJRudVRIdce3V34wZZ03
o6dAf1vl7SvCjjcU5vwe/Hm+T6Cs7zi5UFMUlsX7xFxk3YSGpN6gcsEbrJ66s7AaeN98NC/LlOLB
xJqbMAAKpwerN+b6CSbYOHF/bz9tq+QBi92e0VRUNUWwAesYNFRMp74FBXOfXVAPDyNQoHP0kjJ7
r3QcxxdGcTkvY+qW3xXGzV+Rs0T+dmPVLnpiNKX8VtMwJTZo8EnwQE5kfcn9Uw2enmCKXObBU+IR
xcDfxmJmMvEaNm0l4RsxdwIKR8p7cFPoGTqiWJn5cq3X0ehKLrwKqzbChVegRFEYu6qZ++6nWasf
rwpJMsoG/rfpJP2PpxUNytqrb7i/+Eu9SP3ANWKYV50/YbH38iF9yaH39klTdGeZ0N1piggAsgUQ
XMQ5XL8kHFKkLjo2m4lfDuVC2cAnHBigvi28V3ho04K7fz0581dD57y7vTaLysmIfiFV+u626waI
1ThwG+6MIw2a9xYOFMpwUyhEmz9eklWIqWRV+F15aXBkP3IwpdRW4u4CRw1Q3VAMZh5WkLa9HabV
Z5j1Be+bU+rdaMzSgg7Fe6SIFVm6I0VMNUxbfmWT553diKAip++7LU0NSw2fS4tJXDUW+rTlZUef
j7SNWTOp8gXaf1NB3PyazYr+OKY33p1MPATQkCkrmRPTeNN2dflchSD3q7atvLsqIOwES5HsjiWW
N2dro9jds+pPm5bepvnAYadCLjaj+IXJ2rLuaJbJziYrBemKVPs24tC0maoUYcYZp+Yz4EJHWYsR
zpeW/kUKuOHTvpSqvK2fpF21LmikvzjSJl/T14WVURTomhA9SAm3qrV63Blwoy/xrMLnEB05oKs9
nNHXE/NQVmNJXbU/uu8mrq7kKSPz5L5xl8R3Fpjgt+JsqXBLmVO069iZ7xkNeqckryK6nwoVHBxq
mdUa6ZAshJjf2cGUGME8pfA1eVbrP9AfQ69KUGr7iahfNFMR9zRlKflEHmJwj9GQc1viNd1Dbitv
2JkhEB9HEsMkokANYlq1QyyeBhHKC51ygkNekE0Xz2mYdsQj13RGVexETgXAIw36+byBBj1WvHTH
/kzf0hSkf/yJUj+OQt5LOIaVtcPHIx5NrIkAiKkv12HiEGiBhksUAlfqU0LV50fmD/N9YbbGdwWn
/mROCa1CdqeKczlM/k8YmLK+wVFC6PbcecVvh1HQ66zH6ZCjw56RMzO5cf3EJJTDH9JyJ5J2mhDh
WYUOTVOIAzNf40XEUz5sczxxe1N56lxApK2Zapvmmk5wZ2tNPXPt0iZc38wKTclePkxvMzf8LfVI
JDX6k9/4BJDLcUdtQ31DYKGfbYxYohyWsTxjojePVtG/j6aCH44riVF+IjKttJvPqKIVjK0JP0bi
BEeJgYi9K3YfpPbV1oP6BbOcqKwyWbxWjpG82hkzXrdlWM1TSHxDF/5UPhHkwmmPIzW52yZQ+c4l
e2YfYPvA1D9FfyKj7i6uXbH+TWDPq3bkdojPaV8V2E40RwQmmOMg7uKwqu5HGn+OqFDdzpqM8mB1
QKNN7Pe/dKbqB9+YSM8kcWXg7OJXzy57304EujvoPIw/Oc506ypMHmXJ0tz1fNBpZlytG3Bvf6gi
DDv4keoQ9XmM++6mt2N2aix1Gy31L24PisA6GL8VO3FGbIlWv7OmNPU21TlBB2kSfKaNTfhC2Qh1
wsln0Fo9tTRXQQy6VZaeGHwNX3PQ/J5rujFXuDeW7ZTbWJ2UWJqmtj1NBpNXrkAkyiUJt1o0ZPM2
lFRKJXQoUUNmABrGg00C/eLEL0wC6ZtxbM+iydQNWUv1cTJqOuUD0IyLN3ukORupuHGq6JnH/kGQ
FzOgpTqzdu+J8QtWARb3tZVlEG0WwAVf57AOEd8WpCRNbhOiRbJ1OvWUMDtj8kZjRggNXtD6HJbN
CzLE+CXrbLwXs40oZBIPAwUg/IOwtXusIiTevYk6yfKWjvOHsM1LVnftJSsWqrNTh95yWk6APT4G
M3d61Ep0KEBa772bquG7nrvbIsmbc5enxaaxTOQHWTjxtx1G5nfMcWMd9GO1w3sXkOhkzOehCrs7
TG39U5Hw33YCimTIve13TR4j6UH5ecdiLuw7sqr1M4VHw2bqMvj0nnzIj2bRZpVlD9ty0WvV5FBt
TtfxLl/UXG/RdaOY2iQzUOYObwO726L/OosSHJSQW4TBxAjEw1Us5jRyT4Kd32yLq5hc9VaxbYwG
iRm3XombCOWOLZzeZiqcroK04dSfTLWtYpMsijXhwcrHOzLSS2HZZcnNRJGnqBalu7UNbFvZon+n
syw/x7hlPNE7ds4IHqEjvi/S2nyN5FBx/M6K+yp17E87McSFLlWLzhmjspDecwT4mu/h2HO7AWDI
uUj48yhfM2QPD8oZL+8T+lRZHuBogm0do2Jsg0XvH5Ia5Z8J0HHE6cZ9YSEDLPL9xGEZkHxBpKGN
XiECdxgpVnaucAHtacaTtRAHamEP2F/qpyT31Ze9kAlGB6MAmvTZXqmFK8CQLyyDuVAN3OsAHEQE
69As1EN3BSDikYSbtXMFI+zORvzE9Asw4VzhiUAXZfCaXqEK5GgAiy7KlyNjfKN1vZMUGvKLUCE4
Bj4M0Ix0oTTqhdcIwLvfzLEA4kiuQEemfKQQah5OTHAAPkiYBgiySVY8GXB5xbOO1PxUqoUTKUaw
/3N15UfmBSWRGkJvYiqxV47/ERZNEW5JybX2DsM5pt2zhEnB/DrfculsP8Mrs6I1sVhZDJLO1cx4
rgNaVg0xd2uOkLjjF/SFVw4KhiUfIqZZ4BhrwWTytA/emMzQTsJ+xEkalKbM8vrOCwH3IIOwIcoF
usEoTwLHAuLQ8QaT02ABwy6YtPA61uyMzHbCghpAq2VgAKK28D2i1hgh2wX7IWkEAkj/gwbKm47q
w7FWaBZdCTFUX+khp0M8g9Kn/20l3ZHXvUM9x9FgFso5dFcKqbgSSYNPIU6beYrOuQVZcqJmOSqT
0cmeQ+Xtc8Y40FtHC+pUXqknWYCfr5OCBxMwKswEFXaF+xUbHRoKWUTjOlsQKmuBqSbfQ6NzMbue
dFiL7wwX2hvdLcE7dWkIeZhNjfsqIJJj3UEgdyTWdBOh2YojrKSB8MhJnGLduc7ydTT1Hdc7rOPE
x6eqpsM8CeJPt0EJLuFQ7vKoBC23rwgZ3Vb+xpOB90tcETMUx+ws3DwrWeXt4D3tDAzflkB6SRdG
rSDi8wAYUa3Af0DYSiqxDjpympZOIe4eoOkx+UVWK8obtITYXnVXNK7ASEZJ0T+QObswhphE4IWr
S6+MXV9YyDyD79JsnEfjxyAWHi+6onlXSk/0Y8hP7YsZA0amyEOlHZ0B2pBxSu7zxHoO/CAZtq4K
BOeEBQYUVzAQP1f6ZZOmxtziig7S+QMWUAzYSk7hQhemV9CQx1OQvP0PAtFdaEQCSzukZlucGIj4
clcGRP4xrc1/l01h3yKPEDiVZz1AWtH5rbjIK/4YYptqtEnQFhSl4Me8spKZQRYGj1hvYTLhUTmp
K2KJtaUZVv0Qh8+gDdzmR+QbWget9DuatGIOYpOUdsM6gRAXm1bNA0r5lHUMRsoz93EQDg7xSwsF
KtPR/9V6ffuSC5uQmkxi8VplNiM99EOffBdk3njFXQC+NCOuCj/ZlTsFP/LPo90yK5VhGtxhCINR
9Vk/WbCv7Gpx5Viz0o3NjXflW2m1WljXpG9MEu2H+o7QZWjYEPriQ0QpjroFluVNgpttTRDaGFm5
v6mveK02fMJHDQf0NrJkmuzGK5FLYgiyP9sS68p4JXfhiYnqDqvZXkEoIuBptkl3ZQgYYFdk9daw
l86yoTanm6nEg7HcIo14XSPoUiSaV3m6tRM5P9g43ep9wMmo5coUdpuGHg3IzgVK1qMRQdypdN42
Zgq1rLOC8RdYIPlZrKowzQF0s1Fps7+ZrsyzgdlvXudXFlq2JsOkzhcL0QjmdNfNmDdX+QJSE55B
lFt05asDlH5BQNjCXZs6Zlg0VXzg2FjI7K4viQPOC+tnyIzgsQ18i8ljKsjSMyo1QiGlhER7SU4Q
hpHXLegcyyaplqoxHmKuGsGrLWeoH8zrXGBSSOZAw7/uuNa78sd1y+kz50DmbVMJ+JGPgQudVXrN
JtE+IAi9VweiY5Jhh7fQf61lX59B6OLXtEg4SZdBnd7nTf5eG060hbj0syOhJEzcFzds3Kgh2vRj
VH4h6Bi/K1lPzymeaGNDch9J0z7L7nTO2Qrb1RjkAOY2AUUHHNPMsiEPf3GYa7/NNCheZuhkua5q
3W25rCUnw0JsQrNcfiIV4Uh2xMK5JLn7xzIa4uGjydmNDBTOjHTcdep4/X1nQnhv4OYcazX7ej44
PLiPqtH1I6Y73oA0o8clsWP7qW3gbBnuY08j6dMaz0nT17uZ+Uq8m7U/0F6J/spYpoYP3EVu78hD
wOOb8hoNzoIFJDq9Y9iQwYfNIFY3yP10TXSj5yDPJCpAYccDdVRT8pQ0dNszSZy+zEhuHcMlmMSE
6qYbONe/EGRAdcPGfudMNnrsbWkinnDfMrSosqBeyVbEz61tBc+cReMZ+3XiG2sTKcrg2NY0b8I3
q5/Q5uSM8sIcYB10ZvEHxCjI1oGT5oj6I8P+ppcNsVAjdQ/U1eecKFtR7P93pdd/iX36fynoSVjY
f5BH/yuN9pR84UP7Kn//i7L795/8p0Tr/xUi0WLjwDBC0FOAm+gfOcGB8xcmEaJi/8N58n8VWu8v
m12OP4DJyKUH9u+cJ9v6K8QCjr/E9wLT4/D/P1Fofevfc54oIiJEOghM/jrXI7X4XwVakzjUODI4
MBaWO7dr0DQCtUmGItmk672eUxos41sXT2bORFdgQa3ReoZ1PLWxtek6m/UnqpvhSZuac6/vKW+H
Ja+4DcZe7SydqMdKT9jkgHbXqVfMIShPLg8cK0ty0kWxKdxKHzTwNXy3F+jxRuBAP4PclfLi9X2M
34qkFLlZMgaSc+v7nb1NCRl5dMGCmdcXE5Fnng+mDHdhlqSw+gnm1yolCRJQ0WNtJgAPx1pYegOJ
VFH6OPRec2gm0uw21li+e0ykQopHrP43P5y1zkj6IVY/dvpnvxOeXtsGZ5kVc65ozzSTOglDC4YT
mt75neeKgWRy2oSqneTaW206gnPupLLYgXALuOBrfj2bJzuLmJjj02MD4E2O/EPqI+Af3BmxjcRe
V/pL1S/Ji7jujc+KIpRwhVVI3lRRlX41RS9vOtJrzFVbVT4DFttnUh3kkyrXhcOxZZO1LRGK1RAF
77Gu+o/cXtgi0Ss4QTwBP4nrG0wNVF1TaCgJuNADeI7ySN9a9XQZTyuP0frBMmx9b8zG8JA6bfHL
KRICXlnE4nxL3q/x3jXuZGyiRtAv6MJb36MyRvWGqWNO52E3cLCLqiF/rphKTytTmQoLC4Ffy8Qn
sH5ETSoFPA44yuyDcGEBaUIO6kuIo5StdNZJ3eKwSX2Cb2EBjfDMCK/ecWQaNnbbNfc1M4j7ZGjb
AykNzWPCBPCuIdvXoF0yLfQm9zxSc5GPv8xOjXfmkJJUODW041a1nyEGK3sr3Kym0LvG9ikDJrfz
VE575TaIjp417ZI4G9/8KZpuzbgMDx2y4OuI0PHmhgyISOwN9DoggRKDN7cxqxpHhpQ4z101DuuM
jIcLto1sS6o8/DE1KLe9lYe7nr9r7+dkQyAeYvHpgI57t2TU2vGR9Nza24nu61ujj6slcTI6EU5a
HewCgat0RLn3zKR4bfH3r0mDfRGOWzASYdTUhZRRDOeBOEJnFRaS+aXWBAqhmRCKyE+qexMjTiC7
MwK9uYmUnF6wv9b4ZPvx5CicDYk/D+vGFJxumRWFa6tw+f3jFo3vSUuaHxx7CDZTmY4XnnVnX9up
X3Mu8MqfQLvqAa7e3qQwok9zrOdXg83okPukmex0Cuq/csa6fMVFbb+hbNavGR3AP33Spq++5R1x
rvYHl7bXS8qWqnHnKHE/2UXz0dhF91ASJ/ylQ4SLdWP74ZMte6iLJJfmOgVLxULNmpKtRhJzttqZ
ZvJzhP2l51QRfsEt7YWzd3xxhzzbtHooUPNS/xK0jvhMEwN9DQtZvBm4Zjw6gR8dplpaR5T+/Lff
RRR4kwthM9s3vOmS+iXCLgB5/UMAmcWgK9DPCM/zDwZfXW8CbhUvc2P6D1Mx3vsoYwPAOjmeqKSW
5uc0GhrZ4XU+6BhIjD2qXkk2QZ5Hd45DDeXEGvEYITz8QYollktA775lYYlFrGNpPjjwGnQTOJHz
k7VMkfnmHVSNLrPFcw87YK/7XuLoy734sS3i8ouxD2//0Jc0y4OE36NIDfa65uZP9msw3ng2lo11
PEvw+hqsCx4VeJzx35ZKPsguwTPQtlODwc421cqN3PZEaBxNpy3HYGuD5DXTIR94zbackv4+sJwc
xJshHKI8ceHrQNndIzpKsye2gdjKgTy8p5RZyVYIysbRqcSZFIroMYYt+Ihg5IEe5+jT0N2TWRfj
DSy8dgD8p/SB2IasOFSagvKhmwFTIifusXi09rSyjAmG0JowOGaBus2bjFGCJcLkknljeMdxyrRZ
HwwKtqvcBUgWXawPtlTEtZgyf06G2Pu0U4POjCH2z9SNm7R7p/ok3VDc5DbxdRLNh+CrntznLBvD
S1FO02GoRu+Upa3R8pINBM3kOK2MreqUMIgC4Q5E7nTY3PIq2C8CE8IDkXYx+OMgTlMYFV9j14Rf
BrPJfROafGbtOO1vSyl/N1bSfh4sSdiUW9LDjCOats+2/sW8W3+Fdbpw4Y6niMwysBmuSB5rDwLL
scE9MSexxCp/IuYagA2cNg69QYXp0DjGtAF39Y4qGqubVOMLrUhnXdFZBynq03+4U/M0HZNkyAh8
dQ2xbs2gYIw1Zuy3QR02d2HC8gIBygWWZuZBf5HhSzdXQrn3Y6Km/scZvKK/WBlV3Dx3Lhoj0cLl
bSTddFf2cnpoCdxenNRd+1DihgnXHXNVYmhSn3ldx1ZXDn3D5jWI7K7rRqJuk6I64Ruhi9t1Uvu3
X2i8/nRjIwySviHPoTfpcGfbEOjMGOUrezbmDwZITDF8NNnP0jO8c54H9T4UXvgSMuZYWz72FgJd
qIXE6tkvVd1kIh7l0JXPVAw7Hf6pLj0T3mq656ScnLeqNsWIQNzClguBgQej5mnodHMGyLQfcVnY
JzdMsh2TPkL8AgqU52rW93PZ8QsJWXSXsBn15oVN9UNG8Pxmau6TuWrKYzcH+Sadg/IxpKaKoDUH
GRxbvnhTNv4+ppkOxyHCpr3omLa1uJVJIpkCNdlbFVrilgNb4+6JZCSlq+nC/Cac+uAjxJFLz6B4
N9283k8Cs5ltuDzOsUuWWVu7zyRKZ2Bd3PxXoVMz1Sr9zn/BP9mX2zoPSfuixfqjjE39arN0UmFj
t/WZsOFwS4kluh8Fz+PBHvPkJGTVHycsAFube/4+iowdEFRCwU0Kn1BJzTDRRoHiNrVcohw/+whQ
Son66J0AO5cZ3DlTnxAhYZnDn8jrwm1PRnHLwWhr1hKq3um+StIMD1rz+Pcq886WCp5dssP3mnJ4
yx/qt9bN2z3eRMYk/kBe1Qw9YO4RsGFYK+b0T5LH5K0ZTSYq0TAfmJsOxdZyLPloz+EwnnrDo1Su
6msVb2l7cd/DTk3fNVdrSZM59M4K1YdVPS2irj/MXR3BfZFVvzZjSorXfM3IPBTcESze1/kHrlDN
LzEcAIdsts89mKK1npM+u6ejhjcVm020YaBj3ItKPudm7N8vCaTP0ky5G1YInjgUdL+xCHSjbRd/
6p/aK8xnlaXOIc0ntt6KerLYhHoh08Z5Rh2J+JXvGC+v6PL1bjsctDeFqd2tLlpCbkKThL8yKY6F
RQQYUmV83wWqhgi07vxCWneCozLRfqZ+iJpK3tBrZO0yQ1Lspyz22JWO7MRb+432N0NU2TsiXtM7
i9nETdyAdm9J9fKKQ5HF6radOSyuWq4zr+ikCwyuqoQ6J0Y94kwArHrt45ahnTO68WvDWscONnmP
ta/tdOP0nBJ3VlPm+FIMyuhXHhzqS0pM/J2epuQ+9pUBuBdPEyFA0zifgnZo3juw1JcgFxPhKz6V
5FDb4rUTlffAYkfBWdGYyQcvsLkDOi05QhvgJbwz5RPaRHxbQxuyohKpimsDHtTmB/8JxYCTDDjR
bzYZ581jSYwp2aYwQ+Rt+6ozD3Wh7J3T0Tt6ILfJKVk1JwtLCfnz9CnndsOV3Sz4llSM/uf2nS+3
hNx5NgSsa3zBwXRP4I4zeXmc2Tc1XegX0Nj+o/JxPW+IUylv+8BfN+ReqTUSC0ecyR3MS9CJ/KPL
Rm5oiQv6eOnKxER1aprc23iJi0UgNCJCp8k81ySulglu5bG2XE6aPMr0b9jhW+T3XHQGPwoZOPo8
quuibzqqNnISJzd1OWEpF7P11nWGG++VMINzOGlIqtSO5UuFBWV6YDI8EQOTVu5P10Ii0F9dtNMu
MhUecwhmyJ+c0XlyUc4S3p7nFZnpAX4nNj2sAuxV0yPvDDZApyDsSSWwRAThF2egwQPO3PI80oTw
xrLkPQpi4YhmisJFHFdP45R1Gaep+Y3MRR9mIiF9h+U3xQKSLNIeS9Is/n8W9p8rCP/fIeyCymib
mIv/akTy/Cf/KuN/r1H6+0/+c0Ri/YW1RTghXk/HwVr0N8Xu/2U7+EwC6DfT8sR/wtit8C/2NGYk
nustA4zg7yGJ5f3FK0OBIOw7EedMSf4nQxL+xn8L4RCe5wCxM6x1Q54t+99iYWXGxclJKSDrTPXI
SF8eCjVym2S4sAuNQv9JA0YcTLPDQ1/RSOxDjKOwC+cgZkYEIWCNuR3EEqNKwZH3AJTGbGSOSgKg
YCET8NE7/xqWBbx6xOLBEQz7DQpsVNG1S6YOf2WtvjsSlrrb1HQthgDLjk79cPKq6rK7baqWWkam
uJJYMC57Z3+cASu0Vuz9sRfmhzQ1gbNi3XJFcLmWeKX+Fcm53VLGcQ4yPbyDeg9rr6pt5o6WkDOr
KYgFC7PE4YQitS5atz3qrkpfysLnEgqKQKSnnY9huzLcwCjXJdbCSza69HGmLjd2VObQu+2jQJa4
7H3vpWzN4SOEf59WyBXqWIdp9AwCCFFnm1mGstKI5G6iHZ5ABRp+mE9AyVxUng+vLSGRKB6tNM+4
OcvVACdqkQ5xkLAavyqzKHAhQYUDPXbdRWWjkWw028Z6yi3vNTK1c6McFM4k8813oyqB0XF9Dsep
GfTDEMVkhzpx/DuYljTLWIzLB88dvGh89j4pV14VtIeqt6sblALiNPmay2/RI1F3iekiYUnT5kPS
xrWCf6v2mZlaFwzbEWdLHwaHMQ6nwcBwFJHZQu5tETBsm6z26Ca0S3GIPFV+Z27t3gZWiXXy2I+S
PNk0HizqMKhLKgwvjdayn/VXnDTpiSBQfcsD1RNSJYLa2AvksC1HEMgcQhSHsas2mWkN7GFcx32j
kK91V1FZQY3h2TIYohkG0aYFItTFx3gIGFORgcU585KEGYFVQRofRF+YZ75Rgt2NrtkVc2Z+NvM8
nxIqBu8rLkm3U8qD2lba/1YZVTGAr90xq4gkQ+96buC2ddhW+OD75J6bEwM1jp0vGPjJye0D90ta
/XSWZuuuY5xzO0EkIQOt7s00SaBKmGZAU3JyaobXLhyIUyl7VbpbP/TkUzHqA1jPfc15iiKbk6h3
sT8zeUO6XfUjORQIAT2FsUy9CKi1M2DxLpbPvAf+LSCAeAwzT5QHU43pKceN9t7RvQvdk1bZBuGB
ECj+T5IIztEhslxSY/WE6bU5IOx6dya/vm41KjJI7CCUFFo4DPGLSrivFFq7dxTrOAerXRIYqEWO
GHJp+WMOeb1rQQbUahojCm/ygjCbvg/CZ7+06nWqOPUtMRktkZGemO4TVyYPbpOJDRY5GgftOYjv
a5QxezOR0vU4BgHlKnpKii2t9cNHLVOibCRNkRNA+x0SqqS21YErS2je2sCuWI/khvsHoH8nZHzr
Dc/BQnr3hQ/UBkv2HeayoBLGrsgGFqn7zfMtfxIxELIWeFaDE5K43C/KHd0cQChYcgMS37+kblNu
J5NwzZWTFg7llFXa7DXCUnnN6dkT4F5e8Ks7zwOxRKeo9eynrKAJhhxU+A5+KeI+kWAsG1s01tbk
BO/ue7OPL7NOrQds8II8MKluVFIXv1IeYb7VyLFfu6pTN3lGR2tkzUTTOUKerTQPwN0LKlHyduJq
ToG1eRZRbR1C6iTPnjWkN4zpMrIyPKZ+q9awrGdoPkQrX+TGlvfXv/MzVTwEbWw+uoi6cPgW4+hT
jar0grXDJBYC38svzSVvzTQdPtWswfBbj0TaPjil2Fx551Os16SnDOSEGFW2l4Vuum1GIdiJ6uiE
8Xd5Z6Yt4dGQqZz6CGlfJaGyDmNgFQ8iVXrt8eJu0YHkvuUfK0vP5VM3AKyrTmIIkOGF1rP4NhuL
4FfmhPJWx1G2s+xqPjWtGs6xKOyDT8rfdzYzjxwGj1NbGeFhoqlvqRPiO7RjLFVhk21yqP01a1F5
ZsRBlGDl9XrrF8W31eXVNrcMRq9uKd6MpIGB699Swc2SVz85WpnYJo2dbIw0G37jR/qTdrW/FZ0x
IfZZck01OCdmpzlJA2OJ13uknFvywo0UfCESxoNllBim57g8xkZ0MuOWJI5KjOYWWWF6n+qSKQWF
RO2DTUSbs4ljo962rr2Zy/x5LvxxR5J9QKR4/Z6jHx7zWoHztPI7NQadn2zX9pkmETK1wWOkQ/To
mW7WyB0ercFNb8fBqHdBVqu71rbPfuB99mN9cMuCusCOC2c3Yt0sptG6Cyr7xnKRHFdVAuu6Ei23
/pUOK8AUv0/PtkNL2KojYoouIy8itTYB5lz1lVvsGyc9tRm9LevIYzC9mRN8fBsrUNgfZKXrw9Dm
X8WU42XPRf/h5DXR+VEyydt0UsO+TKyGAahjNI+N4qY7NzoABna5F2CY6YE5Y7JP7aKlAW9iIjz3
hvOnUPEgt2zxXrZ1a5UsOCoFrbXuJYlGdcc+IO2OhraJQEHaxPNU/Corhha+UPois4SJXoknwNds
YmGI0wK/8m1VBRd+LIaGsTelz05nNs46CpWuqH7V42sUJb9DHveP2RMbjj23ICz9Luua9IsFsXmU
ght1pbzCWbcjx/3SgfxGk7If0kHOH0bcmESF5WQDOy2XAw7xzdrUaqJFqtUM1TLvu0NZ+YQ2XYKG
1bhdKlJWRWEQ2+7U7UvlD+WBdApYV787Yfrt7+s0il8XfWBfEH32Q55p/q4Ht94xPqepNsjLQh5y
FbcHXYY0Pg51C3uD/ECCDQr8PXuA3vd5NtwFXjCfbA5kr3JGWSCMlOY+O4ipkWzMY114ig2JeNR5
IBR1zfAgODJ1AgAI1fzLbjzzwHWo2zjkv+y6AqPjprBISU7IDFfZC6MariwkF/iehgBy2g2UxMY3
ub4F2NEI/yn6ba/bP46rOc9VPIoYrLc2kQKELJABpwjoxti/ISDgwXAa54SH1z1m9eQdZBFVXx7r
GRgSRwqvK/AtB9Sk1Io0Y0qVl/alIHgQs2HdxBEKfVHDN5SaOBfQWnv3f9g7j+XKkTRLv8usB2EO
B+AAFrO5WvBSM0jGBkYRAeHQGnj6+cDMrsrMqaqe2rTNmPU6k2RcAfdfnPOdEj4ojX+9dkjwuA77
7izl9MuEc88okWsKdw3V/mdH6q89OxMzSEqta18X9i4Pl2nZjBXUmNFQNEw8mQSa/WMb1O3TZOPR
HuMRUL/J8ibEX4wJpkE6AasW/S3CmQGRO4lpqLHs0t8xaxyjtWWNr/xQfxVn7vxeezOYs0QkO8L1
cpSr2nrm/Wb7bqsOxWlZxu6uhP25dUJhHEBjRieXAKu7EkjYKuhKgYIg0DcSuxU49jm4EzC8mJ/k
mrgrQ8tVxITglicUgxJQcQKMLZHdkdnn/ET6EK7hauY31ijNa6dDeNTVqfPTjwL/ojofec4QIUWv
q+rsCGUPZNnl8athZu2FY5N0hFkPm6ZyP0Lo30Qrs/IP7aS7bm3Te7Xttt3m7AzZ03LRUxdZSXkp
pwpuEduz+FhkYUM4o1NOnB6wecJ5zHcpDuADvgp1NBx3ukfKAnRX190JEUiwyQ0/P1mjnr4jR8tv
xix6Qb4a3Iqg1FA7PFD3bhlvJm3tLUz92wkQ3M6NlbnFpRRupsgsrmvyGRdnZbgtqZu2ueBw7nwF
hjWDiitoZXibveym6jjwqB+LlyiPHTSIqT6ZIXx+pyZ4xiONz13NYcecHudJdMfqAJFXp0BSlPP4
EbDoIdaOey/wJH8ZPTFeHu7xkfSxc+GiGSbY9NlbpEAyg4nfURDVdXicQ/K1/LZEk56+jX3R33Kj
EmWIGa3YCKcj4QxXvxAMWWizoN2Xw0ccDx0ErjI7JfUw8bXusbk6pnlyRzgZstFiQ55qcBgij4SS
ZeVRpQmkqs+hF/5n6JXWMSn4VZSw2HWGtP6YwN2d016FrArjVO/kAMYjyDBaephnyObFu1fag31j
OB7he5Gub4GP5GusASXJiFV13WmzPyayHVYYntwVrQ/lBB6kQ4taFci0gJsWxtNDEMQN9UKSvrGO
nHkpJWSPfI4+aMbksQeTs4G3YK96YCBPhjEP97qfGe1WuWW+5m5h/CBDAFVzLMqDMy7BdLFP2hhp
cRlND2GXtzWgRQTxbFA9jG9ghny988ppYo09FArpZ4UtpWz4vBxoVi8wHAe+WTAyiOoDJQDWGmEQ
/oclccKR7KkVgTwx9jQKfuJxr8bc5/eX7XrscwbVMHsoT8VJq1psMzf7WQ3jYUBv5y1MeWX28S0w
P/yFaT4dGs8Nd5NdV8feKtoj2iS016JAH99D+/DdQH03GCNeFVMRfBjUTGSWdHm37mvH3/Px2Fs/
692LNafllWrt7NX1go7ayHGOhaCk7SzyE1HJjcbWTGUsDhhIxhqVg4FfNc854qs48/eYVaHTDQWY
KWDu3i6oE+9D+HD+EAKzTIG/7P7wlaGIT8Fh8r2kRNqW6BGv22FOXwgExloVBTFyd2t8U4xruTt0
bgJvWUZxdj7fhWDMTtqZxzujaQb8L4NGYY+GZBtoIPMzk4p7H0DdW0iqxF7VQ/lScr9xxDfW0Z1I
oFF6qC+s6UiNrNpSbTukCxvJ0PcOY4gyqFj6+qeYw/7RyNXgrprebi7KAQqIXho/IFg/7zVtrGqP
NONXrHP/BGQHNAs0CuvWQ6W5HoBq4WvVzOEEMZIb6L3dZXRneaoDKXdgdrOXjozmD6TccCV53FdR
mxbXQd0712lds3Odm3naFBETV+ROsrnVblveUFwncI7DYsIFJjlqKi7R+5BMHh/AtZMeS5V5e/ii
9UNSUsNioGSBmBGEs/HpYq5kSEItESvNkxJkmxUWDCjU+iGcHy/es4CH+eLPhD0NuSIfuxnmU0Z5
hgVzHl4AO/WPPlXoXScJ1y7nxPqeyTE++T2qT4wj3EXBMF9jkyghmJQivKrtxLzkDc7+iIzNFTnA
zhEjNYbnuZpx2xWJIoIeqRjEf/Id3ggE1BXDAxDz7NBcZi2J3zB4aAGibzGtdGdjJlbaQlAM+DWA
qj25urxwj5ev0RiU3wkIcbZzadMYeC3Qd08WN0iOPFZk2mVQ7owrs+udzWDI7NqpJkqspG00iZ5J
3L+Ybqs2jkiim8Ae5b5uzNldyUGr19kEaO7AVF0hS07PhnaoOuPERU3c2dXWrYIEDowK+Wi9N/Ja
OMESYz8ztNqJiR6c12GuJVCZnhmzCgjPWenB0A0sBWYPZsanZLbkuNVGmj1ZqahOBVtBXBNzq94N
CAmQ1xLKJcTYQBtdo8paZlZlINYxmzxeNeUtjuCHOEjSS2yDUnYkeOol4Tz+L57//r9IJ1G2D9L4
n9NJzj/rt/Ttz7K3rx/5bZ7rut/AdHpE2SOB+WKN/IfkzbW/MZFlWktKIdxky/07lsSU35isgCOx
XVQWCoDy37AkIJptR5DIZUq4Ja789+a58gua/EeoMkNjJqMs/OmqgFWgofsTlcTvWPNrbRL0jp0N
qwdbwa4gdWjNer67otyq14Ho5FlZc3HA59FSU9UI8gHjlCDajfaZKxpTbw7S/0WVNfRSIfLimAYm
pbfvaQ/mZ9TmOzTrtEdRq7wjQvghvmIsUHxQD3fnJieF4tQJBbm2g6XVo7AISEe1Z5qpbWtAHKIA
KhMCltBkYLRLw8+8dLDder2n4Ola1CSAkpbdKoy3MT/z/LhPyCQSvYVbh7RjFsF5biqKPMQM6pkz
S7Lhkd5jAzrhhkg3srv6uTFAHYvw1Jserqulz8O1lXb+SZp6vm7yAddCagjCjHo7t3uIJgGhwkNN
ps1JTZF8EPnQOTut/TjdVBOrPqbMJor6AV5NDsGNg+gmchHub51oZttObCMDvgbV8HDDQs1trqSy
UchzkoIzKAsNMZWoBCZ+UEtrnugkK39x2RdXsjMoagTWWi7uRDhELZKStlaW4wC4HJLpYUAVYuHF
lRjgW0hpLakDLTFag0+w3EoN0Ko0YQjY2MwOSCVnPX/ADglBFnGT3OgFr8QnYz8KL+kPUxBM10Ex
+bdy6BnXoaqvx23TiOJJWhbCQuRmY7BXYa1PSNUFZT8i/e90G+6dRkr1IVhVxVuKVwT8WTfy1niA
A/CyMDDZsh2Wz4h4u2cvdGzaHXKcPVRlGXAn23XxaeBHf8BKwugo8Sp25owyjGFhf0UTEevhSCgd
f2HjtILtdddZ1j1Zy8XBCav4rslsvB3cROoD5yfBQlUkKc20L4fFvhadMebQVnSm+mmzC8TjPTsE
7QG5HHkLgtk/2r2RUKk7sUQU7g4m/5+pflRut/gklIAkM8zgwvEQ2yWIUqBuzoGCaA4opVhUUHkj
INt0fee+VoDua4biqjk1dGZgY0uvcFaVR8zvSpR190uZ84gZk/6b+bYoCbwlO5muVnpVtwMc44FO
ADJ3l/UIv2U56WEHIY9ncIhoHVeo90o6HdnWV1Wq9CeU8lAcvcxgTBJgpdioNCm4cQc7ggTDE509
+H7sbRq3I+Fh1acZJNVVY6NHK9krg5kdtzmUc5focFjEZyErn68jkjYm7slBUFh/z+HJwsqd5q0b
2/NV6DfpeYowT1Yj1dM61gPD+cnHqnWHlb34Xg+E7/RsXU2nB0fngzBMkIpk+UMYJUy3mqnfJ4HZ
zMes5puCcdS5iM5jdttyoQ/8AQIDVyAV4/IdQ9R8JXuz99caWFh3MmRA9+bYHjHD1TT1IlxZ06j0
ru8EBdSKkGjYk1mi43eYjNE9XcViThoQckEUAo0wkJoyM+ZJzWlt8siw2QJJIjaDF47YrMm8w6ir
yHqabxBdTYgUQTh9b2F8UOtaLZuwbrSnAdhrJDtCl2FyUzwFTeQZS8IoRjajqt6KsTznjZdsY6E3
47TMeniS1tRm5Js4Dq929T8dCmDB0J5wv2wsbxvZt3uzLPXuv6Xt/zd7W/asJvvVf36533af3Uf0
E1XfHy/433/sb9ixJSwS0YBwmJeiUv/bBe98c2wmZo7z+w3Pf/ld1W6qb64tLQKQWOT6qOvJOuA+
baP/9T9M8c1D9Ihblz0wTmPf/LcWtlzff7zeEQ6CDlHCZaGMrdGjkPgjdOzv3x/Dc14DgqwaDyl4
GHbuOuUch369pNr47lWZWx9/eKf+QYzm/yGn/8uf/ktlIVkYaC2aauvbuluFEV7FKJkPpQ7ehwp7
4L/+a3J5JX98pa4UaMSpqJYxkS3lX4JKkqBHpMURtOsTksbCKoCLvshyR0/q3dSULyJMkv2i39ym
aefR+PZcAaVwULt2L32RY1ieF3OQvuVBvjjJuLa61Fm1IniuFpiwBk3DRDo5mxYJPP/6X2/+g38+
JR2pfS7JB3ga7L/s1YHXYrcC6LV1NDJn17IIt8RkzV0FkHZrtDPayXIiukpb4y1VW/xgB86NROa/
6YnjZXZfvegZ2AYK8FfDzq8iy97LQtN8LVT4LD62VZusxoH/V2acTbk3zyxWSaymk8RXA/g1rKSg
sV32t0HKetdIN/ilMCjfTQXy4ije9k50bzvJIZyGdzx7NCrRtu+yzRj0LHJjfQeA+b5kL2hXn1Nt
Q90aVz8YYM57d1LTprUy91IAMiZDtdRH3+u6I9m1i/x7iaz0eDEjsUR2bVp78k/DR6XFHW5MtiQ+
f9mq+pQ+dZzekqwlFt5PQE2iNDvjsR6XMa9wVwq608Y2u/hmqt1hZXOsH4Srwx0BdiNIzYCO3BiC
K89joIyCvbkd+sA+zERAnNqm8H5YIJ7XIUigGw89I0kGJRHGuVJgDQKY9UMk30tn7n+WXSsoFM+D
jIbrgZkA8TVe0+zQDxY71BvzKe/4E0LNVEK5uWOVU37GcfIZhzCiB5CEWNKZJdvKZFxR1qtiikCV
I5BjE1bZ/lPY02e7fDROM9UgGPgBpvXxYciCZJNmTXUxPXweXfHopnze//oLKTmA/vQ4eQ5uHE4P
m6+kVO4iNvnjweGHhVnhcDO3XZrmwN6IS8zXZdVCTMNIRr4JR9djHMvxCume8SMKWIWuysX4CWi0
uPJc62mUPWTfgGqche7PMfemB0uLdI/+q1krvxH34K/0MwlH3cUdA/Hr6yX8l6Ey/3/1azH4lpzF
//xSu7xh1npreDD+1Lb+/nO/32rimy+kL6jo8FYhRfu7DEl+o2FcQpEdT/kmDdffbjUpvwmMYti6
LO42l2/u32815xuXIDok9aVuMr1/y6tlcrX+5fupbM+2OfAtiyAgE2PYn7+fEgjF2Epj3E5tKfuD
gmkHXrlRLYZV+1e4EAbWLWNbazMSgAtpKOwrtgTYjc++4RoseNyEHVGO1/Ylm2zfv6Y6XP6PvJEf
VgXMcxPPTAVHG3FozdlhkuKBYx3dZZKWd04dx8+G7cThg5jsobirZJ42+JWJJl4Xdk65XucqkBsO
IOKBkqhk1dFCzyHcrIfFizOFU3jlS2ZobC2YT7JYzsPbvA3NXyhb7W0yAiddV7rzjxW4u3upI0My
8oaVvTGjwWYZF5uVviG2aLgSFdGyKycV6MbhyJ3aVjjepnYwQF0HGUZvjnvKzHtPyxectZO5h++D
IbhymRSuhwDKzxiT5LCaR+ZyV3ZvgXjIvSYi8UwDu9gUPbuxdRUm0SPipkztatKKxWaSNQJVYOtx
ctNAYIUIh3ZCVagYDGFNGE4br08PpPcN+lSP5ZLYHqI8XSnXZmg7ITJFM4I85E62pp7WpVjuDFrY
TZt42MzLUN4AESquYOhHd6Qbl6+NaXw4dbv4PQDxdhtwCc4W83TTropOMaO00/iZ36Z2YR/Wt4QT
e8XRScuBuSnZA95OidC+1xOm+8sC0wzWKu1sf4Ui2oIaNc3GuGNmzxUF+R06hN2CUjyFrlkS7zkg
TD0wF0+e2aoN3b4rw6C/BDVLAZZ/ENZxvZBZm4+jOaxjL2jyK0+AA2K1kKL7KHr0Fk7r29malFvt
HwUjgfKMUCEG5KAspnpI0fKDHL223ZhWIYttyP6x3bTIG6ZVg/kv2E1a9ykZdSTl4tehxIRYU3JX
2GE5Ms+IDARuo2W/lyqonrKIq5uuvP4smoBkeb51aExFFkz1tq+ZC2wcs/BXUS26Y5guIM8KCw/i
bcPrM4AkIMhQy1nvpW924yEyOyhtEUCjflP5kk8M72NxsoaW5Vtc1vqqBdl4V8fuLaA99dQ08FnX
bVAZR9rr6OQNgwsSyMxKEC6JeY+BpPkxswTAsqDxj0gs0eyePPmwjLvJtEFcJh/jOnQVjFKN/7cT
5fTAcmP+zCICDNCy1wNWzSIyb+oOMfJqLLQctjKfy/4wizC7+NAY2sMIF6jaiKTPXkHXVDfUhqLa
1Lilyk1AWk6xNhzLfqymqKSxZF2G29zwrBZ7S+4QlpFHzqYMJ5zoyWSE5rmzOBNWTZjZl7oE8rWB
tDSh1Uqy+AdJEXLcslDg226GAHLNkr3ApgCWu7I9EXw35jTYz26PjHAs8k9CNDtkOVG8CxkuP4P+
zNYVFmd3b1Z19gqKlOemRHZ/ExYOBkI7K845EPvHBhI+gp6J8JSYQGL8ObZ1W/vL+oVsgOTQ9QWZ
OrFJgn0iepkdUGvZT4yUm3MzDeEPR8vI385tm0LCH2PqJdeKeqJnMTfuoDJF72NpwF6DuETA6BKu
zdcjrR7JQrKO4+zaEMDJOCUkBX4ohiiUQp+lE9UnC0U62ofRm793LDQ/KpaM/q5PrTHcR9w45SbT
BAe69CBbkmSH66gqjGNAy8QAIizS4aEcYhbqQIUZhURpDuyuhuFinpQMylOvyrTbj5NlMqiYERlt
tAU7YT2zyxVrR1TNc59M7k3es0ggU9T4YYaBmz95kD9o40ceFJYKPuY/o3AWGQF32kdmIJpPOfT3
Tj3w9Yye59gQ723HHopdQbK1Y13v/C4CMNB4LIP8LLM2BYvnZWwWVwdlL3ssXGg+xz5a/xPDBx88
3dgxmMOoSAyoXQX32WSIx3ACYrFSLEsY5DtmPGxTlOp3ogsAzXdCQjr3XMc2zsRWJW8KV0F/CGPR
6YttBfPaCzly1olpZVuIQSDc567uboNYh4+mxzG36cPRxCdnxX6xMR2AcivfyVFSsiQcnnwmkzPn
lYlAtuGdj5e1iLpLx8qQECDyjIkNLrlyo6aef4gkgfU+rhBirjkbCiJ/yphcV+SsQh5jmlu2f1ms
WHPbGq+kG49njW7vwJd5No5dbobHcSxK9E7UB81BGoTG7drK8Q8E2JIiNPrVMwOm4s7o2xi8ehXP
HzACUkpi10E+N8LWITACLCWb1S6ZCUGytcaIukTUx2S8TpBeZ2mvyIPlTSBbjAWzzpLbRpNpt51q
y3qDR8BF5+V5+TgVXnMhTHAAyKxHBG+25mj1Ow/9H5ii7HrEd4L7Meq/D1Phn/TEtGmHvHFmpCgI
bQm9rukv2p+nx34mAn4zJOTJMdmpq/IwonT76Q72dACdZZK2GwHzKIyBOLkCKQN52kM4E6HSk0Vh
wgMObuwpgVhnd0np306ewhdjDG50MRD5vKoFcpxI44xKCueSCwEZb8ki51uoyMECSLY45DYEJQFN
jsGtgeh6TxagclxyZkqxUJaBRUNcDtFKPrc4kH41hAHDZgXNrL8ozUXV66MYsbFxxmBMWJjOZCcQ
cj50CcKCmmCvfoSxYVS5ezIrV8h9vxCis4UVjRmdqDEzBCBdLSzp7gsrDWBS4ohxsKK6wXwyqjlg
6hlKdW9/YamjhVCtFlY1/ed8GJn0YocH1oqaZLDMdboQrpOwAOAC0b3dt1E4nI0vGLZAO7XN3QWR
jf7cve4ruNn9QtC2BxW9Rs30aHzhteUXattdqNvxCH87+0JxK3ehjNScRTWV1yz7I+559Q7rE5Ss
mafSOPWgvc2F8c2A37uzJWNqUILmY6pAhjkmq5FrK6n6X4DtgYWHrgYcrtoIiHiULEBxRxLeCPew
zLbiCzle2Hp8D4kt+xzsPO6/F8GQs4EuzOKzcixR3+EgAmC+zEzoT7/A5rFvQucOQ9RlK3thn1vh
gkH3v5DowRce3aCcwzXyhU3Pc6t/qL5g6kRIZA/DF2K9GBfcOuqa+74pdXFyalwzK8sfpjtmkrlY
W3N0QSkWH8DBgm+Pxrrdg2WC/PiFd3ftCNT7QprB6I3L5haRfHQkFcU75YkRHwKfFSWNZDSsUFgV
23ZkxBQU6CsAuIfc5dQgn7UNdd7J3WjL6FyicACgxMHrfTeMHFj9MEF4O3rkiuVvExDTcs9B6z/i
3SQIHY9muQrtOr8hUrD63o0paHFcSubJ0lMKBKBw03VaheYzOADzu6JWu25aJ9z7aR+iPvzigDhf
TBCx4EHGqSyrtaUJoeWCJMjKVZBECNy0ntugeZPwgRCN9CkGmVDq8hek6erZ/OKRAO3Cf+YEjMLX
RjzlREJ04ePwxTHxlLek1wrnYfgNdIIzVL6AQCDz5IuEgm4iX9kLHsWEkzJSk7+Z5Omtuyl6SBaY
ioEmDDTPF2Ol+uKtiC/2iv7isGRp3iXX8Refxf9itRhf3BZZLgwXCC4ZOnvukmgtvjgvMUpvtECV
NZ67BQTTfDFhYhnKByJkIMVI0lugrOnyvp7IKOG7Px/mfpbmipB7s9vkc9fdYpK31yQ5MvNH07CT
BlVBDKWGuQG8GlIpccrXXoLmP2mm6Dmrygi9hcQAuMrQCVIxWMK8lFbV3drDCL0GgQIo9niLr2E8
icwvthYm+3Xf9D80uejVrkOUECCOdREtoBdxYBn47f1gBPM+BHr4UgKROcIOq/UaBoAuDrHhG9Ae
MjuOt0JFLGJY1RivrBk74wRhLWdVwdDpCck3A3yIuASEZ3VffJD+6I7kUvXRdYhyDuWq22jSY32f
TTla9HRXsOLiI3TmV8zAww/Jv0JtEpjm5trj/S43Nv7QvW3V448K5zg8VlPbN3FkiUcKXE7YhOEH
tMSasY5VjD+zoJp2anLTI2lZc3zokcdeaBq84ARpU76TrG1tUpN2ZkORMbvraPZZiM4acjYELXx7
MmfwiTI1IIKyimE28Im1K1dbOtnyMDOAwQfav/P4qqtGp22JtEJwu7OsDA8kw6aoFKOU9RTQAuJe
nOxGCoqhbVCJ2Dw1aPLUjo5YoCSOjYSuivZGrWlyiSgiC+CH03KBree2o39lp2Qja+nYMNEo+Wp6
qgNiXlh2WCDkYhx3n31VO8c+6szXjOHPpomc+qBLjvlZopxbOZPirGHaucXzqskf80IQxNAb8/U0
dgCsIfg3P2yjCm6WGeZemXWEcIZYK/KM0Cvu0DOou7lui+ZUFZItW+MHCsVimKstdCvWrt3AzBdd
RUhdAzN6vPFK4oPWYRv7nzE0mAdwXU/Rkv6A/kSBGMmxIBFFRUScG8MV18I7TcA64RRjSS5hiN26
PUPKEhJlveVuTuGAYOK/r4PBBFDUuQtdNm4+kjZS7c6XflsjNM8X4HvUfpbt3N+MoBZNXhtDSXSq
YcglDXX/zW4HsnX5HH6R8zXf9xEXPNWourK7SN0lJUk8GcnmF5DRZ/KCnXaVYk+aoDUDcrHVRwPr
7VarEBmczIfzENElYc7YN0lKxdsr65kUj0++biPvMZvGTsWfaU9IXEPg+yaNPd7vhAp5NNW1nRnl
KUPSgj+iKG8xvnCBtnX4g5oiQ9YST+rB1m+C+PYtAtgFEJhbGwKF8y0eSueo0dw8oFYT+9rr6zUH
56YoGoswRGKBYH+ahwCDy9Eq9WHOkS6id9PJpoSKsUsw5D7UsAtAUnvi3a/t/AylYXjrajKK7UBn
2c5vJzEeUl2ocMshOXzMbJVR0WlyYZvA8U6trii6KihR6boHM/HmaOVN21lVztXUWUy2R2p6zf5i
nyTlcCACg3a/L/Xt4FnTNawGh8DdIZ2uhrGnKvSGdv45JQ3bUU0FiZo38x4nR6mrSZZknjY4cKIx
9ZjQI4OUVPI/U2Os9zXLxOUyean8poPbhXXg0igO0VYlRYKK2XGCfVb44aE1p32VenqftxEyJKtk
+KFV2T5R7mKeSNlfrMevnmMsySGGwfLLsyL/6AC+uB+wJbya5Hbc58XUjSvAag1wEPiyq1yQsB47
HJdMbvZOkR4HyfAWaZ266bSNgFmPnkGKZZFT7BgZeNWuCMiYbB3CGOhPO9euXoZaED4ykQohHNe5
T327PWBkHe9SYTM4AsQCdgEie5Va4gXKZIlpoq6vB2swt2xkEEg7y/isGbDNklhCRePcRtVCinbj
+AQ/j63p1B2s0b32KPPWxE3Y58mRJoWUP0NosCBqyJYUKlIbYH6HxrbnMt4pX8RrV4XZFQdVsuWR
8Z7B7S3bb+Sh6OfR04MJJmWNMGkCA/vxUamx2WHbQw9Q+Z1zg8nQU4Cz1XQZUoAXnLhATqw83WEn
qk7zHJbyPJpJ2W6Zph2nIGpeDVYsj46qsKjgRGueZsIw1zLUFi76ROxhFgs+1RkDtOLzr/Ow3bow
dcNTNQ7pVgzRsOkdx6HOmbX7Pubpm0JTsh4Lk3lBO2c/8RoGe86H4h6dykA5FBjX2ES8rR0Mz+2i
c8YVlIPajcpiT5Bsv2b/ARA9da9LJ8jMFfYGbPl4MMaFsuTEZ6Hr/OiK2vspWuvWCCi7G+QJFGTB
dKvsSRHtgJEAS4uxWgYnyWgU+2hM2qMaiSTD5z+r70pmzquj4bM1ETdJ2MVnF5XkfqLf2BoThe11
MDrT+xyn1hPeNvFrqDs0k7Pv3IL13yPom9vr0kCwcIl6BDf8Lmxxc/pROaZstsATxwOl9wQLIslu
dePIQ9X31RaXTzvdCU3iYTflu95rTYQVE/L67Qh3WR4DgewNLhPQqTXyv+5OWBmyaAftT5T+tmj8
77XCf+ZxFqZkv/2fJHWBm+jqP+7KsSr//mO/LRZ8m803k2CUlTzAyxD/P9blvvzGeoCri/NVLsFe
f9fDSbYHvnAxPttsTh3LYRvw+7pcWvibKaz5jRardBRs/866HCfin/cKqPE4U0z2XeiXlxXHX7bW
DoVyaQjtH5I6zg5TJDg6Y3qyFu8QBAwZrknwBayY5HsgSg6ki3l8yhogyzTjz3UI3saoSE0Ig2w8
u2il7tEI3xFtTjNEIhJmNTtmvluInZM1dEhRHXy3pZddWm0cCZLzASF43Rn73r3BjUYVOUbvjsEm
EeZrvpZ9ept4CW4qIN3cR42aIBFVnb0z3JizsnQUQtwJVvkY4N4gnby81Ik9kjBRTWLNNLhgjheA
F0OYdTBylA0Hv6HmTTuMDrDFfuqZTeUmJBy7xnqS/EBa/z74UhwYLl4nObN7jUn7PKB436A4I2XQ
nn4JI8de0+XV9egMatUQiniPwbe64Cg9TB2NLMQ4DYEGp91cD+aatGFQKVH80o+JQmeLW2Bl5Cyo
EW5TxsLqIh81+Z64SyYDnsddLTMTIqlEfD8QPHYvhuRzcBp7A8ghWFvR9BUFNDQLIPJHZo6Atpsg
7/eTLMI18W/hQw+bobUG4wEVVnrXp8rYE8gR5JvSDsSdM7iLIwancbqec7MXa7NefifCJgYXutbI
ltNI5AcoSdNdIEeDEZaN1NbJa5RdBnzaQ1pGoXFEoZ2eS/R2yS6Y5RK6PDYa9WEStKBIQWLDTW+6
BWMT1McGGkjEvDXuT1XrVHhpfFSD3A8TA2jHFX2wxjSY2gi9bfGhaOi+0/7gEPH8hiLediumX32W
tT64NMR5SJBICM0qGxst8lEH2BDKNMZCTEpe2kbVF6a9QItN/NcxMWGBfYMpKDM37WCYq3rJUmGM
T1Ph5/0N6pbGvJt0S5gTm3IDbrztkrg62Cazb7Rmw3CfsBuLDjBTuop5JzFi69QDdr2h+ZTXhjHk
v5j8ZWfYQmG4baHLlvue/RCfObN0Nu4aMdlg1pAF1eDfNX14pOqmJnaWtG7seS2RCZseR9EKQXq4
ta1rT9gvGNhux6WyhXsm101cH6KWGadTi0taziE3eHHfW/17UNoPqLu2E9Ocayr+g5PpSzZ0FSit
YMOmnhC6C0ZxHI34MhjwM/gg+2Vty8EhdGzKjqHQ1i3ZAMZPvs6bwstXfi9uYQsYm3z07oSoyl0x
jKuMI2rHUq/c8FJ/WfNd1va4QfgZ0yxfMkMmd0jEEeGDb2QjSLhBBN6JElVtCm18Lg6YBx8g+EoZ
za2HVqLhgltVA77Fns7okDoI/6EHPWZWH+21BteKkyA8VG7ISlFlTDAn5rtmVjTraSY9ncbKeLNt
pJIwdsa8iLazxa6xL8lKyj0UtVVhbVw7oVBKfKsAw5cXFxEn6oc/hQ+kQ8dA8mS3H8C388gkO+j1
3sa0oOh3TKk/ZntutrU5bUGnIVuVybiyAjx9eRpgqXEfOPouYeKgvYM2eMLfu2tZ1E1JSjTFJBWE
r3qflV63R730yWqVPaCafoY6uLFwiaz72VY7RKCPBjaVn0Pr6XcGi79JBNjck1T5DyRKUAT+dNyj
7vdhlCplykUc5bruX1RDeYnJtY9N/2CEpUAmk0hMDoCgN+FYOjcRLUa8NubOKbdOpZsLUXbxS5gs
6Sv461SP+HOIOCdbxVOnisC/TSQd7jYcdQ3VnObegi2nSemIezSJRZ2bHz1BqzYw8YHVI/GnbrUi
iRtk5VR0NUGtZY2HxSQzbh+FyqgZFjgcFnkZnPsJ09XO+TpNjK+Tpfo6ZZrlwBkB4DNsR2ooDzyX
PdCDBSXVCRv0Gi7z+zYxJneVwuM7UhxzTA0q/GCZgsOxDfH/qe4qDaiNfWHtuqVNtJL+SjDZw5eX
o7DR0dlivbJNJDpXLenpsixEw0JG2KrvrHsygNHmcpxdKWSm+4qFOBLP1lmbRdxsFm2wlefytCCM
fprAHp6IlSm2lRWRLo8HNkMEpFkx7pOePJ+1Asq5R3rL06Jwg/Pthm9SrO3STDTzmf/N3pksN45l
2fZXymoON1z0GNSEBDuxUUvJ5ROY3CVH314AF8DX14Iy0sI9LF++inlOchAZlEIkAdyzz95rM5Mf
IWcVtPdRmxAT3tyMvsPWstGKwPej8jlu/PmOAiVrRVAc5axNj0DSrbueoNC48hAJXrkpSLRDd97a
larQJWdUCRZ/6e1Q9957hJFzk5TpfZtXxo1DN19QRUUqzgiN2QUVHoZP13aUyyCVzsmp8AznGI8a
ayfMtjvEOIsuk0HbCS3v6GczQjSmKPoREoda1u1N/22yuXsN3mDcYszV75MBF1QlxHcL9/yeLo9i
Iyub1hLiy3c56INVYhu7HC4Fi0FxoyvY026vDUdakrzAGdtmo2LZrllDJxANiTBNp7qzv8bEHje8
cy95xOPfyhL4WpGPq4wdBwZi8UQYsFpn7HchJDISEmD3R/Mdr4TaOo32g+VDicOf7oQ67m5MNw1i
kcIBFEdZhC9hhAMf12w1qO+JYJiqfDijw5Iiwws/zj2bWjLiWWN+VFbkn7MeKV4wjGy9UfP2leje
bIxTN7EnhrV0svh98n3Fjs+TAJSM6SClPa/SOvGIMmfebhjkDw6L9rq0zffBgiW6ADZxSkSU2Isk
OVqp9jrHRbQrJl1caAo5A8giJZ31xqYsQf6ZtAVvsRyH66bH4kUAcKZjoUf1pNmO3e1NhoF+07Gl
5JSwrWrZnedatMEEC3AH7EWytoWzHYXjORciORiFUZ40MTkcPpBPwO2L+8wu5R2ODjAUQ3LQumUB
o3T4eyGbixtcN4ZaGbCkPuDrDhujF/XPbIhwpGROtaUFrQoglRkrs6AfxUhow8RXlu6w/tPil/fG
9Dra7iBXzjgZwFl7tL6hLfSv2GC654ZMVEWrXZr+JDCHvlKEUbxOIfmTszJGWe+0pathQzasOIbL
M7pdntbZ54O7/nyIO58PdNPNI+Dgnw/64fOhP38eAHA9cBgYPw8GrJw5JDjLeSFeTg7/MXH9X5zJ
f4xNTCf/xsf1EcVEj6bfXFx/vvCPeYsoEXcRc/FsGRC2HX7kH8ht/ws2Y4eHn48b7x//zz+h284X
3cEyTDYS14nLt/HPecvG46XbAkgoZEjWUe7fmreW+fFXnyHzFq3MeHYZ+Cx+mPWXB3AfwpO3C9IE
LVpftDdAu3B7NvEhgd5O4vcxo3arc8axPtim0z9aYvKijUP2fsa3HJrXBsDbgQWew/ENTh8nsQR/
59qG9tTsCi02r8tJ+Rwqpd8WmmZ3d6ZdOubaHbGfriCSp2Q8QDdkOxqemvpE+HE8TJIiPNuOuEio
+YqeJO5RfTVwI+fwI7QnzDDN0evd/mttgWsCcONvKEzKqI3yHnSeI8Fg6pdp4sHvZzW2skwO7Q+s
EzXkbwILQFGsKDrpqfS7VWuJ+WTHHPMDMhkQbPvcQxvKi73bt4TEjcTYI2uOFJ7O5n5KJgZIq/Ep
2pxI1xf55NyrmEJaYtPeTgnUFXKIPk1SWMJM39Q3oKvrFTEmxsfYYYS0DNKQlaf6h5AQAvksWT0I
X6sXATOhOqcyOG9zpAuT6EZhZbvHd+vQtUGxY3RqCBGpXegNA9s0lXP6pJ2K4LtkJqiDSAP1gVyU
MutEgvqdVT74mrifMbxPt23kOeU9nkKNXgkd/PI+S7U2PMS1J+ZDr6OL3oSDwrRXkf4YyPEgGQE1
iCnxhRdo33sFwGpwYUTtKFY2LHS3HhcSEGo5kI0BW7xzOz1+16s6conNkDsu21482yHUpSDSafuq
UvmTJc+x11RzZyA/n4D01dnKhH2gge/56jqUi8R6eKdGVtzItazEu7Hwz2argmIiTySSTMdGhqum
ykPOvY2tq520SvlukpTeV4YWJ7tkoAoxyCtcRii53pMNsEijE6fibI+VwXsEHYPADHaMATGxl+b0
/LHLJtpJKaCFgllyzI/M6obkWBFo0kfsTjzoCROj3izmpxBjz3ZoKkBPTsomjlDp0mx3iz1hnVVS
Lit8YnzCkbcYlsKtylRUrDqzZ5iEAQSMtopdmFAF/5wcuspPOIE5RkAXCaYiL05tw0FnJVIreeLb
2h8r3RQ06RnVhGXRT9LDFGUKhHDYBwXZqVWOU/oQDSq79Tn3vMLjZJyhjxwrYcSOg22RGqEMzPQe
08YIRKwo3OcxSYr7Zqp2lUrzDdjf+Zna3OTdpnFr03pu/Vj0kdy5cZ/yvqfTzqG95dX1O+uQczA/
41H+qCAkFCs8VsXGQ/bYZwvt02ldLftaa8p5VNWE+CBgnX2rp04Qm2MhfFA5XSIjC+sgMWj5c+Dn
buyBiJXetM1u9l0KVEb6xwraXbeA53D5tFG+z32N1WXncIcpRrLfeo/kDbcDL1h+h1OkuZF1WjIL
x/5tZDbhm4XBvFv/57H4Nx6L/9befHmLeCr+pYniHyokr/vjqUirBBLf4jJ1oS1ix//nU9FfiigI
Wfo8LH0EloW/+OdTkace2EPfweVMZBdt8J8qpP1F+HilPeADDpeJ8feeikvC+Penou0txmaPDeES
Gjb4j/jVfT970tAZ94oD2IAJr8tbhLqH16ktLjF43xP1WDakkuJa1aDQ7KzXdo0+AvOwbPeccgpd
jdLbpbZTLnaau9JkmWiV3jWyCj/IW5/Vd59QuzllMc1N1gBNjFimYi8bqLrPHyXJXmQBagW82HpN
cd8Z0jlP1ACBB0vwm6bJqhvCe7CEJGYLc4M43zIxhlccTd62ZZBZuYV9QoV33lwMiLsh8xlmDAKx
nk/lGrWA6w4hD+bpxOotlSC5PcVmBinGSD1YvZ6IeGbhsKOPltyKcAPAuFpQ+eq+iS3MdnhpKPNW
dXHi7rOZpPGQFPaxamvKtPqEILHxE2PdeKPFYTqv2sybd0bcPia8t7cVSHuaxbR6B3nxygYL2UWd
wC44gd/V5imd+JMTM7tgDdo1WijoGmzOJmgUQqlVsUvG7kdtTPMlBMNHjF42jCH07NxYIgaSo3XP
OLeCvOmx9QXgaPCBCK/82Vl0XPpOugWvTDDJAR2XPjV+xAOwMCC7KsSemv5Gi25LbU732tTfa4Y9
bKDYjFdo9vbBdLH89cYYJFm1meqet8Zton1B++ojrTdEKlC9bCb9SFo5tzeU4JSU8a1tthA3FxEJ
J0G9pkc+3XmdFWK08uwDa7bpySyqBzNbvILCtPpgqUl61HNmcERZ1jydlka3o3PGoHA19bTbzalT
3qmWHo1uQOvRkRKJaDPAvET5dMlTttMdQUggdXCQW3nQEObIybwogIPHMdlM9pTwUckLXvKfWfmI
iZ2JC8v+3kYXWU/FxBDGBpEaCZ3+IBZ2psaqedZXtdFcyHWeMhuf/eTCqfLAnDXTYZT6NSyejRyD
Zx0XtKQ7y+9OD42uYfmq9atBrQZhJzJRI85GuS1jAF8FxVK7hhMeVsw3i1TpcRb+zzzlmb+khPQC
IFJzZ0KXH8oUvc54aOdYvA6tzmsSHBYWJKNH3ym3ZRguzcpU363NotVu59i07wDUdfTHi3hXmpTS
1ej1x67NEqDFbJEpoTLrGzOU0zG1Wu8NjxYtz30ZHTVO7hDh2p7O05D+Z4jnAx2cMjnFRqwf4hQs
1+S2HE9BogZ8VeXBrPTpFfQvtdSNqu5ixxyo0Svzb9kUuo+zxWkjhy3KuFsiVjiVf8Rz52yFo9hK
C5ya1HKPZ8iZxdMMifTJqwnUpnpdXAEXy20zGFSCtVS3vnXh4EImj4eLpXz7DJq2PmWDp+5FX5oX
WjL6m05vxSvkwX7jRtUIw59+gyWSfGjxAN/ONBx+mNbIeUQWU/teQ7oASU449zxjBjrjh1QnYHHd
MQ89IdbVgPDqeaP+gJmnuYjQEKciq+IrpyH/TG9Ke+Kr4p5MTUH3tioYH3WbgMIsaozU1LdffP7A
IF70+/RTyv9l+PoXYiLepd/u2ouY6BuWCRzU8ZiNCKf8ftfOss6tTDkjYUdRfqmttgJPJAd5aZC+
gh4QWFCjzUGVw2ElaMzDmIGd3qbebWN1/dUZpLalDrHhKkgld1gpqsDG9ktxMVRtBKDolcIwtPcE
3u4dqIL02KFugfChkmsRvGpHYDMLvfw8RTkfVBNfbaoNGDF8mwKvAQOtkAhmk/3ECQyvZq9wLvaR
lwZq6sOnWilD21EfgD9YujPgNMBUKPQG0XIKUtx62sFNComRwoofd3qxxLXJz1UQu+ImgcmNpmfT
NXY13dh7lXAtZd7NW83wHnpX20EgwN1jOgs/2143HVCERM8dIJAIKGZk7adFReyRE+uxO6EnkANw
PUAI9G0MlEsQBWSBVGKhw8TGmV3r5zUhdDbXQLHlbA3HsK1ObsLljzHY3lLqs8VpaSB+tNOG7kDW
/ovuGQ+2uikHxdosoiKidB26w6eU+LZPLyshxvShJkwZ1D1+YBCz7o56Cr5KtPQA0WamPanadjGT
pPIE/Nw/99TRXGP8racIb/Qls339oRKOfhdnpoHlIRm6I5/1eCprJzkjBPln2Jl832lolu8uzC+L
BYcZfxQ5ObuxDcdtu1wpGJAd5D2uHjKOEO6WKyqXXn8Th6N5ybRyvK+bpDlZesnzOZbDpVY8Kkun
lW/NxIaRAKMlt9lyBQPv6m/05aoO3ax8GpYrnUE/OtSDqbbNch9IljsCBfbOsSYvwZauXL4HjfeI
0TX/lix3EwCL1d283GGs5V4DTVYeuuX+My93omS5JzFK6ofMEzRXRA63rLFriyUw0x/SrPAPdQdw
NO/6eD1AA3lLc2M61vRT39C34t6RaOHG6PNvHzmAOFR4evGOJWG3HbCd3/Fva7d9gy9NVJO1SRIa
4tZTPwHTYFHnEcnAbsDXg1Wy3Ho+GX52SW6qQLSFYxo0NY7YtYCti0HbiovhUpIDW+t2A7Btdn1I
cPT4YU0XdOykN+Uso/oFxn5b8GNAYcIJNbNuT8HAEJ0MygnGVSUTArN95w39xgS4pbjsEp9dGb1O
eNLjeILNM4Go3RSzjU98tKGRMP879MzXZVrtvKYzb01tMM7wBex7FGRBB7LJdiW1xIOcWxu34xwW
+g7fJI4zDW1XQRAmtkO5TPgda2OjAs/PWRkSx4q1TV/knICGdAYf6HLb/MqGgDKpOS4F9xawKBRL
t0jIp9bsjIesa3hfyuYeMwhtA2mqNrqEotsZJSZ7T9+mbnfthpMz48OJQh3UJOwXQLw6qwMtXHNG
jdmQJpD03b5YiXBanNwgOYqqVivTIlZC79S3OvPVdkrVD1Ga5I1bk7XsZNyFeqMuVcc16sj2e+J+
zxvNv5kQH7jfUOYA/kxRqk0BCokd5sDq3vLFQ1q5foDl6g6yZriPEZDWUQEMjdIP94hcBJ2iCqF4
JuZN6GkPVEAvqDxBLI3nP66x+gepMm35jKgQmmBStbG643F+nUWd/LQtFR+gtLA9zav5mGYg5kZV
dc/C06cgFc30kxJ7voOUU9XmWv5jC/C5EfjPnPd/mfMMC/7BL4/f4K17+6+Pz1de3oqP//nv2/dE
xr8Jn3+85I/4qvuFtSHGc8KhHm2af7pMPPFlQTVYttCZ5H5XPY0v2NeWjKrLCRvzB+PiP6EMLlqp
wf2a7xZFhAD1/47q6S5B2F/nO8uBhkplADEpzyQwKxg/f53vWPQ0HieUGXRoBaWkKmz64tpR08+x
28ab1pU0pNUiBL1ng7JmGxuehIMrLSSkc8zSVGzCkRAfMmNC31m4ZNQNg95jNlvKbXdGabfnUSSx
i5AECDbqoBTC/1HtDRW/zdc5sfMAent+SEyYyzhJ2n1fDN1mAEm3b5qovE0s1+pWTdQNfmAzD7Tr
gsgSkTygpKwuLNaLB8PLrWMyJiEu69qSVKea2lmlLdA0HGcJiwd/1D6oheH2yRHb/574LTdbXXnn
yk6Tm6qH0QgTcyYwjrr7ImkMGhFSY7YyWU3156pNWqiKhtkzGaUlhpAuf1Wznpy5jJ/CdibGFBXD
Afdu++Y4c3y0DIgusFOdR2e28mWhbezY8aL5uGRLsO3Hh4FuGSIV+gG8Qr6lXHHe+Lx1G4FHcq01
9O3RCKIeWiyHMIK8s4dd9IjDG7+EzN7xTy7uWSJCoWenHM8xv7GKmb6Nc+WcYu7tMycErczXCXJ0
Dq7ING+yKgEdjbN6ZlbsazyeFXPXUQNZXrPV11jt5aySSNCPKsWCHLveVUSzfudMEmYheQSfhERi
wHlA/rqFATERaYb990bDo2oOaoB/50SRQcamUuFt5RWLybhBpV0VLRiMo6pFToM9xmm6hl24svj8
Iv8Ow8VCnesQ5rclFr4boM6QmGsgQOB1PI50UV8kydaxqN8Gd5deIl8alwQe0jdt6A2qnWjvIwsC
LLnKh/yhiXzvWnfS3tgdnWqZLIbbTrg5HyXAH6Iso4d32VDt8OiJKoaICjP3pcc19FyxY1NAmFtx
76Pd3KLCkHW2W2ipPezZfeFbaqnvG6aXTjei7+CYMFVguN8Az4waaoCniZZ5/qRhS2iPg+iUt+Ea
dkPyEAM3Agua6XuHOmy42EVBqXg2VPumdqsz00FHXvjRaJMeYW/Yulr8XKlmXFfZNFz6jvdYSDd9
Zdju7+yqpRzCgjbmEUzpWG4SzhUBC9QZ1lVuntNG4y3T4Py3osAEldtmsaOKseOqnsZ4p9o2YQwo
NQxPdWu0GDHBac2gp0c7sMBzfSAWv1JF3p5SZoezavzxENUKM3tKCfW+h2gF9muslgMKQA9qfsPb
lCYasJsLcKFPUNW3hhKJC2Uyce/LJJfPImtjCKKkK87SF+3X0YDlHYi2poXT9SrnaNdhPx6UZ8j+
UHLE4kE5mN70jQE4MR+lxylDUhD6TjUNxoi1aBynhvQwTD7LGuhd4kWL4nFkMHVtsaKqwWs2lWll
+g/TCUP/VFKulgb2ROEwk1KG8ad3Pcq3NH48wZVhugLxEoHdd8WLMEZ6ueIqoSyPgTUldmBjQoGH
T0aFW7SebVy7z19wKgCg9unQXnOzf+4bTgvC7OSFKbC85q1te6jPIB4BuY36u+um7o5W0vzcAkeh
mEQLt0OXhosUM5u3lRin7yVB6de8HTk7tZ29H7mKuMPW0ZYO6vpJJQaCdq4Dch7XOS2Z79HQVfez
5YQfqSanfUb/+nuLcxzPss4PJvAjok1uzha0Ejrq5FPCwdCDaya9iE6fyhsfJgjHAy5hOTpbUjuz
dYhSJKKOVmS1SVKyUXssZ1mI0K6K/EzlSG0cCuhjTI9GovqVyKL5Ke0toyA3Y3U4wyzHigPpWRSq
GeyhEQ6kn51Hu9J4vERUeTC601Hac0YlsVPtJirJ17pf8VHm0W0ui/zUgvpfaxYaOZUmtHixgeZ6
VbK+6Z10lowWVHlN41icyT6qq5000aljYIlXMyumb33Ln7NuMy4JONX4aQK3b8wjlFZv3jZusYDN
cipk91kEynQdYov4oWNYAnmbTf73uIECvao/u2vrzx7b6bPT1vnst9U/u26txMaBni0VuNJd2nCL
z2bc0CEoHzifjbnNZ3uuW+ntURU4iw4pYdeDqg1LnfOlbxdbKVeB1IojAW7wKiECMBVtI50AFbdJ
/NrdA5DjbivzVn9ruvnBIry5kPXC/lEfM1p/I23JFXd44YZ1UQ70YBAAdN7aaKkKzhg5XtrepkDY
cmpKRDJiIGThPvuXaEshaqYvtUz6pPA/ITNfbdGpx86PSMVUA11ODlL1ESx2vho1w3oQsrFeWAgV
R27Y1o20wbXaKUYxpabz7OfWuO4dEnmenZ1mHyh7t3RJSZGTmf9smOrNpW0K6i1TbxIXcoFK+9TL
NJj6p61slYa5NbfMnwjj9FfVmldM9yaFalcbeXH56ZTqZHSBRLuEOrZrOpIF3Lq604GDrci8bFpA
fbfaZ4MWc43/QnMeFFPiV7hH4bWi8GkCa2P42cLlxJzXWAa1mR3ITGK0pRpxae0aB+rYvUHmrwQQ
9dv2s+GrMHtnWLdL+Vdl01obgKzvX/EPFbf9UhNWfTaGRZEtHxEEtLeFGEX657NdDA8iN5rPzrH4
s3+MrAYLVhhzN2Gs6XLv1ASi1lncyw+JRGQGRaQwZYQYSNnrUS/s0SiEtLGG4EbVRKzH3LBpAdPk
Ou0KIPyjXlMRwTp66SsR9TusFqY3txyqG5LWZr22VPMD4Eq+r8lS/+gRhJEjR2YUxi3NRoq0ixlq
eJNyckj16JU61vYEd3Z40RLK1Vb6JNPzIKqrpxr8ITlgcLHB2GYfi1biziqGtA/ionzXLWPZgoft
17msKjxfS8p56J3+MmZofmw4Ma+GFQ2IBWErtGGCkNO2zPrmDh89Hikt7LCE5mYat/i6mv416YGk
ryIdGQ2ap6G+TnFh5DhWRBrhJbIQLC0vuvajE3/0eWdySQ/MT5uqr2ZSKHMJeGKMiiaYu5YQZoT0
S/JD0n2IlOb4QWhg6BowFz6THMOfaMZEaJzOWFDi9VoroAtSILHjQLrP9Gxp0UvTEjOhUyPKz5Bf
srGDReEtddQFkRxdEl8NEmgHLyrxaXqIunHNcx8AWsa38ibyzHDfRWCtKxAETw3oXaxcYRGYwhpf
/cbJc0Y7vfkekZ9OmJ5j88dYVOBSBoDS1fxKXu5jAFNA3ZUeAYo06CbyFrDIyqIFlkg5GBFqH7Eh
rbIknnc09BkLy6vVvwqLp9HLQj0oYK6gETPEe4cZ8GbLuj7Pm33U1WgXyu8NGqn9MvteR/ZI+o4b
BDaBikHb8WJtID7t1/uWx8W64xlwGJO8fqj8RD2HGCCWFJPBbprgZa/F5XEwXBgUgMDiaa9Juo5W
LcHhYlUavnrywIWTe2r4j6aLsvjuCg4JBuWUdlAMmfbRWhitOGs4/OzRa++5A2Ff63WzxtvOxvlO
r5WPEgXyIiBJ4N9ladk+6sKxs13o4Cpb0X7efHNYPFEewpJUBBzQplc03foH7A6uDrJyjX/kwuNg
mJRx9eY7vXyyxWCeess07opRyKtnelm9MWv6xeBdO+zHjAg1cSALurOMatzz7VHxtoj1/t3q2FTv
qznxIdi6tBbplVuX9DkocFr6ZNKjnWLeJyhPQ1OeF2QaNelGXw2gWHRlKahweZ/zAXaV2XVrjmzi
zfdkf4NiHp0V+B4WKt5yBBu6iPNAMRs0x+uUEq84E6IV+pM8TaHTziuS1zXpGoKK/i4ureKDm0T6
lkJEOeeenpoBGlG54T3Tcb966JxDx8o6GBN2CqSGq2fppMORi9VC1lDaeqhNcSNMnJqemVmYIOml
4a6KZOtqhggS1w+xmbLOJ/A4T9EVPz4gfr/m0m7h6n4fezs9tbXtQxlLvLFYDbIV30G5wszT42id
aBnJrYm5kcx6jSlkPLYhtgEaGdIN/M381kzn8q5ynRQTo4YaAvWTG0tdwQhvsSHa3CTf/BwoW+X1
9jdwuvP3MW8KmhG8KVpwoOn32qjKYB7z6LEnIPDVQOV6TFTE/Ifk1lzYhoVqZwBl6lCDDNhKXFi6
sQVvBFYmaUG/cVlsxgKD8AoDh/KmaV2Wj+T6qdbE9zjdo9N7EJlqE5c+BiRcoMQx1/3Y5c8yNuP9
OHO4CFonn5eslozfyfhzWKxCb9PYboF/xJyhxxVlfIyASt05IowPOR/Ak28PODbCojlFJn8GJyPs
EkMW00OkeODiFhyeSA1jHaXvi/Hr1U25245LFqGp5usv8se/2D78xUeFr4vwCwtrcjK67zqLzetX
RcEzeWNNAqa7rBXpfc3G6WLFlFKTZXBvkjlnBVKSAvn3v/R39zSAL58FuYlzmpUHS+ql//DXX2ok
oprRksediqP8xCmju4OoVAWsB+Onem77LSOZc5BKNR///jcjxfwuoPCbkU2ETioehLWl//6ba9tW
Lgy8eQc31+So41qUi1eOdmynZWWXUzT3/vkb/5P7+v/kvjBDONj//t82xKe3Isn/6/L23v+a+/rj
ZX/IcfoXUlt8TwzYPqhxvzBSnS98iMS9OMN6aH6/hL6E+cXydb7OOk1tOI/sP0Nf3hf8vQavAgHn
2ibOi78jx/0l8sX3xyQHxv/gQsTb+FezRQtuoUcxbjdJVKMn45rLtOZbYZFlaTE8aF12Y8lxZuqm
JfGXd+pfXLXOYif57Yu8wPVYFrI39KAV8Yf+/kUeNaGninU33RnavA875mqtg2nd0gC16jDLr2if
Mk6JJPVBFU/CgCX0H+WEHcyvR7TBuLMkIDlObBeCIqQo5tE+lu1yl6eOiMIzVhFJK1llJ9ILWIOh
eYScUSZC2KCv2tq9H3zdzs71cshhpH8yMROuXSxbF2oWqprziRK3ViWI2/SOPEecqHCiU2BR2SiY
CxOFFBSAiIsL7+dJ6A0yT10QgWkn9mHASbUnl+F3TcWjf0tt97xy4egyM+rlLtG06ZomcE8bN8wx
m40zHaBOvzMm3T76lJXslsz6YcaoabK00GhMW84w2Z7ok3FyOa1ImhGSXh00Qt/mkeaHhmQt9Xa7
KOFp1EJtgMgXT943L7Q4JWVGbTxA3Y2oe8L3Hq86jXdNmtN+woZyouqKx0jWxMU9AJ8BasOkv5aW
lEDTbK2c1rRt8lLfUOqriiJqzvCtFI+lKV/6RrNZhhqwlozu6JXW0Sctvo/SVu6HlhINZKFvTq/7
oKyt0SEkzQEt72UPWzZLSdPyrB47UKTjeOkZD/iwsoyt4Yh2xAN7Z4Bd6ddp41WnkvPJIc7HYo85
Uj1hE0zZUGIfSdp+3krpaZu55+OWItPf8tLRN05JZxUsrGLcZZp/i49RnfwsibYZkSzaZ7JdBY2Y
Yk/IAStXk95e0Pa+8bly7GDsenGaaGqql/kETSlVYc1cmPPxt8UMFIuROnI5TpaaAecLYk7gdL18
cSLhvSwY4HOd1nynI/voiQav3PI9R/ykMVH3rbM5tf7TgKZKAqfvAvLZcmOSfwhsWgbsVdTEODIn
Tz65xpzT+k6g/dGLELGCAZeywOzg06IcwIcT/UrKRH1Lvd4U29rxDJ23WC8xYcoh4WoRys621jwX
zspUCIxb1M354pWu+b20wu4Bsjo6sYvOvKMMdnpUZuh+zAirj66S/rXrJOfxaUGepgv8NOkL68nM
QFQGYzU2Lg9dgISbchyooA0HfKdboWnNDot1CmgRtFKEbx5N4sBpXX2vpzHpsT8ZxiltRSu+cZSk
68i1p7VvCw/cz+yk3+XY5ncKYHkAciZ/kolh79HSDpLSqD15559zp9XovCMg+NI0f0accd8ThNz9
FNnJGYZkfICTkXGKrBkho8YcLo4PeFC3k5qLehTd1VGG/yMNzfCgUVgUaDZVUyUPbg6PsrAZuJq0
CRIh5XmGw7Hh5Ny+mGEOTLlX4qJXs/0WUu227VWV/DQcITY4h8uHUhu8x0r54q2IZudO9HO/C+OQ
t3D05DVMqYbNB6mfOgbDr3FqN89VappXThzWIZaKRSKOzRCH20KK6vtM7Wop2ZXQaTri0EJaa3/k
EC+iY2y2ZMgKei6tq1HRHIj824Vf2zmkYX6Kf4ah6bh7a6LkcCOAcs17zmYzyB1MpRsGta03xSY5
I3suvAC7wKivIx1Y/4rGJxKtQsNAPOJMfeObNk50NsUTNyTXT/RAS7gbo6yjlsVZFaZbt2bSCahF
oIrAbVz/1NVTcTObk8BCY2U42zwcEYew8cQ3W7P9u76dBzxKbvgiTXKhQUpBoxakpUq0TRgOXDZM
N+Fb7IAyWIVsRI9MPOq5T8vOPYSo1mHQACG7F+gGNGAC8duEUTK+lelYX7o2lsYNkAZ/M2i4g5B3
jGCKeGPIu5Bb7s36A3LXcJAzKUHlGiyy9b5ffNyoTw0UuKL8ypd/XjbYdA5Qr5r55i4LO2SDfskV
Y6oYHLUu3Ibuih7QdLZCqhevI84CFrhxJpZprLQAfTTdK5VXkspaGEwv1CXoX5uEkJ1O6c+PpO+M
tWnNPi68ud2CkJK3anT8d0n7yEUHBpTuTLsjvCicGQxePi/CZTQOwLFHWk6brpmrdVS75lMI8Z9G
BIuLflVZXbOf0pb/AHZNGWupeCZeSoaA2EyUpQVNWTKra+6ZFveLeJ6SfIfwT34ujOweBirtJyNV
mIpa4cKpPObF5bmDslQ98+gJYaSlqUtN6DjUV3xd8zFrU3/LR1auVep1WyvLx1NThzzwIh8mEQSe
7gYmInNOHptaty6qorxr2JSxV+ByqOkvWQNEte9oI41j1oCueUv6z7kgHLTriHDdCc+U4m7Kzqvw
G7WLsx5+K3kOUuIe7kgs5LUZP+AhE04An5puE2tQ+nKhw61AgjE2SDneOzEBvrf9lPhscDJf/mzh
cd3OcMartd4Rc5Z6xEmINWL8tbAGK8AA2d1rGSIBe/a7mLXeA2C76Fl0droir+Wuw1ZHnqhjEm9s
GOx1TL3LScZRfEvvJJet4WjWlcXnQBYyybhmktZlAo8m0Cexo4M31Je8r8UO05vjEyrnBvIHD+S+
AbiEt58ThBE/ER1Xl2GueXFMJfDFqDTawIBPXKxRkM1UYH4fKCTW6UbsKDEMQcAUBXMuajFqCJy9
RZfiTLZN9KhkyWn+sAaNAiinvc2mSF8VC3TJSmt+Hy90tkNYuDcdWcEd6i4VbJQdbhksaRoDB+Dd
QQCFOeRIqIxBBvIf7p9TV0cAYVSqsLuiu5UvFecgDkI/Cwg/l0mSEz94CWhBx0gdk1Ug0udK0Z4d
AUYv8JUY6KWrhA3qB0UTXrezvKT70XsxQi0JY/axQ1vXe3cwcEOCyURQ83LQUGnhgq/LB1JoKyL0
oTqUCeIz/MeZ01r22aZiTc1RTt1M1VtuUbfiRjbPw3ppYemWPhbV6DnOPQ/63XJUcVZAtXAJ655n
JZt06XShCN29t9hRPIuZI+WalrtskdXwRHQGp6//Ze88lmNHziz8KvMAAwWQABLAtrxh0RT93SDI
Ji+8zYR9+vlwWyO1OkKa0V69aM8gWVXI/M0539m2Sz5MExWKrS5xA5qXNAjuG5JgbzOz7Q/tki+D
TSA4mDiISdMgfQZ/K0E0469QmsyXGH/CMXEyfmgS5Fc9B3i9jgKS5lbQBdvv4FfADegywm5spGCP
4COWCBzFemuNvpZoHHOs2pvOCGJFWmNV3cRLio7+FagT/QrX4X1xOFcVBL+19SuAJ+kHV+GAWIJ5
ymIJ6WkjA40RmOV+ZpJoTFCpCJwpNykje7Z408wLlGZL8E9GQezuXIZ9j/2vaCDs0pG5TXsh+lMg
GyJ5rSVPyK/y4NT1Xu5T9pgjFbBETmpNDgk6IeFmVGvCp40ecPjFpnzloU77k+W09rlYQo1mDp2M
I52oo6kO+/JMxgk7STMZGkK/R1KlNj4Ld0pW0EpnqKAMwxlbj1BPZzSznkkZtR1ESdKSoHPomapI
1vy8J0F7ign8eSVpPn0BgwB1Z47Rah1dpFvHvKKxj9vG+DatNDxlv5KeTG6V4zQOHMXVEgVlDw6r
fVCE+pV3G7mQNUNjmgtb4+MiSipUuTjPC6YgcEN9U1QpmVPur/wpfvXtxA/RrUfpjLd17+bxxouj
ULFMV1O3Aa7nPrECbuA4/ut+zFrmBn9MkaDLDJhIkq9Ap2o5Dp3vHycasEPhvSaOJjrbzI+Vjj7L
pHxssPDbQfHIIo2L1YuDDUXmDwVJ++Fff/8/6f6B7XPcmKaPHBN9CgKWf/z2WagEdhwD2FCompUx
1+UNL35+/tff5VdH++ffEoMDHSdOPhOp6j9+G3T8ILVmp9v2kaYn7MEnrT3Dxo3rxLPfr7MePfpK
BEDcSq4nweYfwPjK6vPhjQ2pe5yMsruRdaGvGXPGy/KSrSWeCbau9fQmBI1CAoysXHfci/oeyh/5
9r9+if/MY/6PeQzCpIWEw1v2L0Yy7YLh+Qd51N+/7G++0MXnYlm/66N+DV5+94UG1l8sJiECkRL/
nekoU7//dcA4fyHMhnEFThekVYxN/qaQgv2PWQUvp2vTUzHV8P+dkYzzZ4UUvlCy6JjsOLAk4fr8
0lr/9nFNykiRkfPfdZkxGSDH4+CEzrTuMtZAxuAfip7xsRWMb74MIiTB0FpcldEyVfp7FOI15a4t
vNy8Uls3W7cZvjSckVWmiYfWo+w2hmFR/uimfMxqU529Huhg5VOtg5lgXN+kD5LiazMgdTqUyvAh
sNa3Xp0Bmk4m+p7KfWPhQtR7N10rx/wu6vx+QaNt8ojtXRmkzmpeeB6RfYt8g6DMillSXGHid2U/
HjTzUBazkBRWVdT/SBRwfNRPbZ5ylZNR7QEgiO4jbkRcaa6xNRt8cxb++5saE+9Zp858qo0aoVEZ
YuKpPQcNsZlPL2EQPZlJ9gGO4i3DZ56vej2RTOU5LlECY7jR4CXWMULZVSqc7oq5glFx5tzU0hqP
gtDK3QwGbxORn8uM30p0AFuAA32Vulb30+qCWzVFcmu1Nlc+z/o6qGPi7YncnZRbYEZtyouHJnVt
jApNahMZeHRa70TvUTNeb8SaNtA7Mp5G6Aus7lPL6Uc7gmO0Cxh39bCYjIKcvyvt+rOTgXEJJSKt
YKjlKtFDuplz17nM7CCZxlffKUvyvRE03l1rUmsPEejwLgUIDvISHJ3nOdssLjs2aE17ajDsX301
f7FPSND0jM3dkHfZm11Nb45fLyaoCWVWkFL0UX5TTXYsYdkezpORcRzmP5PSzw5eFfwIdJ5tJIXr
atb5FO+QWyObK8wTi5AlMyHLD6S4xefEy+GkyycU4+nJNxk0kVKXPKmwVZvME9lWQSxAKRTl10ET
mgwyFIA5jdV2SGK11rXz7GGoogAz3EuXNq98XoPv0Sz1dqEt3ZKR2hJrzgSwr9UTm/SnGNi1rFjk
UOy/pLOTbXqT+ZkqbQfhgPOel6N5SLW6Wm49woch4ZiJk9oVHcpWM0IN4kr/iprnaR5TPGNIY12e
93UfOzTAPXqNhX0T7MdRReEltUUDwWXGiIkenylGNLX1vUO9trVcw4A/kuV3aMXyLa7h4VgkVr2T
fAbvIq36UxiBwYqWXUkex09tEqj9rOtLZ6bwd/2cEgehUXpVqePvGdhNhEKoFytS42MRFLiSpW8y
oOKC0Y58ZoQq9lnSFy85oW5r3qp+O7hTT6GbakBFnRG+t1W9bG1Fc5NoFZ3maUAtjYXFsVeW2wrc
Ge13VbdQ9TDeglUg+Y4wv/EBmEMAmtLJtuPQUdYqeUKRbt+Z3NAbP4RMQfZE8jBYebyawNncmelc
kGEh599YPR7oBRuyFr3qwIqPtrierYcwI3WB+EYMsdCVqbqwVpgq9Na9jBhi6YEbGMcwLu/YLUmq
zkEHw4zHmjYY3SuZGfK5i8iVa/yJEo2hwdowvXTn9iZYL8eLj6nXTOfGc5PnIKnZTlUNrQXKRHHN
kSrcBkU774sgT19lKV7NuNU7TMkYxqLyQA74fa178U1SRX9NBjkw3VAK7U9PMHMyVjMBmsaSQl9/
Jmwcv3vc7HceTdCJFIfhgM40Xzth7a4Nj0xvC7uX7+T1rdH6kCYwuXm0EfSd66AswJFNNJnUpOeR
sSlPbmKnkGKQOdV97J2dHKTpMIf1TWjp9C5GeLCuzO4GdGm/J9IRajxjipUA8nyrm6lbx1PLNCux
kAEp2lD07+kzwRu4d4dpvobx/DC6KN6Ez+YZE3NyrNPugXsIbk4VNjvXdKPPtirmA7P4p2hsTJBJ
JH5WotR3dHHuxvfnZIPBHVKISG5GuDroHZ3qwU3NRchIdklrLYxoz4PcMfohxBALKx4THgDPrtFt
NEPqTZj4xd5ss/YG6CI41aKh9yiYrveezSmcuN+WFQPPkbm1JpjmAbrJb4nwyblMl5SFgKHBaOJY
zvp0IKNMkSsARgHIRwbwugxfTKfiVlx+BoHwkEiWIVhXOhCvpKW6+P2ERMU/A2LJYpGCA2DisMps
ppEGWk8UhuXQPona/+miNIGVxelrHbCpLCkI/h2CQLJS+sxmPOWjksUZ1O16PzNWrpGik7LqC5u7
9AWkstw2YLy2wRy/FKXcu1jMN5I7oVxLI3if6RgxndRf1cgHSqr8qW8YesDCHzZlbt7CNibCHboZ
t136rJhX4E0zgnW7vNNIVcKdjXYVESxHjw7Kr1LMn51X/eg9EfKizna8zdkUIKpjSkVQeHIaw+g+
iRuGCmaEPMcWD4kFCGIKexbEtM4brHXOqp1LLFSpZx9Un7WM1iO9wQXCCFdrxu1A802DU2hxb4SQ
mKV2P6dSHAjk+aKrhoWrrRLrqPuf9ePvev7/u9wVwlv2u/+83N1853Hyx+Ujxe5fv+j3YncJYaah
s7i/kNwvf/1fu7cnEfZTZ6ICWBoighf/Xuz65DN7SP0BpICkoAz9e7HrYyIQfBVVKhU0ArJ/p9gN
lqbyj+0YqnYqesfh0+Ys/vI/LbOT0q0LfjyUri2zR4apjX7qkCS9xb3u7+xxeOqM1rji4l4yFKG+
Ivyj+nVrK8o2LtyE9yJr+4+WJI9jmAXdFr2ou57Bh68sR2M9zRP3YZQmjFgEVCuVDvU9W7z8O5Xy
c+gU88E5MLYNF9RGVk51j/MyfAJqXqEJtNSrXTnFR+VDWDHE1MNVzLJ7CuFrhuL7nFOdrkYbUZCd
smfi+gP6EAcdeeS6eqyq4G00kKxYQwSSKGsoUaAC7k0Y7isK9oROusY9NTWPhEtTUCrcisxPAgyA
lOEdw+RH0IfGVkVpsY0GFGN+iyg3CbNmz805vIppxNoowvxnENIu9zapNb4Et+lPSn8yxVboYgVZ
EiHl5MqRdrBxevDe+JtZvq4aGVo/MvRQ9K/wvszGD24GaxymtZgRGK1Vo8cfdpGi0yeDEJ1+g3Pg
vQKMgz4eRTbBYlaLuL13L67uUxc7cua/+EauznEDpXdt+/NCwg8qXBP/6YD/P+Ygm/aCxvOfnwds
4T7a/7pvP76+VfzHc+GvX/lXUQL565wTdKowkJYk1r+RkTguTOQAIGkIHFrOBJQHf+2AbfMvDseH
QMNAkN2iPfj7oQCJ1mFmgwwncH4dGP/OofBnPc8CWLIcrkppcjhYNj/CHwdRmiAM2XZuv69THTwO
XTvdURAjdbSDpP00ghkEqxk09e9gkX9KRGSa+efTCIMT7bjlu4T+CYxKf/rOHAdQlNy+30unC3dJ
a7v1RyFI6YBhaDkFTh8LakTSDt1bzlZ33hKtVWdr38ttsj+ywZR7M68tsJytnb+HTUhc+oT4aAW6
KdKL8a+h3CUkYp0VLDwOA/KuFhKbBbLaGjQ0hZqG/NMempWtp7bcC5Ql74VTjB9TJYKXwoRMsCUi
qX+AL0QOQ6ZZ/SRAaZOVX4cA2XtLdG+l4yU7roJ+4xfF2cGlvx+i3TTMcq3m8pNd/DrWiMJmQlg2
KqxIkGmtG8TP6UPQZd4rm9dmb5P2dwM9iSs9dh1JSFgkw2ejz5N0O0cGQHAMS8RqT99ehcqRI2xH
Dq04aoHXlOXpvR933q4fi3lV4nhYG1b5AvCmB7S0AK4GJsS+QV0diOtUEHzgpvkyY66guAe2c1fW
+DrHCk6oTchPhPVlPbSNu8NEnCMTYQ8m6zZlry4+WMaz2Q0cdrqKqAX6fzyu+5IcCwIC+1VD4gSK
2mAvcQavAerl/E/VsBb4d4gQBIjKWF0fCelZsl9Vt2NcUGyq1umweZjM8SJlAexIvG2Gn2mDg4JI
HhfeDwlD1s6h3jk6CF1W6GobZgRddwKKQzgRcak4Ssd53bkUSVmYQmmqI4wdRSbxmefhBjRfsp/B
SGx74XDhKCvKifgwnC86kOjQOaax8Qxp3M5pXx6tqkmu05yrDO4wbI1IdQln8AhGbNFL2ymqQ9B/
GwdFWLBhfcAmdLAd9TF5koy3GgursUaL671HneNfvCmxPin9ii/tTalHXVm79opE1+4aVdmNCQYd
KBcWmttUBM1RszGJIGqekNrVp3guqteCXRuvddqi7TTJbJi3rTtAWSBNw5Ar06ykXCeRrO4L3FGL
p8pl+4u3utxADXRvHTKqlmWHjXxOFdae+jkvUGjE/mPhGm1DaIpjbhpZzmKLZp5d1kxizcVsgaRC
HZn6BwG4fedEuIxPjKrgezRm470r7SPVDAVrhsazyexqPCO8ToNvHhcHOCU4Wxk2CJU4ZhZiDuTg
QGbZGjpPFTiOkDRCP5l4MbsUke3k0HhYhK7dwQjpX4KoYcPiQ0h6hNYmFkuH0w5b3x2i5jQN2vqu
mpqC2S6sl8wGi7LXheX8LCXeih0yXrxrtmpsU6zmyTWuvtRwJsnJOWfEoWcYrQXm4LIxgeTaOUrC
TiQMcpIGdV9tourgDxvfX+Jdu5m8RH6+Qu3y2bhjVPglo+xTFfGN1af72jScXTcJe1X0Ij/0cWDf
SahYm8bpmAMQxolcO7sJNIJkOmOkRWYNq3Q29CGtm9tSzuq+Sc0vFthy1VYtinadRwcTQ92l9Lxs
JyJ+I28q6l1UeMl9HBp6T5CkT+oOSFI9jNXnLNt+NxWGvDUnmMsblorDTaiy8WcBlhFuwyCSc0DA
XswH2EezP5dItFbt5Fqf+NaTUy66/Bx43t2IeIcZjbK0DVS4VPK7AWxFOLKHJ5NsM9CnQP3fdBFt
MeUzi5KW+8yIxdupsu8eArYB8MaT0N9oF9408fXfNZTvdK0qx2GhQ8BGwPr20hNX5zoZPgzcm9F2
KKKETUhc3BumFRJHbDMHWVyGV3KHM/sJjgDYRxNM9DGL2Olqo+huFWVltmXuWUE61dOd35JNNOkK
8xYiJ49PVtganBbRp4/qamOUrn+w/ZFfDCbTGnktrwbl4bOfVzG+NNNYFSNaFFQj5pEs0VuYE2o9
ROGhy0Wx+GdPOo+9Sy1kjDnJ/cntlNyWTGr3eUtqKcKD2VVHGJrjug4ZvG2xjpoTi9XIKjfG1LRf
iTGROYORybzxJBawlQiZlW3jFisQE9s+uowxExGYZ68Ij7Nt7tmkKcRWt8f/jjA/4IHZuyz3+kNN
x+ps+773b5FCFC8e79O6Hy1oLTm61K6Xzr0am/BzwvTpPAK/5ZjVcxnrTaXRPaHXky2BKFQHdLJW
1G4Rac0I72YbkIX5WSNfYQaK+hUGa3/2EqzwbflmjF1dEOGloAOhZ7A98CL0L/uk6FgmObXvw0IA
3/c0sJ0myBay262nvGHcTpJJdd4DxJv88iG0EQnFqAk2qi6M+xxK0O1oDIuEKlwnvrMzFYBDQvis
jWiiaRtFx8Ly0u3gO+05bbiZ3BbyIOIyfoX4wszwq/HG3ybO9+OgPEoFE6prMjP6NcZGHAwkeqsE
pOhGiJw5dz4ixGjdvd8z3wsjEW7mOOJNjkfnDFD6JbKR2zQa1vsQMlJg8qthwjsK75Uxx9dirBH0
pMkODOQ2KaS101MnbmKE9Jvc0BY6cS/5GiPcvWHX6ws4DRxHBpPjahwRmCso7BFj2n3tkQ3KOzRs
qQVx+VslI5pxfg5zfB4o/+ttIXlh86YML5XfY/VQ9fPgxijDq7I96MCFkzKXJIZKUtUq6Vt7TiD/
HLk1WMmslahsBA1c6cgDg1gk/CmGXGPi8S2Ec0fsLmEhRLKuRduDUTIyDJnZ6EWk6izIQ7tFZwB7
AuZVN6r3JYgxBh/vuqRoJepeJnWwZUiu/C1DoeEdQXV+9fRsnk1GYj/V6MojFhDraPV0UUR4SAzh
Y9XvBtesCBkdO2ahnhn+NOO5O0h3AUnpnFk+12y4R9blJqsqsWKWFWSprrOoN08yWjyOIrU/Aqtt
bnpTjHdoLLNhtSRxJbzeQp6ioEDj0PdpccIClDxGgeWeTb+3niA6h9851Od+VcNQ3mM/TDIOJis8
pij+TxDYiaxjOA1g2zaS0yIRTGA4EFK/r0wInvhRrBcizYMVfTbj32Iag3Us8uirI5OoX+cI2ive
hJJ0Ed83ngTehQPTdshLYzrvS3Pq3xxXF+euwemxmikfbqeyVDscsQH58CbBEFs8cPNTlk7Td5fK
gsfUz7JrS8LMNYirmhiShFBEStsOuZ/wdinZeS/+VJm3YVyWcFsscz+JhWc1T95AzE8ro7fEaRx4
2mZ+BgY0PvVD4Rx6ggIfjICFuRYyvLdV5YMb9q0zLjTvzcgHaKNRU73ZTnhUleWSHRPdEscmkdxG
ZLugRu0JwsqIE1zB6lAMBEyLyFFQ1Q5GdLhhbQv3kXSdFRTKce1BgKETV6OZkymIe3SVESZzGwZe
TJoeRhjRlxSMxaSvkgjdIyK3JQu+tJ5t2ffgJFuN7CocSGWawd1b91wR3G8Ye/qJAwwVUqFQGOe5
UptgLoOdtEuko9JpSLUmXNrLgw/abGuLeyXjnCmnvehTuWuIlfuiaAF8QiISJnysHWBtxqncF+7Q
HuumV+88tPPVYN2wnt2xZLPFN/ENU2xTz8+27IuitUTPe1+NrbgdFFFAH5UtxuYBAWaTPxq4ebyN
rglpoBOhwVuH0ACGFQbcMSQNoDe5ZTuUwpiuIHq7eFyuhTNET2NtJT9nnDJkOEjYR/PgRPuuNdUD
OErrvasC56kbB2xyUyuCtyUbc8aojqYggk37NQ4QTw0WoR+NA4Z95TUQS2DayfFqUqB+tzYD92io
bJ/x8thcp9birJiRf1GwKYtTzdVNtG/GjCO7VXaHSKQwPzJSZJ9dacr2yUe8om9D+Cn2dk5Re2wt
hRAQkDn5z/aUEmbnRmgq2Kp47Qp79cRY3OJDCG7PCFPqdtVudTFJrIAZTy9ppT7Tc+7Dc2WlATw/
u6lvo9aL481g2OLSGLVn8bx7LG2qvo6OTdXZ7/k8QD+zgprBsOg+BC3RunHq5tq6zkNi9PD2iU+v
le+f9QRQPOJzyMBFmh8pgIMfEYvV45Lxzl6rN96sunL9rQwm510S1nfq9TDt+sCv7sRsy4cIVjxb
02gMD84CFQXveqSijm+QBA2HBrDLoeMl/Oi9qEdPb8h7B9TUrjAwyejKu0u8dII5jIkKaUR6Lclt
vATa7ghsCzTxfyRMAXD3G7NeefkUwhwkYB7yYniJYv9HF8VfRl+MD8j1Q0b1TQvu3RZMrpTsg5+d
XxPtB1Rh5wgIU/0g4pfWD7rXIeXJyQlBeU3ziEjXUdqXsiO0M8Gk+pBVpNo7sbkWy3AMDlt+jxaJ
uOskqb8dNJPcoINgZZ3Jp7kP9GmOiGO3Zj28ZMuEThlZfEs6WnoP5t4mFJegm21h1fpmDB14rOQf
HGVUxA/9Mg+06wThPzLv+h6XWP5JhIPzgKtU76Zlqqj8qr0DoZUdK6957cwxqcAZklG4TrDnbkdA
xOt2IPgr6/SMajWfVtbYmesst6mBdCre+rgSF6RU2RnKVfCWeE3449dexGWNfuRa7a9ItaYfCbXY
bakjrJ8q1JcOLfmjpsojBYbwsR0ER+MEqLO+hJg9n3vFee/VVfcDVGa5DUHYfUzIHNxVGtBSW1iz
L75Hs4aMjKcr4VbZxD1g+ZmQ8K0/uCRpTfRYdpjt5jpOL4Sqhi+576oTbIT0hdBSGtRYFnSCGO38
eiK3MLatew9jySn0erZlPQptUkbFJTaK8qczjEiyErMUTz715C3ENNFBfgjtLz/K6LBAo7RnM2L1
vCK9OjoYfNAsOFI9s0mtsw5XQaajTWU49asea1hsfjBaj5k71U9eCwAkxddJMjC+3RJvWVO+oY8O
PwZt5qjHI86Xs6paeY/yKnqZ2zKTN+AEwFCxwXDaXZr54UekB/ort0vsz16WgDhEMS8b9OoD50e9
wbHovVaSIY1b6OomolJLVgNnBz9QitSx9PNdwib1CvfL2lqydQ+8kuqutYhJJpBSf3RF158tMn9W
SvjhVlVJTiqQPe1monRvlM+BUUFCeWs9kwz0rDCubp65iBjNcGV57MLJD1/jYi6/qrKR420AZ8I9
sGMdiN8h7WgJerRekMRX5KQTZP6zN+GZBK05ETiCEHgVzkMUE+84Ta8ZPeQmClHOKy8x4hW/fERN
4IQ01CJWTrGjCmhvJrOP30WQWE9eWvIBSqyZn8GAlL3kR48MggiZcIrmp8oSktkabyo/ZvyRPytq
0GPsGhxD6Ow2cdHA8COTdC/H5DOLGGxZVbYiKfIjH2GEaq7m9aC1vR7i1FyKsRcOmeo0terRDAex
J2bNOEcp/sYgglhFlpK7MWR1k3U1Ic6df9WJcu4Q7hc3ZuSg7bUdItVWY5ih1ivLM+ZNeUzGiY+D
wdDvNBdtV21QHS/XVLHLKhTegUe2TBUonjRjPo/d5F+SaIo3DD3avRWE5mfMx+ezRhM3I72vCIyM
8+YsY9O99HRQO5nb+kri+v0EF3PP3TxcMyICypW27HbdGe6wz43AWQG0bu9cYd4tM6F3U4YOvgWI
dfYGlF16R2W3WHQ5r+Ag+dj8B+XGEUF2DgrllMZz5Y2zw/xt1hsb7c+LmXu5XAVDKx8oDXIH6z4B
MiJNMOwOnjoQCkRecG6ztVUmKUjhxHOZgyvSOaLYnZ51hjuqq9qz0y4rY6cT4WsT9QIKQq3e08k2
L1AgSD+WscEB7vTug510zaXhu62rpgnvY/ZDF7M2sE6HQeWdO3ZNB7vK0pNIJnWutVmfEyfxr9LK
6105YBXfiJLndFK9vmO4pvTWtSElYmIssm2DRH+An1Gn28iZfgtIat9oAbYAD4r5BUI1O/bhHD5K
TqaV9DpErk09i5Wc/WwXpUtSlmvOCC+YvsXCqxo8VYV/IauhfpiN0eSjR9rrPobTfpDVMH+QT+md
ardOn6XbcAqOlWqYN0oyvRlewVoxakT4mG5fZDyRX2yaPTWX5xxsxWWmIdxHpD/R7hE40grj2dc9
Os0JE741FbhdTGhHKJDyEbycwO8z+cZR57I+GRW+WISEzQ8zoQAxooplEIsWDmN1oF3fQ5ho7nrU
5jvgvUwV55GLlH90j9rxi5t89IadnXOdbso4BTY7gerfOnbMM16hjF5L9BH7Lmtai4tH9LdWHqgX
IFHWiz+UEfarKY0Bm7QIl3uZJlsvZz+FcSGpn8AWFeYucdU4wTWEPLUzcmZ55z6OBSPZuhJ8bhl+
dKs4i4xXwBYKjU+MxaeniEbSHqf9lV1bm5yRBSWPsTebA/WMwbB3xrI0bNIm6X6mXjHvgZ3KH5mY
5dUfocrtIC0awIzYzeU714brC30hDloAUVJ0a0Cz9hWsCyXyECQCryIwvtfOsdPP3jDh9wX+YDrH
kSg5eZoZ9T8lzly+NTY+aiMtm7sRjXkEnKJRDz0mEMZtk/Dv64FBnN0vNIxMv8NNxhros220rCD4
YVR2jBMcYG4Co/KkfFG8pCrFPFH6I6HNMhYIdq2cQYo+8irMW4Xk+FYmyvMRwAXVo9b9uDHBCz4x
vnRPfiO8e9DQjBjSwa9vom421EpjxPxiasDuMgJIQNpoy+rAGNEubQxvgFDmlnBJW2iYbwnbSJdm
REwXXTjetosfktojwiUqZfCU6bAE+4v9IJNtRiKrN16gS0zjQXHNFKsENfMnKmUgloimOkyTFbru
FVNn9wE/sY2wbphyJHjeRK4kJAvhbghMQOVn47QDlAW3MHcC/WBPYn5lcD48GLIrcQ9ZORB+R+21
qu1nmxDMO5aZYCp9cES7KhHkeuVuekfEw0RfPvjyh66z+D0ZZX4Gt9Hft4bIGkaQVuycG59kYN6C
hT9AOo57OyVUWWvtGf3bNGvg3pLiekf8Ubo342S8G4MWy4DnZEQ9ZLwQDxVUKQNDjIi+QgsG1jpx
LOsxChd7SFKYxWOaeEQnGSENdCBnl+tUuWu8YTRSY2G7t21lKTQulYnQwy7vJsMtUwjSSfM+j35y
K+eUgLG+8eXFBIHDGKdU6ZKR11jPMGvFGXgsTr+CtL8l14L5J1YJTBTpZIS/JVkxf9RQAJztEFOw
rXqzGUDaganEc2TTxs1tn7/yaev7dZkn3ARMPcc7MGrhb4iklwOOhwg6RP7qebY42paeL6YoER3G
obmPmkKdOdu5gFRgfimna+NNUHHz4eMxnqWR1GzFkSiOUQpBddDATe24+6k6J9mD1eDshBKBOIcV
8PgtU8ggbd5t6CHydK2lLg+lM3snl3Mb6U6VP4Ifdk+GKG0koFP3VaYNSItZTs6+zkkOTB1vpEaD
gPJhoT2Nt4i4iKmrI6bfdameM7Q1DzhJcnwVHrBm0fInQn12Kuqbt0hbEy1eOLHuSDxlnHRmDtuO
1/ARPxU4ckSBPozMIXgyZsuGe1a0ItlWKr7vCk9d8Ti4bA84W5C3dA7mVFPr+4KIn3MN7PQJwgS5
ubP07uVYMk0wp6L7gboPhKxpLWzSTqkdmlOkZOCa8itWA6hccUDg2WMYVmirgNztY4qbG9NM5APL
rfKYm1Z8VcKt1yIbURL2IMTImAIQ1JKFOceg6op+kie+LLrj6TY+Rwt/E//4Fod9trWSavygZfZv
O2+e76ex+GoscCRZh9kEctZapMF0kXoqoEbYw76tvGqdxsHjlACDyiRip4XszuZGmbiT7AHseCpM
+YRph7pCejw8U603Ts5zjVdYDbue9pUNDRzso5EU4VFTtv8AOyohlZoAqRx7bK/gdrmweZQNkhih
Cq16AmpOSQ/njWiMSL1H2djesF39rWozgewPIB5Bi8K7DAgsHkbGGT9Kz3fcFRGfCIyijvVNDF74
NECS4VQN7ytkjDgQmSmgeBU/65IosZUyG0woVqWMJZaOF3GTucNUrF1KhHNneOWrHXFlwdClZIkX
fqElBsLa2bZUq86qX9in6mPB64t0V1eHMW79jQnkYevj+qr2SF0cbtMIbhc5l8UPCZb8wu4Qjr2c
/J/41dR5MDJSDbnu301sKe2SAQ+9KENqeupCl0LWS9lb2XNHByMs8uOUwNMqigY7Ctscxr21+1G7
oKvWca6NY2ggaHOYkRAJzxzjokeXQy7wGiDOWsWPbsnOB8P28JR4o/NVDdP4CfxePzVj17UrmY3L
+R8uhoQgJcZ8tsfxR5Oxv1x85tELI1JKk7mgx1v1KYdx3/nIP4pM21w0mY4vg2Gan7ntwuIe6lAz
SZm4uCaS7Y5h5Zlnfilj5qPejuu4BoE8ubjEcWfi4m2VS5pZHYmyXsFon14bPxPsbeJgJ0TNnV82
MKxCECDhugqFgQ7bS+ZLl4Sc3noQ2ckLpDpFo8K+5GaT91tgpsSzS5ONHyaeittKJNCRV1Ywubd1
kcTtikEb7vs05hZboaxL+5WUnd3cBOPIt8kycpRCIo3Aq0nHes77lj2KKDNUlh7qGh0axpEhe+Ft
XAht/IuBh24Vdol4Zmdrk9XKQpT0nNJ1v3B0lSClbeeBy4vaJee6XIUuV/tRmxBbNjiyxzfmzWLb
kvfyFC3dVeHDBeiiYNRr9MACQbO5cGxy8+IHvfjKnGq5xJbgtvB/2Duz3ciNdUu/ykbf0yCDDA7A
Oeci50ylpNRYKt0QUpWK8xQcguTT98ey++xy2cdu3zYa2Aa2UValMskM/sNa3wJJuEblP4Q7iYpg
HTAcvpoL0zqNhArd4PUa1mATGJKTXLtiTSO25GVYfLMGsTVSfecYTEYxCtNdty89RfhpCkssdUZp
bLvMajd6aoYPq5Yp2mKV3IjldAYL4288z4Q5PtQCShX/b04lEm2rb80XE5PUTYu1/xqqndhWBAr5
62Yc8ElhPn2J+3q+U8NQnquM2L02towtrK3imFue+SWvB28b1b4ilaKKb0McBWpdJzrZ9Lmev7QR
yBkcY4QwzrDnqNcZE1d9JP+/O+afyAVR8f3P8qDNW/FW/ouEmH9tkv5HedBvskF++DfZIJ6WhTFj
eQ7DUvQd/1YImb8gDURkbqHRcVzcm/+tEBLmL/wJzjxsnMICj8Bf11Z9F//n/+KPbBchYoCSmN2r
sJ1/ohAKFiHOj7JBCbqOGSEiHYsTTP7BIqOMhubecrZk+37rPffGY2lWU/6mIQQjE0ZwPuERGbAG
JJG4q2f3M4h2YJmv6Btw0RjRFZro56x393UiF07BNuV7oE6dljjbc1TCw3WszedG4PZeQkJpytJZ
4W9gGRdu0XVfWWrt9v7O1fxsg1kNjrDT5MfMte+YA91Il2Krce6c0LqB/cfA832M4t3EasrPmwff
qB/mMeR8tNdOTAQlq4q8e5/zh2nhudIcyQWICanRq/0jLP6zVTs3pTM+1+yo6668uNLc1qQy5vAc
UtVt4IY/zhNBtcA+Hls3OqDnuS1CGI249opVK9VhDgkNAYZ110U06jW420QOrx0ECtNXL0uRBuPO
QfrjHhsj2/pF98Vg494QNLNMk3+48y6/Xq1/lX2xPK67xbnE3fDHi+iZMGi4mbhrfnL8Yb4WMCAN
Z5s3zdK8rAqvOEe6uZXTdOtRkaziGAfK7G2NngKKK/PXv4Dzs9CMJAIXZY7pSheZLbDL3wvNKND9
KhBJuCXRca7r5Oz3ascOyGJGKiUeGnHrhIh1+nC+pM38zFrKPkssHsfCRavlrT4mu1M7ZA7uGlk4
HEgQOlsKwvOY07I1S9gI+6ijifuhmFtStGRebPalhhKPGQjvtM6R6ARM1BnlVFUoD2EAx2UkryYm
dW/bt+LLpMNppcHr9swu5pZUD757n+xGXFGRXvtpf8VztjkhO4l+9Ur+I5vhdfJFVW31rfuP5ce+
VPUEuzru/us/fvdv/+N/9bsfav/r+19CPvHCNP/dv6DKQApx13+o6f6DDvDXF/jtv/y//cPfKOl/
p6rmyGAfjEnvL87J7zLKtyzmpPzdKfnvn/1NSGn9AkwS1zd+QeSKP6qrPYjqPJ85JvER/sB2sqGw
c0aSbuXYls2O7wcjof8Lf4B9jwPWxIPIT33/oP+d6MxH+D/qGV3v5y8YVDJeHtUItzfUEHORO/5g
JMT1XytpuwxSU1nke+aFGs4ttjyAOZ58a6dQ3FkTqPGmzkB+sEgb12Y2uWKHbKxjG+4BymntBBcY
5RwCtoYi8KmfS9JiB9JHvExuYpczz+vq4T0GYXGkgrM5jrqIKp1NJ9sXtuW0E1PhLzrJBHciquld
Ca3iVnACISFwUByVPb8FpykDH7cfidTSB6Os1UekBpKUmPCHq6BA65EHln9jdn1yjvgWbCfGncxH
+mZXCBTUTlck27ZL/SsIwvhs4hlxpZUa+zi1g68peogCxuNk7qw2dPbV1JsP3pwkt1mN3pEr420K
e8y8ldPp+WRYidiYDBN3Ass4bA4ShIH0CPWWw7eHrxHl6b7wG2Sh0TCBaIkdEAQkVvt3NMnRxm3q
6jL4Tv1uFnlzAwr67MzMPALzegaJviJT/MBxfR4G7wqg8l1s9Cj4nP7ildm1wZXbUNx3O1vxrXcj
BZs6HXErGQuaMzKK+rr2R91tGPq6j530iA5Fkh6aG8tJ7kSVXqls9Fc1O9BNWLIpBevnMy8BQkAQ
IusBRj5A8N9wPk/Xk1Lha5COEkCwX1/m1uqr9SwM9zEnJP2k0qk9jK5hIgNi9g0aw4b64dOEr0Rg
ZUe3GL3DAMb5kEf98DRw0For2IRZAWyDiahtWGfTY/ZZCRKVW7sLMbVKQZvhQnXvS+190gz4rnCg
a5yCMQNf5jHTNnSK5GviarQg3JUHJAZY9ysZl3uzkuXrgJvn1qt8npu44N5VXX1G+ed9DoLZ23tF
md0XxLtdmG2z1kk06EX2DWcyfbwzeTLRprEQK9AFnEkCjRBsjOVONbZxCEwNtJN9wp3H5DNhzYje
hXEad7RkOArUugeaRImcj84CMcmQwVpeYZ0nYp2mlbRS77kD0oEKOCBLA9Xm9DAm0XgEH21dhJX3
zhYdzPBG16VPPF8cIk7alJi4uXvV8CrOYckYGNGK/UgqAHsasK761jZS9Zq7YaPWWTozqB5GQzY3
AVLBcRXqwlAbx/Ja1mGZsc1szdg4ZMB4gOE2klzEpp3UaFdfBtctnp3KUIgoDS5Fg64mxmOAEwWC
ul1dzUxp1jamx5OX4vIxEpgoHBfAsrNEoAaNJYs4AgYumh3CecDAfBktUF0rNOPTQ4Co+ORkXdut
nMaqvuC2jm7NbopzOuJU7Aa2r9tk9OiebQxjV1i3GvoAS1cWL8oihDV2eR2yHr0gSMa5HI7llpVF
vrF8Zzx4nvZwPxi6ZlrJCAWta32G70OgTt2N4Yqxq73z5dQqRhx5chZpKHaIBN2zFbfjlam6mE5f
dOfSrPV1jMHwVdZ0J7SG1WCvxfRUhw7to6zt8NFShXi3xIy8CQw9CQKNoiWvCaBzWIEmuZXsCfjj
uzXpIrsJo1zf+b013lE8aNICUYWsa9SLG47ULVbZg9GYCiPtEJPeFpqHIJPDiYlmc7HcoLgk0pPP
DXKMZzzm1Ye2a3Bx81iRgDv7xgNJ1+J2YKD0jBIR5LtVayKwdNriEPbSK2zt3NILAqvMkDlWlq6f
ZQWbC7C+ek7QtHFTsJNesTaat7Y1ubuUxI/9km6Pqi3W62GOWoQJip7aYCfz4HisieLYBxELWHg6
Ity1z1GRzPupcJGoBZ1P+a3mTWSl1jFVffBSGsrbNa3o75tAhRf+NTwyIfZeEm0V+yJS8Y5kneZG
uG1/Q1Bi+T55pOU6lihe0UPhMEawfgFynezFaCSbcc4Ed7vbbYtB2WSMG7DfVDawEWmKAqlmnsWn
bMr7Uz04zUb3vjo6s1Vc6mZkGJYlX4Qa/TWaxhOIKs54nmpFWL3W9ky+wdR791GDqqYYp6Mfe9Ej
CKnho2xNvXGVPe47pUvCHHvRWFt3mnGomziQ4pVyiIwzyPIC5Kbs+lx7YIxmByMk+0Uyyn1SdEOG
sQeCPhb1imRy9qImdWLPbFxb1XAoIp+yPEFYaSh14KjesjEq10VaNAeyqpCdgERbW2MOfRZNMpoL
WBZ2fsrwQS0DcdIj4xSDD6nG/bjLujQ/khK7vBcrKrcKKOwqVurVXBZyQ49SYe1re4RnaEr9oNp5
2oB7mrei0Sjqg2K4tw0lIXZFVXBAh01eGLMGTLojQQVYG1EFr3KklBez5XlW93ZGoSrqd2y4xYnN
vLUl00w+MlVn/jvWzjWJzkB9q7DeWG05XTEQ3Xf2PB9cRITUvyKHpRF+RUHNXwvba2RfCdx/y6di
HLqKfQhbT5iG4RF7WrUeHYPFD1GfJyetzAdnGloWbohTb2OvnIjU8GXPCCk2nY1bjhau7gRJsTCN
b2Oo3JMlKvXM96M5e37dH2w2nzxm+upr0RXDwRc1ZCNRz28qlvSOcXkJM2vZOQHdjoYifOACFHym
wicxOCOlELUHy7a2iW/Q2aTIJCdEO+1oobmeq0tul+a5xenwovGgb4c4qs21aQxDvdOCsE/hdiQB
I+8JvhWGbQOCN7DwM7kiwcpWixrU18mWyEzX2bsA+Y6lUxr3XpRFhI+OznAoye01WceXbg4EoKzu
qS+S8jonXCDeGAWm8hXHwDo+opKafXSqTapvmY+pE0HQ+V2IzeSj4MSZQEdBLiNVx1+1tps82UUB
RZ1yFy+AZZGsOJCiKcoZ40qGJ7QI42Rnp4zCjCohWTswYWb6IjkQkSGAven6HmjerQGauiRVihds
j6oaKyB7SOR84gJWHaXFejH/r1Wrx686GcdvuhZf20SqVy8f3tx6YE0rnai6RejgsgvtoUJ6SYIE
wtZnDz44xao5gM8RalOF7K29Ni7WGjExE+LePtmN/yhmTSQekS1b0Rs+oM+y3cQtSou8bqONzGW5
izFPXKVlqUloCY19WGmDBOqi22tpuajeiJRz0yn86tuNveM7Gu3LeLa5DH3xmMjKvU5sP7qA0x/3
EGW6nZGSkUdEmfsQAVc62yWPznUqZjI/nA78txiC6DQZ3rBrvS46KsJU3q10GLfMAcJLAbsSwWsF
XpIjili1VN70FXwwIw9xMTcGmigsRsla+xDUWBiNcjvnNpSPbDCqNTEY3pa1T7xLOy9ELwBH51gE
lXPlIT7HkzI6h2J0rQfweSQs1UgXekOEBwlvaZ9N2nru2CwSLdrah8wd9DHJw+ri6XyyVr3LMoap
gJG8yER1h0Zn9b1p291mFEl06ySIfH0Yp8886DCluAouFLwtsXW0n50Sq/APXtgR3xfV5TfWiP61
28r8acjKAltxaW4bkC+HGdL6EcezsyP9xTyWQ21tnCwMeNQgQl1RDdikJZbjuTW7O2m2O+pUqF/e
nDJMUZ+MsNowEIpvyDf6TLZhDBy9kk82ZtCV6yu1SSqaltr12nUtzJGdP5NpFbImWo1OwiqprYBs
9wVpEtwYEK+KLtf3ZibdR9OZ5QbzVsg7GL0V6IPw9ENn+SdzEPGHOcTPfdpPcwgDb30KHxMg9zKc
MmyJ23QIWM4FfrITMq0WHKLx1ARifCQONHiZ/KG+FfEcXfmTaD6HiU63Dlta4AtSRPu4RyE12sG8
g9vKvsLLmPmrwLiUzMPxw/gJexmHKwDJxKGUMEKRvDACBF2RAFJbh6Ir9wxzna3D6NwH0vYFG0+0
sY2xujXALB7w5ZM302Lt72q5DZvAehF9T/ycJZnON0G1ISqUL20m8fnkGRgCaSuWV40/H1Xsea9U
6tFeInJFo6HfqkFe+q5/cKhQVlPGshnT4rSRczwhyivPYZLN52TAIy8zH9qEaakgoiuNY5d4csUm
34yU/Co6eIrIGiLCDqaConCLlKz6BB8tF5s68ZE4gH8fzqHnTce4odoFyCDcu6pqh9sWZRih6BwH
hElm4kMyb/laI8je1I7hbQGViPuK5SYBKcjaZuZ25raaBvfK6XrjIAXohjadKwQkPmnF0HLM8WNo
WRDEc7Mre4noURXIGsYm3w0RvZO7+K1sNSfXoZb+QNiz6rxVL+cZQdLQbsGGJbdzVvKEjkskdvSv
lwT2BoKTcUju+aIHxzEY9VFUDutbkwrbQnbzrY47SsFC6/ExLtA2rHvqBb32m7LH5WUZ1Vksdfbw
veTOv5ffYqnEeQpTlKe1brd8kGJn0st/z4CJb+2lkmfxwtnkL/W99b3Shz1DlvZS/2vD787B0hNk
S3cAlTS56XNMDws6zr/FdY11CZHVY7E0GOp7r+FSmXEYLS2I/b0b6ZfGpFhaFFxIdCvh0rhoBWa4
cLVY+/EUNFsb0vA2ipkNBt9bHv97+2N5Ctpwh9UCj6XLBkXJYDshJOKCZ9y4QYY1klAS760usV4F
bJpXohy6i8OobT9hl545xOi3kBw91ORT4pao7w2RJAfW5RW5unV1X/SWs64SKmVjwmy0qiiFT6y1
G6QxNGmwADsXDA+IvhhjNJomrsM6jkzrk2ikXPeYBy8oVLznhmuAmmdpGbOleWSLRx+ZkR13HWew
65cm0ykXZu73ztP93oUGS0NaW3a2b5YmFeEpwFnLjc4NHWy9tLIEo3PZl/aWX3JpdGl52ea5z/nS
BrtLQ0z+uLeXRuSDdW4+Q8nN3t2lge6XVnpemupyaa/97532vDTd8dJ+B0sjTrgHPXm+tOfF0qgP
S8veLc37uLTx3feOnlBNtu9Lmz8vDX/KIV2EHX+K6B/77PfJQLYMCbDleAe5DA5E1webvz5Rv6cN
/7ge+PVApTbEPyw8T/40WQ5UG03OOPl79qAP84v90rwZL829vmnv0GGWt0Z+89ev6LAO+d0sm1dc
UhU9uHkB33zvp1dc5P6F2yXhniyT8D0nGLVbKyedbpBkzgJydlVfqanpyG4F/fNuybnb1gyXv82W
HO3VNCXhrkw1CgeMGaQWzqHNI0lUGKH2swyNT21Xu4+uF3Byu2Wl0XU5i7y/yyZFTFfVnMnczk6Y
JccjD2a+bkwHVq7n35PM5u8Hqil65yLd5Y7V7KZWN1d+JedXcjiwUOgwPw6N9PfdlBtPRaJhRnZl
huwZrbvIe2u+GqjvHmKEMm+oxMAx53pEyTUm6hne1/J1JA/n0998qD9vebh+rJcs12WKCgzNXz70
H+aXLeB6er3G2E+d75zKLDl2gmwKORnBVgjaLREQH2M6S1iPhSJsLZNe7gl6sT63hM+WazQR0ddp
6PWpyJ3pyvCt9uIzlH2hvquebeRXPaqdbW8Gc00NrO9V0cFUKYw646uZ2kvC+pQdzI7ZAezhlHhh
NzI8ZGBRWW27id/KDsRAgRzO5Zsic7ahdHBR68zL8wghBI+m9Ptjav7+yHK+P77i5UkWLM+07x/Y
PxrYP1YF//t/Zlpvuwywf7ht/pCG+umj7f61+iijt/zHSf1vP/frlD4wfzGZs0OV9PiC/pjB4Mtf
CGZgmwmGyF5SGPje/h/gn/cL1nKPXASPjALPY2P538tM6xfpwE/gkeD5wAKcf8RAWaq7Hw8rxv3c
JESYSB6zHrf57+9yzzGiJsdzvFdxn+0anqqrgQDCjUwyHxfOdPzh4/mTcvMPhyOv51gWVajHJwK3
4yfkSirGkN4twPCRtdE+Eln6gYmiuRsshg3jhJC/CJkvcloHJljAacBTxtCvf0bjna8RSNjItUIK
lr/5vX7eViy/l/ABgJqS7Yj0foIvLLJdDszC3zMeeO2o4smJx3XkzZJnhHNirFvtK1wUuzDJx008
XUvVm39Tiy/H9E/Xgq0MKmyTzbKN2/r31wKtrUtUdu+zFR6bPfa18OQjxHr867f6J1fc4a2ijrMD
tp/BT/W+x4eMgiX193YlDzLTn3yADQdNfBUAnFb/zQf7J+9JsgeyueJSgK786f5SQlnmmPrBPiDr
fTf6I/FqfS3+5lWWXdJPnxyCAbJEmFws6/+f7irBzIRhUkh5ERe8DbrKVZn390ORfPnHHx4Pduic
Ae8HpcFPLySNmU90uX3DBFl7YaTfdAJEMbPLi51mf/Nc/5MrBSPchoRkOygXzJ9ebOydqvJax9tX
ZBkz2GPKEA9ocooZCgXJ7Ie/fm8LRPQPn6IgHdl2OBHIRfnpWiXMuGciKr19Y4B9VkMFkYdF8H0O
HPxYFWRiEVbu7mLkU4e5SqudRRLyOxaEcqVLTHJ4WtTeLothQzBDaJHbASbFtf18Q/L6fGHMVdQb
Py4BOgDQR9RDl9StVD2DBCfzlQjabsb6JVN4QWbq3imiCe/++j3+Ye3P93zJsBWBwInyx/tRk+UL
oTDx9lEZi2MqDf84DdJce4N8MqZyV6dheyxV9M2z4xp5USYedeT4f/NR/9n9GnByM+OG9owx9vff
dHZaTinDPNjn7GOOTAFuStMNGLPimvjrN/zHVwoIukGE69s+oo+frykD41bjsfL3HjGf67H3mV1W
xSvSB7H961fizvzjDbvk+BArhPPL9n798x9KpqawbGbkrbd3kJuByTOSg+LEvyD8HO9dgxtBNN0j
Es1im/YdHq7ON5s1irwabnY16gN0Q+I/PBDUiJal+9Cj7HyTQ+Mf8FN1+dpuepY8beecEbZXV1lc
JOSExRPQe6tPx13OxcdHarEmLLz+aAaTfyB42cWShKvVaNpmo1QjtrZUMA2bflFbSIY14V53gmTE
gv67Jw3jtpTWCJ8hbkH2DaNAZuwnt6FZpG94pYujg3V7a+bBfJgCSTM2NABWm45VAxGyt1rwxucW
UIIR4umVAWNg3xThtZVOC53L3uZhXeBVStQaIzi4+rGvH5kp1swxyvrNj0zwt4wISFKbGlqaiq7Y
KwdSIoMyPyRmlz4YZt3c+iYrYPzE0GoyNeKFHLXdvNRAHa/BPoTPcTAn+4G5xxdXL4LD0LQ/Z0b6
qcwFGLOMwJGrtFO3dqDsG6+INxhUDrZjFIdysGxsiHD+7gEWMRK3Y9e/Mh27vZ0BwePdatx926hs
z9shBXJA4kkmCT6SmehWAhYSpsycUtM5wJYDQiTDiYbNPWQI0KPy2+eNHj4omfhMkLefKZdrNsi9
BbchJI5I2qLHv+q0n5jgD8/QUAlBKWTd4ihTZvBM2cbkHQtaB6iicI59j8lcU6yvlSudczO4xbZq
zJD1VASaaN3MPPoxQeE9WqWEz/abbFg4n1GgdqXP9RbtwMdHXDlpKm6mN0T2YYY3ByvZOrWUn+Na
TFf0P85nsCqsr+n849shaky58gfo4YiRTUj+HB4MmpUzMUrPCh0846Mi7862YQQNjDS+NDLlPXih
5I4PhrR9oCPKIJ/Eut4iGAhPBfl9jJO9b3OE0W9l0iJEG3beYbpnV5DOoO776SyyojnNbudWNN4g
00KX1IQY5+pesGQhV9AWxbtryyFYRRV8h8BRzVERZsFoMusPbOrHa3c2cAWkThTsK7xzCvFFUWz8
MrwhTzs64ICBjIwind831vihl8WPm9B+uzFTKCOZz4SJ7/rBak7ADxQhfWXxYJca7XMy7UYIFI80
WOMWnywRvvxuB21U0S5ouuCAqK7g+o7FJnJH7o8ctyKj5bxHdFbhKBxs37uyp+YDe32zTXpkCCpu
mtcgBBpIgWo3R8NSaJANIhAzclOSlTXjdTOAAm2aPOPTB0uAdL5kCDJO+AJLhUbfkREAnKR4M8nt
vCEHUx98W7EKsulymYFofTekhHPlXOKHEJnMIU0MRFITGWBMHyFFkMn6ZcCNeScCEqfhwhZ71fbY
EEVk7UjPAJdCDhP5udP1OFvOVSgYjo4eEwtFfuRqqE+RTHycoX5D9sisIYO3kQ9gNHyCpoDzRFnR
rZFN4oq9T/CG28Z+ErPsGH2QYM0AWAHdJJz6IFDSHGIaxu0oMesQ+RidkswaNm5NcYxvJr6K6uHF
9xUGqcrEtISubaX7vj8o2sXrLgcxtK4dPYMuTZxVBPiEbaOBw8IhlnYzklqzsuV809oNk8zUmx9E
47XX9Zwl72PCiWvCGljzmE+YCWXjpR0qfUwRWr/UiOdXfTYHT27jQClTk7EpJw+OSpC+MLFz91Vb
jIBow3Ydoe7Pi3skFjnq+MI9atZ7JDynm2iGhJb3vrGrbFd/kGkEiTyrsV3wXTOsFyy39rWTt9c6
jEEOkO+8HrUJPdCZrDMhuASKktOa71TuoWLOK72rnIA+24KvnYJUWqHiH+4hh5TJTjlIF/IO4Xda
srZziTPSnnykSJr3Pfq2xUv1rF0AEpblyq1GLnDtlN1dnbBsSbEfeZaB4YQTnNTZ8s2q4HgApBpt
lXEAsdxAZjSiDmARlMzOdhQadXWv7ZtG9+F9aaLbY6AKDMN3rp2K7X7gG3AibHfcad03r2EQkhIy
kbfFIhjpZePvUg3VCVyydl9KD6Mf2eHTDjN3ZkN5wWW7Zm+H3LKayvqJumy8E8gHDzm+gr1iNre2
OGxucCLVK6sxgoeY9/tZBXpQmwz5IJ+GW7gjx3kDhAfRSOVtgOkgCpQTG3Bo13wiYLtn78I+i5VF
xOH1aYhV+y7Y7ZjrxgtUT5b6NKJRLVkud+38bQIntYqSxUPu9W+YZasjfx3qB39s0QMoYJUyaDbt
lN9z9m8YMlo3fAmb/ZwCwAELmn0Wpt2cgD/hSOoZVVvTQsdhLLhLEtAsFuOvVabVFeFT4y0boedB
EBMVBcaTnWsQfjzkLy5m8l2L5xt1Z2yxQApdzZ2btaRkeE7zIFyEWUnbHKo6NVbkIZmHrsVVOk4t
i6ym74898Vmc8n0JaouYh/3QCFRuVe7uOVLIjVJsyVks5uepK8Slr/NkU7LZ/Vz5Trtt4MKHII+I
CuS0GNug+sYDCXcM3p7D7JrDU4QwGpLtKPWHymfprCoTeHLK4nwFWtSkZpTTjix30NZ5VRx10n6r
hKhOow6tB6RnzU6Z0yVRQ3aaZma/VWDjHbAsY3gesiz6JkG5b2OuzS0bdPPoySbcGWWg7meZR7u2
CL+qoOlvrNKIdnkCfsX1UzhdJOVlhxGl0l6nYJX6sEnhU5h3zez469aOBWuxYQRmL4F1Rk5UnlJ0
Jmt/FEjebLQf8GnmXTUm2ZVD6FG+6tiU6zUGWQ3sAg6gGEV+FZYi61Do8YkEbprvwxKEMxJl1GSx
e5U5/cukxuqazLebkUHnV1nUPQFPdo0QJF+iDsVNb5NiF4Rt+2a3SEUKsxmOhZz2WWU8QwwEPtbP
gICgB5WnKmTrHNcjkL/eLZ7GduxuwKthyOEheBjr6FSiFH5y6thflbEvNk0wqK9NqWee3BQFeEQq
uPZ9pDe14GzOKjcitaCM7ggELtfYMUkdKARkf9vMqw2DjOGC9+dTPZHJUxn9ORZDDo5bb6uYcxtx
QE2w27hhde0nBCbNDE87+Dn4TVvMadcCfQmvmSR3FPaS1Wi6sK4h+7F19wWsrvK5XTLha6/cDhl5
lW5y6LXVHTHdYlDEXohF2oOChN+dZx+r2S6R4KzQIPcBvLJKervJZSC8qmvDPwUVEgNhJ+i1wUSP
gM6aPoM+peWmbKJ6TymPUDsCC+XGabiPMeHubV5/pQr5pWtk+OIxmF7VaCNMjQ5pTucDUIGnqUND
0Q7APoz+2U/FcImHecNH+znooN/bsfHFT6pnYWfXrHMfooEnVFJYt1iPP6LsQ2l/2ENs6cnciR5J
RwLC3dQsVr1zIq1rA4LsOvf69pwr46y4gwDvBMjqtI0vbATZHsEu4ykFRace9rbbFJ9m+yujuHzn
I7dZW5pA9LypMecz7uUCtskjG3HCAdrySc3+s9uk/NO8ZXX4OlbyHBMy7AjZXbWwHdZ9rvCqFvFT
LALWDMUj6snP7CVQIzlLbEZ5Y7usGk0Bbg7NARtgDMGrLq0AIaDD3DiS+UXcCGiMutlpN7+H7SuP
eLjeGTscXT1tDL+RK3g9eHcHlndpHB7wKwy3ZRDJ26n22g+SKAKGZvIID6A4BYlcYrQ0/Hkdvme2
R2NOu//YNeCGliafr6wh3S/xTFpA0TrrKCzkTgVmfpqyHPhJqOOllHKbrWOje4hzWOztWKYb38Ii
HZTltXCwabXlSK1ShwHNvQadFdEitDoBKEymRh7xhlM0XxwFaGp9xyH9o+J607cSHW94D8h+bh1b
J2tXqNeBgMu2o84vXarPIoPfIUPO/DqioLcDmMr2NUENn7qpvCkgGqzKkeseGbWJGzNXxzieax76
5ZPZEYKq2LcCB61fUmuoNmDT6lVSvXuG88nNTQRUimf2VLdcNJU918LuL8QvFc8jw9AV8qIcQ0Nk
HRzSH7YgVAlabdr0LRn6bh87MdslBiInr1xseV5jsE7V1Laeei3xWO1ZL/BOyZslJnG4lVaD+qWw
gRbZef/NI/7wNqlGqjvXzncTdvedgYVrM5HeWdKz7FL6n5MuQ4ojSKhSqIvqaDBk7TcvcW1I1CFh
v2fE8tCgoYLzCStwiG7gcXa3bWPAheHs2DpB6F7jOIDWmo70zYmlmptZwDJVyZjtTJfm2F/CJRF4
btkXmjuRKBMvCotET7vjozBwSXglyFmtMFVHWD6/jLypk6c8APMjl1RYfU16gtHved6aN3UTQw1E
undCWVZO6CXYHolrc2pQW+FKvs5s33lurcp99kf5EY4WiUesRvdxbpuf4HZ2hxIF9UNdD+pdc29f
OuW713D/CFqzbWNfd/GwH4uRHBEYAzeyb4utwxiH1KoYvVyTqAheDRxV6r7WezIXEmwfdfbOtFgj
UZFJf53bLe6XPq77Y1vkJoj//PMEH38FlCf7EkZxuU0aa1rHilKoWxgOAUQMZtUptVJqgmhrSolG
wnVPteqmzz36Nhomd5vz9d0hg+qPS/7tVqfQBxRZJOzRZUq1mNUnz4uHDUDJu5hB1HoouOIzQW0H
MUhrNzJLYYGj+30l2uSabbE6piTDlYEedwFfdHopGDYQ9wbIVoq6UtrFdaB7Ctwyj1ErWBpTN6np
9Two4CDC3Rd5R6RlkU3bnlh4lntiOIAO9k+hH6Bf7SsMpAnVPA3Yg26F/ZqVkKrcsfs6BrZ+sbII
++ycXzdjHH7Kk/kr7bi6D0ipAuiiDHzuRt/urEwNV4bZPgkhP/Gy7alUwTF20R6TRliB8yAtXoWM
3AQguZYLpeIbFHPMhkrV2tuiN5kFFYbF1DFx1wjzuH2qqt7JuAoj5E7C+dRHmHC5BetPQ8pjOsSY
uvLLHuIu8MtuPaVuecesonyqDWIYVBDXb4hN7fuEjL8LsjR7G0+0hvA7EnXJRPDOjji4Zx7nrmvD
xt/p1BWcwxnHeeDhLq5775y1pTpDu8m2bjDCAxnRitRNSN4CurM9CrhyXbdoK/83eWeyHLeybudX
ueGBRwYjASSQQDg8qb6KrdhIJCcItuj7Hk/vD0WdbUl7n319LN8bdJiDE3FCWxSJAhKZ61/rW6bS
w8MYgApYWEwBF44O8TfKpkf6N8XOpwP6PsixaSZRVKFw2M/EQyM2B+64ZEDgr8mkFpeJ6RHMou/m
jMxltHRcM9pz+31xpV3oiyrzy93gm8EZ/TEwkfM8PIXMjGdCi1FUT5OhpbFUtmb3ZYyEfKWyojQO
GhaSbddD0Fya9qTudZppYsxSCktX1QbhO5i2Si3NYowwNvvNeDulWKuWicBMi1tsaCTOqCq5722Y
7QBTOOlNzXQrDJ+sfZfwdhwpw2BqckOUgjXTreKX1Cvxhjn6sHKGwV+LjLqeuC6sOy/OTuOmu3BS
vTokZAHpweTdwbOaTOdZlYJRxFDNb6GmGuAHSaMF6dX8K/9QdZcmWX4fz2unnqcXedbEmygr1JkV
uPoGdmTAMuc02UORF+ahsVJjPUms2CuZl95Ot7zuri/H6Sb2uvI2jE15LlJXrHuN1keRaSPFLxEq
e50UyU4v3KHinw7bVUn7KUUqIwEPlQrev3CKcWZOuFiXviKMFyqIbwsZaNEyacB4l8pHSx9LDDpx
zMsAQ29LZ7Bd1gkp3L54gsJlMDbuVXyrWH8u2tQhqJRZWrrwOExuWy61c8b7O4g3oVFde1bN6hVf
M7BOt24XDEsL/XJRuMI/7632Svrk9FFyumXtdfYCatsFgjuoa69f1p0321x1uQEMRJw5LnAld9BC
Q0qiW1wvmLBgwg6xVSw6t4zPLQANi7isv6oyjALiHia1pGlhP9kcpXZu5xhL0hvNundhkqipaa85
Uno8/ynpFDjM66Es+KloMMVcwO7GIl6j6bHYIn28TjVcUgqbp0U+9V/bMcDeR7UUSi3wG8cTVzUV
iTg9sYhkLW1QSQj8JmuyZIlFqjyYTniNh69dw5w5eBJk9JK7RV/RxZiuUXXac1VHxvOQK0p68Tan
OnvwUeGrFp2FFFo0p1JV7VYpC+edXwnnlUS3uwVbXHxD/ii+UGHQXPu909w7mHYuufKci5HuNnpX
qUv2cv0SmrOzSXn6VoLunibwq5076cOlNVHzuwD46T2jwbLDRy8vTjM6TWCjsOaJRVcrpTbgMYk6
9n6JRSjO3aZ5j6XQySDp3iRWNsm7HNhiRga7Ngv3jndpay0CCs7gu4wtx2Bqj6tp37hjAbo4FYxU
nQbCZa7S88aKozsclR61y055Vvt0Cnlinrh4ofY4FsVygO2xToKc79729bXVF3KbApu6RBZRfOva
Rb6oUfQspciDuuxlXQLZpZFcFjHLdEBpL5MeQOz0N5HH7y69JFk1NbGA3ozWnIC8ZVEV7+1U3WXN
4N5lQ5/x2vVBfgOzqNOV0qf7NBu+ES3ExNTExgYs3EqrY3InReMv8zEMD36OJsRAZ+8nofa17vHm
u1QXz7I7vMpgCqntHKB4BhJ6Oqeu0rciap9cDrOd1BBegsrcs4OlaCusUtpvRMNbEaOrQwTMoh0N
r4bTRAtZ9y3OKQ0exIKpinaR1+aYb4SGuWWBohHcQOGxTtn05XtaY/FghEFxQyVZmi9UYxOpLNKa
KTWCh+0tptZormoTWi8LmImX0y9KzPY+h8iK00q+Mj1ZHSA3CjD9YsRI75AbKX1kTdEr+57fa9oA
2MC0XLb0HZs4faFzO/TeedApEG6m0nzFgcmmFxofZVluBvwfZbG4o1ePxRKuCRJybHrmu7RjuBk9
7NVtxAyB1xt6yTewD+qedIw6YyKVnwM1VtcMPtXeNkzzTlhwzVe2pQXY1zTZY6RKavehG5185ham
2R7sUUOZlBQhcpqNaNdaKc9W1EGLW2mEp9+ATZh3oJPEV09ExXusMhBpjUt1FZhxWE4VlO9pUboy
fiVWImichRUkmIzchKlFvXOM2Y73Tm4/jkqqS2hZyXOiJg/F1Pcv2yGXwAdMEEI1IeWnyHJp6aMs
mXxZ7yJDJBoHJoA6VUdrXm7duOAryVCnUn+qYUfs+qrpCCc7gX0VC4ys+BRr/4p28jnwpW2MwAu/
itpt3vPMyL8yRPK+pX6aP2g8+2ut5spHXE5CaOwkd2MWTt+8MQ/uM9jJ5BdCr3kwKs1+QgWWj0k9
1uSEqNf2ZhCUrNnCTybQgoxb5FBoUvJKyaM1BcLDuzE5OP3QbZaZkJjLAU+ly5GEzVfNSoO9OYjx
vOp79yEC0rAUqs4XYnTCg43MbDPHaAosj5X3NCGy8ADkSfngZI13mNhrs6mekoreNh6ypk7rYON3
1i0vr+yty9r8CuCg2DJs0Eg1WBVozJBNkB5rjyFyD3QxbBRoNwJgEI0BW9yk0QU+DugdLPt4JPMi
vWJcRsxh8NG7LEpwkkVmpMUNxq+K7DEpcS6OhQgpjTo6N5o+2ct+dPZzmcAhlHnxSt07g8Ec4Hq5
xPcE/M5wwuSWSJsQK5zy+TkLhlOsZMgnZxAbzrcckwdj2Rklp2iw5JTWZGECKAewjvFCUqj/gmDd
XwnhlTcW1KA3q2yT80xkMUB2z353peWce00BFEsqTVsaeme+W3DW3uDI9BJket7i7vac+6iqarVI
TFXZKyecuTBjL6UHt8S0d9yq7ipgQHpbW6Q/yWFZFEBIrxbXWtXIr75K09fMr77qLqpoVrMj6Ubw
twBNfR1zrVXGV1Pbj08pRQY48tFOW/ZT8MgV0vu0qxtkPcvt6nTDMYCL3BI+iqm9KyZxiAICoaug
0QXzhsELL8ahsaAgMnVljfAzZ0NJT3MKI60iF4ZesemnklsnzWj3xDrMy8aAY+qS3CRv2ZUS7D23
hHEhWoVgp5oGfryt/KcWZn288qv6nm6Rgu44VQb7Lq3y64APytlIp5Z3NQPCcS1oWXtlayS7hRum
40sExAhxJSlUtCsU3YZLJsbjuOFujuotkOZZGSQYaS+Vm9mP0BFt2JJs+U99z+zv7GZ+s7l2v/Un
DdVeg2178NX4XFUx7eSKi7LgaM1zwh6J34Bhgm7YEAN55aJjD8xxqKBIpuS18nsPybKhJt0esYro
+pnVzCW8FTh1e2tShkP7MQq2sSAgwsDD5A9u9abrWlqnpZ6tC9+EmtjqKieRE5Cg29R69OLVkkyy
DC1jmfgNGTgFlmmdJl75UmHo460rdV7/jG7GU9KSyVL0jX1PizWvj8jn8JZWXhrvqiQ2X6OkEadj
JTMOuNOob8cuzbbYEu1lEtE+YScMgbgls33vtwzKFMO0K9tFzmQG2fI2qb36ZYoKnS2eoVXfQPqm
sOnZTeRB8W52untqadI9RLitKPwzNXofJKc1GJjV+Ti22opZLWf8Md7A4qA2gGnflrNNHqw4NRfv
pdOZwYJCw/AqcKzLhLnv1vBLH+t3SnDbqLVhRzQl6DbM7YNNVssnUoHjtQam/0WzkXZ04krwmvPX
1jKjO1MFidhNfe4i/sryHpw7qBg/1y+SIteufc3494wYf7a80HSLC4oXtwGaXM72iR8cC0EsFGXy
pTOf6RmecmK+Ujb4mKQpQt7bbFWxqmvRneg6XqV/b5iQf2WXwILCFHR2CuvOL/6eOePshO7gbEfb
by5du6h2XVUzRRCM7c1+EHDbA16tuYi6V/oY+VTbNt0UXUwyhk82LmDGOU6K2FkQh0oyBkzZYJub
nm0882ZDv8r83kSWSW0Faj+1pl1ly/zQywjcUw1sx+gYVVhogyZOrWTZ9jFkcADCBe/6REPYBrBN
MaS2CHEHrey5zKatWskOxbodyPwtrH7Ur8rQfoky6nKIGBHS0Vjwo5zeHVJxs1VqcMx/59IZ5p+s
SnQ9Yc81aQBAHVS/mNhSbiUun2S3joeSc4O4kliuc2Cl4z7TsSxRPLkbTfDpzIja8TSs23HjJmt2
AbPHoDcog/RdWEtBlzmLNrXXkQtgSkBtW+aDdjqIlvNuErMBNqNol0V4Zv/+05+NpL+4reDRMNCi
yVXHz+DMzrkfbr2Qd0nRuZW7FVVB/W3mdlOydKYhOCXweK0Pnb3qeDkvx7EODroQ7RsTr3Zfidmt
h+Bm6VnMI9ZDV83wbfz9T/dn2x4/nAQCgYPdxZn6y/X10fBs3U5dWKAIVYwiffcMqHb17/wzc9XX
ny6Ci9F6fgRY2vVf/p2CgbGsvcLdMv4cY17fStv1fdWuhiGxnw0O8KyRcbHMdC9b0RphX4dsQocV
wjg9XI3hXsJzjLHN8LAUdIxeNmZLvUjsTbChQnFbNHH99e8vjf7rtWG9FrpliSM+A+3nF5tmmZQT
ggT3HnloFoXJoHxSCcRBGgcgc3IM+erGl7kIc+jrM+c9NcQy6JLgMMqRsocqHF8t0iv/yf7rn5gq
27f84il9q3+1cn9GpIpluiwP/xw7dXhK0/bf/utTWvz3fzt9qvGEVT+atXn45r//YdZW9gnGZJMs
hUmYwgKh8kdhpXmCsxOlHaDJjKT6oZ3dtE6w7VuAVkw2GAYl7X+YtU3jhMgEa7uk7BJrqtT/FaiK
tH9eNBjoQL3C9/1rpgQ4ha+3NM5uUwRX3Dder1NEAHyeaH13UYBbzRl5eoC+da0PyHDVFCcLrSxP
R9xg+9z3yV0EyrogohysOG0qSNJMOMEvpmtSUNS8FJqv55sWqueK3Sozes+sF2XejPvU4O2R1MH4
bXCTequaQKzrUgQ7CoDLS50ulW8wXyvUujzYpjp6AUnC+BSmnLvPJhqszDBL12kWVIc07OTCIC7x
5OCKo0HHgAjoRYXbrercpOg3ksU2TuN0041dssiLnm1R75vRTV5mjbmgOs85m2hIgICZD82brxyY
4NAgjdsm0/LrZgR4cVpCz2Pb5BhnBUn+jefk3nYM5CuvvYkRMaMK9o0c+PN5a0/gENkjD2zvJSHR
uprwcZyWUVeshjqbHjTaftfD1Jg73YutQ6yC8baN4WOc1pTVmEs3AaVOoUwqgHPYqYVwSR0x3Sct
893eO7UiVTxT6tRx1iq0FUQmfRlB3F25taD5OsribwoU5jc/dNudkIVxrwKgGJByguwA1X/cTonb
wnKg/OilNVvvYJK8MrZwumOS3EyB970GrHkBjUa71bQULhNKp8ffaxP3fdQJvifDxOk/TLTqFAp2
8aQVYWwtDFyMSy1tmnUoKEFG6ua7hEVQkOE1q2ZdV4PGUdE0cKbZOi3wNoON+b8E6jPGGDla49o2
2vS97PkUVgYwgq9xKDHAAW8t/DsiLeymKQArMS5wQtaRkXH0kv10/Mt5R7J30zK4sozUgCdRzYpM
kfe0AWmQTNA8gvHK8wkc1jiTmF6VhXFV8SM+YfRsdUrZ6BDIxpIhOACEYY3dhdHXpOh6y/hX9gFz
oA3ATe99LGx+pjql9W7d6YGrLbE25AGAktK4VnbtPbmiJe1A0In/YQa1nqAmoMe7o8vGqNTnCGhT
r4TKqy84LZIKvZf6kQ02Amqc6XW5DmWCr4K+lOXgUU+E0YV9vpXrpIcTjFwcGPqpptbLSfBfRRyu
Xj1LG58mxq13VB3ScJ1ruvlOrarDI+1bjGG6Ka17jHwO+24zpLZxgezddOcpGxZzRaqucBZOYqA8
Ar+VO7Q5WI6GBtv0CpNREVK2WkFjGKOB81MZtAFKn1NZNwzzqQUyCy0FxcMsmqYWvXTgowyteAPa
mJOqDTmgNCkpolXpZ2BvNNrzDhRq+zVnKJcpyTC8GKKTeyxJ1otETtgJkTTXA2SZs6GlHHfSS3nF
RXHx9DjF8JUqWv8Jy3m4TwFD74uRGsPKaJmrJHbjXipE8Bvy8Sm/68TpeZn2hMa4mElzqkccCFYY
hUICUbbbFuuerNOsz/g3rlHABe4K960ycqCYQ6M1ZMHD4BnNon/2vajb2KU3XmD46K9IW0HvHa30
KnItq5kHVogFnGDlo1aNwKcbBj0ZsDSRn4FWFaue+ppHvkm6iwKBHh2Rweyly1BstmlkhX02MfNY
Am6z1mHnJGfNaFqPjvRVhGSNQokCTblkA+JzXcDRRaws4g4thagsex3L2qeOmVNqGBbJihw7nxrs
Hu8sitSwg9Lt0IKGRWs9FI53Rv9cgiCgCRqMykrVxZqrI56QXTHamW26FnXtEhJOvhBa75f+AHGj
k062YbQ4Uodi4TG2cYSepgVGGV/K8CU3Ankg88spvWsFR96BJF5khmsLdQUuUB7vjFCzVokV9Gur
hCHMo16tkevNRTbGalU2dDLa/iAfEr+mbCQMZLW1gMqBq0nCC2IEdIkLWweLDyEoYOqyEnmF0sw6
fwXu31tlVe4Myw5a/NbuA3nFjDC+1WsteNNV5gaIaNjNWmJU0EmHaEdgCkNLhtUzk752KFzqKCTA
4xySBM1uq6JPo3PfSqEv6GY/PdORVe+iOA2vaf2J9igmX0jyuBjRI57ZBc5444H3tkuVDAYw9K7R
/jLRRYg8DwtwWboiPThNPWaw+JrhazTkwXsUxf51G4HoMYqBqkRN9O6z38Mz1OpKguWA0tWnqf2N
hkw4WmJyiNuN6U7KZlJYJXRtk8FM0xchU58v6WAqfCoTqV9z6s+6SpMXdhkogy503aNaknK8id70
vYvtZ4PPztw3Wgf52NJpmFYE4q8tBkfYbL1AByQYVG8kDkLmqaqbnjQmInM8dhJUYMY51R5Aes+C
ELekPwK3BT4szyYn7R4Mip43OLJbFLOUgZSb0pbhh06AT8Lz4iVAzuxQxmZxQTuXQu91S+PNROm9
wBc8rON6BFwkHEx5ZevUL1CDkAqnDOZSX2qHyZnat9RhSc4pJ7mpMN8wMJJUt5rKdw5oBvGTEWJT
5hwEsomUqkDvTKpwU1qWufQr28TkzRlvwWSiPVW9rjPGBpXjaqLdFmYUbulIYKXT+Dv7kJjrGXO+
4SpC2t1i4YsOte2UXM2mvPN6GlVQ4A1o96O3g/VbX/dWNW00x1O3deTObqTe3E0pxlVU0/DUoUQy
wJS3rzuAkQPTSB7tyFakzg3/+bg3/f85Rvkd7/q3m/TlTDsMfTA3P+3Nhc4BVP64PXdISjCDcJkZ
fGzCezKY/+O/zBt3neCXsJ05L/Uj8hAurMvZkvMs0SZifpzn6g8uLKXSHHF1Fxc1uFhbcPz8BXH4
d8hD/VcxiTwmzfQKsCdHBDJ2c8bwhxN9G9jMhNNoZCWryjv6Z9R9CdP83DGOLbluNTw0mnieAT9v
tDFnj31bU39OQreF6NPna9VBaGcc6d5XmJQOXVr4Kx3h+xVjZvuRb/5Pu8/+Xz0usrCa5CsRHEyi
8gaDLMCs//zwePb0Conzx3vyL7/Bx+nRgTMMQZP4rz1LU8dA7/fb0zjhMDlnE5kjcKrkXPePYnN1
Qj6LwIMpdZDjznzn/uP2NE746Tg6QrQhoGuBbvkXbk8Snj+JLX8cHo8EmB/uS5k0eazDW98lvUpn
bgPtcZA2fHfpFGlJY6ibTadKy5wt+/76IBpLHXLDCdpFZzfRRV8gSNE4wsZppTCHf7U0IIS164xf
iyhlh5fRGVjQFZPyMgxh1V2nRVR/UbHAdqcowaHXS0GdLMEy+hpQ7k6nisoUHmPniODEc0e1X7Hv
8lyeQ5gzD8mg90+dN2YUrsZWvQZlUGzzFEfIYrJC2CtJV9tih6HUfsRvgqHIzN1h3I6iIZRpJElX
Usyoedqy5NTHVLLQAUlGjh1+IZZi+UtYyuWtpdr0BiL9gGMADvpyILTzwMEmvRoGfWTzSdSSYUA0
JcnGGMvAZjgTiIcyGmN28qZWwRiNG3U9UBeJ0kle/4U44XBwo1QedLoJri1KO9Yz7+YGjE77TXiV
dcU2JL2mb8jeao10d6CcsfjidMcTbivvrCPDB7oMLd8kGbMybELIm66t0nbhG23wMs98IPlzGHfX
CTB2cAFxP50Wmm2+91433IjSn95Cth/dwmPg/DAZsbx02xEodVBHHi8+Gfl3SiYd9JQ2ba4CnCMX
YxQNBJIGQNOLliDKNk5gRgJr7vo7pdvaVyoqIbzYvRJ3QAaxP7p2OcZr0jHiyqGG5jnS+3KLNbZc
6kYT+7jo/PoKRj7WirzIUrVOMYVCRo0batCg4S1Ks8p2CmpcvafNCw9prGfNI90+bBQBkdZvfuoN
txapElCRsiFOCguQFITXOud5UeEh8vNsdhsgL27jMqrdS8sFgbBuxgiSLCMynK2jluTheT+pIaST
lFDBmi5zzdyk9Ie8ZWzh5AqmqIVLAe/QtLZxNuhLzU3ZczVWVTwClQnumVPj06UGMrtMrcEi/FWk
I8VUfZL2OytTHM65sIxqQ0glXL8O7NfS5B8C1WiNwbWlByWGe6DY92lteu+YbdR4qBLDewOf2uzI
trX6S5F0KAgBAJlua5KB55YarCbfqMoMQLkymz9r3SDzyNklzj7o+/qltQl+aFVBYawIU/5/zcTl
jDrtPF53LbhxmU9TdIVH0m5xnWAhjvoxvSsbX76OjCUfBh9a46KCx1uAzWIEqIvc2kRCi+WSAVe/
LwIKOID92YoqUw15a27QShxaqONGX0IVazejK0ZazCH7v+Hfto1VXLv62lG07Sy6oVFfUNLrfWd3
dTdT/IYbDafms1tZ9beIU9WFHKZpY7V1k5OCG2x8/pXbfdGQhb/1lYUp1uqhgnKe3NCXJXAUORGe
+rDzujVRqybEgRXItVFktBdrnNeosUK7+YZvIj7N9NgK1nZkc/aOIGvuKTRknKdTtIx7NoNTmMA9
o7zXwrVAxsle23XevbgTWDrQUAw9lw0Wh/MkTsZr250CZ5NzvvfWJDCGbYljekttPBGKIu5h+vAx
kqGJp9dGw2yzNhqG9CJtNNoTA//crS0G7uCS1HWfFuFN12k0ZSSdre9Fb087dPDqOnR6YFBgoeAK
9pm28vM2u8/zQK27qQ+I0XnebdOy5OCv9idaBMGkETAtQkQ8wSSaLEb0CHwnv4wSDqV16WMGBb9H
ZqWaXtvRpLplDIJc38ZxjrXO7kY++zYuAnMhe7+Y7XLxA5sWoz/QW25iN6audsEa3tzx6QxkIkdf
v8TcjZchacrxoFkDzpDeqU1yhA7JMcxFLZYE1J+CezXKn6Fv2beNbLkJS9G6lDz3ZfSo57K4t0o8
DIuyrHIEiFY2FnPGCUgYLW70wzUKPtXWKERBqEGP4mvDydOGj8Rk0fEFzE1Tg6jEPHvkJNBx+ae1
ChscP3YxdsPOSHpTMjAZa/OyKIvq3J9CjwZFmgvpz/AN96IqVfI8BH7wHiA6rYpahLcc3zgJurAe
4PcksbONSvI+zHJztfZGHdsUmki4k5mAeKTl5XCQHXbYhTl6yaHtO3vCfZ2k9TLJm/xCEG6oV7oP
+q9zOJD0RWlOK23UYoK5uKN1xAHSxS0VekMKjWdTmmZ0ZlY6ZDQjR3UUhRlsu+GyAqXjLwJw6bhm
SKueYdEs1m1KWwj+WUnCr6QU+VmVcUYy2TylcadvCbvSfLsA0VV+KWAJfKO2rSd0wY6D819jBYs6
FmDQcgBwK79RaBF1bOXfMAhTLyWbeqdAgzTQyewFjfcPKEjuaUM0jBgqph08mW5yCMwe4BQWizJe
hTSdCvx8U8Y6ZGnbSr825/CZTlzMEd30mvA24EUdNrdJllDJPeUzLY14m8ww22WMeN4lL58tTjlw
iq79pKreXk20LzIXNn1gHHV9Z+J03jmxpXh0kwS/AJbGtzJ0vW4Jhtq9anUo33HStwORLqc46B4M
TXsMW8ChuKbQ00KwfJCEhrPJLMHx0rNF+sSDqmyxkK8J15X4qwYfHVICLSNzaaP+MsTR9G0djS5T
n7CM91NY59dGJJPDwK125mAiO53cUJ62QUswOyza+t7lPlvVVkYGG+I5zWHAry5lmjjXEPDULmqa
TF/KwmNKO2jGq8sNg/6uZ1/oBMR1lkyhXKexL3fCaoo7wahv27d8/LlbBvc41FW66I14Iuk8Z4DJ
NaiLLHbtFz1sqGgg0kdosGqKx6YiGj815O9Lo65fBl8vrggQD+jVERXjfRz5F7VVKww89E73lsCX
rSUFTmhM4uoxncxoXBLuHu5sGXJOt/rUf/OCMqDlQTPPgHoobB0047Zk3xpC7U3etg+dHBXHmtK5
0aTJrJlMtv+gCE+XaAvd8KjZgfYYt7LCrdtE1Eu4kb0NnEJdusI2DwDm4nd+3uoK7XHEStmGqCHF
WLM9CyuIJR3GvVt37NNyEdU9oq2JZEH1FGHXL45fORuF0ejrRACDcGSWPs0oHAoW67gncFN7gJK9
ijzt0ihNf8tH1Z/paASsDqFXfQkrokFsX3C2AQ9NWKkMZg7JumjpF4RPrbX5tm0wwO4x/tMu6bi0
yeE9DvSLuijkN0P1nb8wGKaM9LSmnb4YKsdnEG9Uzmnoqyld5phBm1XXu9TxOJOYzGVrlDYt2GNf
PfRI/tGqCgP6GsMp8c5DfHlIoTCe9twh7rTMjbB58gPFS623HP067hTXv3Za2RNfiNqdMaTJVymD
8rooE2oFK85D19AnXMxbnb/UDKGYjVvOpT7Lv+FRCeYuQBXmvZuxABq051B1iHAM6Bi3aMgUicRQ
VROL8I86s37UnJ2j/tzPUjQSPKo0TFkU6uSoVudH5do4qth8Cj5RXRo7t7beODjujaJcTUflG2FO
vkep5hIvczX9DrbCSAYaudw5KufUZvImj4+KujsAUEVrKocCM0yEHls3ARh8hHgDVv51M4vz41Gn
Z485AbVzwvU0S/itA5G1Atp3RqudY2/Go9ovZ+HfDRxU9eM0wD4OBuYRAXZwpgXselGkMaUzRRiO
EwWQ29p70pJSwkZc7QnDMnuYupL4jpcN60qZPCZyHlNwZzOxwOqYP5nHOUbU+ckae/awQIYarnKR
UKOZHacf4jgJ4a6iH2kej3hI/XtzHpnEx+nJ+DFJOU5VquOERR2nLeiZTDn0eQhTHOcxpesl7zk0
xOvKTJjXJCJGY/RKGj8j+nEVeRDozox4mnnYY3sQv5eeYAe4GDFDU4nCYKidBPficVpkzYOjYB4h
xcdp0jAPlrRGZ8R0nDaRMmPyRCOOdtsd51HOPJpiPseUyjhOrBjNe4d8HmNR8cimeZK6f82bm/Ci
ifZ36nh5RkROMESnT8vcCq1ul11JXI8pyLD2K6Nc2wbDsUVGHH0voyBCe1Xt2s1pg2vHuj3nh5YH
iaX2nn1AuXbpY9wgtpsaD02ChY48B10O4ACXkfIhfANTuM5li1smNUmTLjyG+wucqeEXJaZkjfEf
mpoFVORUEKlfs4Pz1obtPbNPxbfBM7lGaAKWSRrn0ajS5nkUiK8LLdS9lT8a8aNf5+qLP+kQ3Dgd
RIc+15LtxOxlCdV1uB3omxvx6z3osL2/wAPhuTQGJi6ebQ0Hp+z6nSwS/9S2i5jrbocHIu0uUyYV
Wts8Fsa3spoUa1SY2/MOPTU3DCpwlyopKTBr/IjdbByKZ4slZheyLV3HPDiE5sEjcYw2ORxXeMrI
HYYRbXjmlOxz0qzhQqSAp+hAdTZs4ewr2x7kjZxyc8/ATLvKaxJQNOrVIwlUu7ule97vF6y8xt72
HWetICDcMiLzHgLbmFjavBbyj+tjDKpbQqKLJBPpRTYWwcH0sHB20qD3tnQcgqemLQgeaGa7C8LA
vAgNCi8XHkTKyyopfbisItWYQ7Zq76X+WOMKiZqb0UjCuzYhXQtr0Hrh2dWv9KBy30oYLpvKpUNy
wdQywMPWS/2b0eTs6vU42lulHZ3j+CCfLzq0jLRhuha2eLcXrZNG+yRrg1XLRHHrOWW6iF1t2BuF
TUtrIodTLeGXjUlQwyWhUJctq5/bawta8reKVx1yNMkoWKb0LENtSW4o4nVum4A0A+19EI8JNff2
hj5HsJ2mMZwD4tDn0tyeyiGpguxWT/VoY8uO9nhpvCsOg7yVy7iuV0OrNWejHBQ9UrIi7Bs7GYM5
2VMXTPUd/ISSnHvb5Q29b8O4/G8czgnXZGayM0eLHU1SDVTD2lHeglkLrEvo2FhNEzcS9fI/RNL+
D/CcfFdDZ27fn3p8/pB25z891kTd5v9n/9E/RLm//kY/FQO9cF5r5pohP8yzH1VFdqS/yJDHH+lY
SvR33yF5oruofX2j5Ay1EMQaFFD8SfMX8nOSZ/73P1bu3IEGaxBMxfELnRHZ84cr9M+uwd//en9u
TPrz9/npF3h6TUP6KeqmCl+any6BNRtnfpJi/8k1+OVb/K9roFsnyrJw4sBg+/j69Rq48H9m093H
n35c8090DWaDz29eA8PmPmCU7nIV/uIauAbQyXlGAaju+PXprgHjIiYxMynwt+4FQ50wCOI6gOA4
fmHl+uF5cO0TXWDYYhLw8YX18HM9D3A5+ZF/7xpYJ1B5jwbTj2vw85rg8MfCRbZzP/6hT/Qg6PZH
UdpvPw36CeVoDqhRZoPz1y9XwKBCTed5EJ/uCihXYKTCE/5bdwArIsu+wb30l6uBkifC4sxrG8bH
U/Dp3grzZTBmj+1vXQZejjZne8iqYDTnL77hD4uBgqmLZY/p2/erxIz4cy0GPA8OSFjzf3OX8M/f
kOrEYTwNcZj19ccr4J5gwp6fk++vxo/l9zOtCCbA1d+9DdwTpv06M9iff3lemVIYUoBpPn59uneB
TkPo7y4Fpn7C0NtiNfzLpVDNyGmsyuwRP+tF+P5O+N1domGeULqqGzP6+vj186PAW9GycQkYHOKP
X59wMZAzK/y3VkRdnEhJ16ea2wJ+XAjsEykcgwvAajl/fboXoz67JH7zt+cWsEyHphDr+83+87ZA
OSf0qtKlAC7t+PUZN8k4o8zfXhBt4PS6w4rw/Rfl2frhZnAldbFcJjIRH18f1/0TvRUkpq/fvQi6
eyLZHs7GsY/f8pebYT4pgFfhbP3x9en2SB8Guz8Zmf7V07MhaVCXiATmP85EP98MJt3rrBgWPqWP
r0+3STraBc3ffj/wAuAIrRMK/eMX/fGh4EihmHuyX/zjjz/ZZpETtCKH9PuLJB0UHJ/Nn1+Qs4SA
CmsQnf24AJ9udSTL+6dM2L/8NIgTC6sgJHPrj4/5h7vAYWmkRYFU1/dF49OtChzrxO8eF3DI0ouB
YGaw8v/w2yvrhA2Cw+/+fS34dLfArCLxDPxf2ChgQ5/dor+8GfUT+P28gP+xmf58H78yZuP0b20S
0RItGmuM/8nc1famDQPhvxLxA1CzboV+oFJVpNF1sGqj2ucrsXAghMoJm7Jfv8eOHWISKOX4AN94
e3y++HznezMqrNtkoAeN8AV7LiyEUnFeHBOur3BDDpcJcCRifkgWblWL/X4XLXGQk44OROZ1cYdH
nGR0ISlrJYRhF05ZeFJ13Wt9I8DscU/RpyvL5gsyDZ0LsfRkIF99LtZViKYZWNnrMsEeiMMgcsZv
rL7f4cBtF7O/xmnSisjlCQFalXCZgJ3AOA/C9ugSMt/hWED8yR2pL04fICm/cZfXh00Cvd8hfISE
fU8I+r3ubQ/q9rOzFz+wBI4QmCpS+SBR62FilLHIzAouo2/v/sCF8JoANjT3GA06OgTp/XBavIkS
WqDKCc0e8f7OExMTPqx96cKJZhz7dzvB5tDeWG5W7sNRLBSpmSzMF4UlU/ckGHTu00gqCp4VRSKT
zRDilqBBxyO3tgcexEdr8FUdtozKcWFR/UiqDlsGeLiwI1IFpVQHDktXKRsZN2HMJCWtnC4dktwh
juzNUC2/0x7oE6kUQf6lzyT4OiHG3Bk8YZ0mO8DGO8cF/k7LTFL0V4g3R6WRUl0k5D7QInYaS8YU
yaJdhkr3Gpf8H1EM8h2hmnJ7KOMCP2+izUwKpQoP/OZa3/XFB08X9OpwDNXlKYoL/JMWhARE8pI+
0PbJ1DYyl/eveLmMvQ3Lmr1coqe0ipNgQtGmzhFrTnLBX/KcVNvWAheUNle4+L9RF3rgbk4mz8eE
zRzNZHLlrXHrjuTS/nWzAHrumKDXYRUHZWOvPYqrMDMXF1qZVpQGqOMNJugd8Iqn+5gleJv58whR
Kg7zkD0eLljZr56qHBLuMOP431r55oB1LeCcxwWfKtQA+Cto67fggg8pgpVkHgehsDoY0R+RxI5o
o0u0jwReTvfZ6epkghH0o3ZIFt2GKLgzGVOq+dQCfgYFPhZz2DhUeFJhPerw+XBpH4pE7jJd17Qj
msuGruQNGakObst59JpiD/FuWT5zG32QkvI8zhqF/9v0Hy6XjJ5BDffu6rQjnEHTfIMq2It/hiU0
FRCt+a6Nv00I4XLo2Bp35rNu34+Ce+iL4b6VDN8rCn366AKBYzeSF0LdVOHwfNvOm1Wea/MU6vJX
2/7mH7H1L2aJIHX3HwAA//8=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</xdr:colOff>
      <xdr:row>5</xdr:row>
      <xdr:rowOff>66675</xdr:rowOff>
    </xdr:from>
    <xdr:to>
      <xdr:col>8</xdr:col>
      <xdr:colOff>180975</xdr:colOff>
      <xdr:row>28</xdr:row>
      <xdr:rowOff>19050</xdr:rowOff>
    </xdr:to>
    <mc:AlternateContent xmlns:mc="http://schemas.openxmlformats.org/markup-compatibility/2006">
      <mc:Choice xmlns:cx4="http://schemas.microsoft.com/office/drawing/2016/5/10/chartex" xmlns="" Requires="cx4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C583005A-FD41-42F4-A9A3-4F302C13704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2" name="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SpPr>
              <a:spLocks noTextEdit="1"/>
            </xdr:cNvSpPr>
          </xdr:nvSpPr>
          <xdr:spPr>
            <a:xfrm>
              <a:off x="514350" y="1685925"/>
              <a:ext cx="7867650" cy="4333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76200</xdr:colOff>
      <xdr:row>5</xdr:row>
      <xdr:rowOff>104775</xdr:rowOff>
    </xdr:from>
    <xdr:to>
      <xdr:col>14</xdr:col>
      <xdr:colOff>438150</xdr:colOff>
      <xdr:row>29</xdr:row>
      <xdr:rowOff>161925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D694786-A00B-4EDF-9370-E55539E12D6F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312965</xdr:colOff>
      <xdr:row>32</xdr:row>
      <xdr:rowOff>25851</xdr:rowOff>
    </xdr:from>
    <xdr:to>
      <xdr:col>24</xdr:col>
      <xdr:colOff>149679</xdr:colOff>
      <xdr:row>53</xdr:row>
      <xdr:rowOff>149678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266BA88-7FF7-472A-814C-BCC005C6C5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219074</xdr:colOff>
      <xdr:row>28</xdr:row>
      <xdr:rowOff>161924</xdr:rowOff>
    </xdr:from>
    <xdr:to>
      <xdr:col>8</xdr:col>
      <xdr:colOff>204107</xdr:colOff>
      <xdr:row>47</xdr:row>
      <xdr:rowOff>122464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B49A5A0-A8B4-471B-A41B-889578847E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504825</xdr:colOff>
      <xdr:row>5</xdr:row>
      <xdr:rowOff>0</xdr:rowOff>
    </xdr:from>
    <xdr:to>
      <xdr:col>24</xdr:col>
      <xdr:colOff>152400</xdr:colOff>
      <xdr:row>28</xdr:row>
      <xdr:rowOff>76200</xdr:rowOff>
    </xdr:to>
    <xdr:graphicFrame macro="">
      <xdr:nvGraphicFramePr>
        <xdr:cNvPr id="6" name="Chart 11">
          <a:extLst>
            <a:ext uri="{FF2B5EF4-FFF2-40B4-BE49-F238E27FC236}">
              <a16:creationId xmlns:a16="http://schemas.microsoft.com/office/drawing/2014/main" id="{D6DF63A3-52C2-47BA-8956-74BC8FED2A9C}"/>
            </a:ext>
            <a:ext uri="{147F2762-F138-4A5C-976F-8EAC2B608ADB}">
              <a16:predDERef xmlns:a16="http://schemas.microsoft.com/office/drawing/2014/main" pred="{AB49A5A0-A8B4-471B-A41B-889578847E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176892</xdr:colOff>
      <xdr:row>48</xdr:row>
      <xdr:rowOff>40822</xdr:rowOff>
    </xdr:from>
    <xdr:to>
      <xdr:col>8</xdr:col>
      <xdr:colOff>190500</xdr:colOff>
      <xdr:row>65</xdr:row>
      <xdr:rowOff>108858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CDBCB0A1-D769-44F5-A635-D4495C9A88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044C8E4-68FA-4915-9BAD-5D1BA07353AF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D62CDB-BFB3-49A1-8A38-3698A9ED4CEE}" name="MARK" displayName="MARK" ref="A1:R790" totalsRowShown="0" headerRowDxfId="58" dataDxfId="57" tableBorderDxfId="56">
  <autoFilter ref="A1:R790" xr:uid="{A4D62CDB-BFB3-49A1-8A38-3698A9ED4CEE}"/>
  <tableColumns count="18">
    <tableColumn id="1" xr3:uid="{1B49F8AF-E937-4634-8AC0-C12982C87E1E}" name="Sr no" dataDxfId="55">
      <calculatedColumnFormula>ROW()-1</calculatedColumnFormula>
    </tableColumn>
    <tableColumn id="2" xr3:uid="{6F24136F-C4CC-464F-A889-9ECFC3C3BA9F}" name="Date" dataDxfId="54"/>
    <tableColumn id="3" xr3:uid="{BC60BEA6-3CE6-41D1-A666-E6322BFE1860}" name="Company Name" dataDxfId="53"/>
    <tableColumn id="4" xr3:uid="{F30BBF60-D9F0-4FE2-90D6-6A1C340207B4}" name="Location" dataDxfId="52"/>
    <tableColumn id="5" xr3:uid="{25D2BE7D-93BE-4957-AF59-1D9E4019C5A1}" name="States" dataDxfId="51"/>
    <tableColumn id="6" xr3:uid="{3EFDBE94-4E0A-427A-965A-42F2326195F5}" name="Product Type" dataDxfId="50"/>
    <tableColumn id="7" xr3:uid="{867E230A-5E00-42CF-9EAB-B257D6AE83E8}" name="Capacity / Specs" dataDxfId="49"/>
    <tableColumn id="8" xr3:uid="{EFF6C096-CF04-477C-B75D-B7C2F84D9A44}" name="Phone" dataDxfId="48"/>
    <tableColumn id="9" xr3:uid="{D56174D5-5D42-4045-92B3-9AA9DFE0E117}" name="Email" dataDxfId="47"/>
    <tableColumn id="10" xr3:uid="{0DB05332-7982-40C7-B322-0AA8794F5DDA}" name="Inquiry Status" dataDxfId="46"/>
    <tableColumn id="11" xr3:uid="{0E49BEC9-8370-4060-80DA-0101D83E85D6}" name="Contact Person" dataDxfId="45"/>
    <tableColumn id="12" xr3:uid="{05A80F56-E801-4083-99F1-2A129D5092E2}" name="Lead Source" dataDxfId="44"/>
    <tableColumn id="13" xr3:uid="{997B6254-6850-4476-A42F-CD93F213F9A8}" name="Lead Owner" dataDxfId="43"/>
    <tableColumn id="14" xr3:uid="{AE769897-8F08-4E0B-883F-FEAF6269FEAF}" name="Quotation No" dataDxfId="42"/>
    <tableColumn id="15" xr3:uid="{E0F12F15-AEB7-492D-8898-085DED1A2A9B}" name="Quotation Date" dataDxfId="41"/>
    <tableColumn id="16" xr3:uid="{1691A97E-AE15-45A1-9014-C092A9D67452}" name="Expected Order Value" dataDxfId="40"/>
    <tableColumn id="17" xr3:uid="{A89BC539-14E7-4F3C-B2CC-C1B76FFBF466}" name="Quotation Status  " dataDxfId="39"/>
    <tableColumn id="18" xr3:uid="{426DF70E-1244-4990-895F-E6B0A5492BCF}" name="Order loss Analysis" dataDxfId="3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4" displayName="Table4" ref="C2:D33" totalsRowCount="1" headerRowDxfId="37">
  <autoFilter ref="C2:D32" xr:uid="{00000000-0009-0000-0100-000004000000}"/>
  <tableColumns count="2">
    <tableColumn id="1" xr3:uid="{00000000-0010-0000-0200-000001000000}" name="STATES" totalsRowLabel="TOTAL LEADS"/>
    <tableColumn id="2" xr3:uid="{00000000-0010-0000-0200-000002000000}" name="No" totalsRowFunction="sum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99A564-3C8B-414A-9B58-FF7EB161D0DA}" name="QUOT" displayName="QUOT" ref="G25:H33" totalsRowShown="0" headerRowDxfId="36" headerRowBorderDxfId="34" tableBorderDxfId="35" totalsRowBorderDxfId="33">
  <autoFilter ref="G25:H33" xr:uid="{D599A564-3C8B-414A-9B58-FF7EB161D0DA}"/>
  <tableColumns count="2">
    <tableColumn id="1" xr3:uid="{34D274D3-F4F0-494D-9827-56F7937DF221}" name="Quotation Status" dataDxfId="32"/>
    <tableColumn id="2" xr3:uid="{3C9D920A-560D-4FB7-9188-44A0E56DC55C}" name="NOS" dataDxfId="31">
      <calculatedColumnFormula>COUNTIF('Lead Tracker'!Q:Q, G26)</calculatedColumnFormula>
    </tableColumn>
  </tableColumns>
  <tableStyleInfo name="TableStyleMedium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FD17EF-DEFA-4919-A26E-BAC5E269BC04}" name="INQ" displayName="INQ" ref="G10:G20" totalsRowShown="0" headerRowDxfId="30" dataDxfId="29" tableBorderDxfId="28">
  <autoFilter ref="G10:G20" xr:uid="{21FD17EF-DEFA-4919-A26E-BAC5E269BC04}"/>
  <tableColumns count="1">
    <tableColumn id="1" xr3:uid="{53AAD3CA-F9AE-47DF-94AF-21115BD430EF}" name="INQUIR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2EF3C0-319C-499D-822D-8ABBD1C2D4BA}" name="LO" displayName="LO" ref="K2:K7" totalsRowShown="0" headerRowDxfId="26" dataDxfId="25" headerRowBorderDxfId="23" tableBorderDxfId="24" totalsRowBorderDxfId="22">
  <autoFilter ref="K2:K7" xr:uid="{D42EF3C0-319C-499D-822D-8ABBD1C2D4BA}"/>
  <tableColumns count="1">
    <tableColumn id="1" xr3:uid="{F0D050A8-155F-4E46-A3B2-1F8F181C3DA5}" name="LEAD OWNER" dataDxfId="21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358F12C-C8D7-436C-874B-CA0E44417932}" name="Table9" displayName="Table9" ref="G2:G8" totalsRowShown="0" headerRowDxfId="20" headerRowBorderDxfId="18" tableBorderDxfId="19" totalsRowBorderDxfId="17">
  <autoFilter ref="G2:G8" xr:uid="{B358F12C-C8D7-436C-874B-CA0E44417932}"/>
  <tableColumns count="1">
    <tableColumn id="1" xr3:uid="{412496F6-BF4B-4F15-95DB-A90D9E54930B}" name="SALES OVERVIEW" dataDxfId="16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AF42B0-5DB6-47C7-9567-56EF2CE76648}" name="Table2" displayName="Table2" ref="K20:L33" totalsRowShown="0">
  <autoFilter ref="K20:L33" xr:uid="{44AF42B0-5DB6-47C7-9567-56EF2CE76648}"/>
  <tableColumns count="2">
    <tableColumn id="1" xr3:uid="{7E7ABC71-BB9D-43B9-8C83-36C6DBFB4563}" name="TYPES OF CRANES" dataDxfId="15"/>
    <tableColumn id="2" xr3:uid="{EB4BD1E4-4D9E-4F76-BFB3-86DC4FE29FC4}" name="NOS">
      <calculatedColumnFormula>COUNTIF('Lead Tracker'!F:F, K21)</calculatedColumnFormula>
    </tableColumn>
  </tableColumns>
  <tableStyleInfo name="TableStyleMedium10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C275EA-6D22-4543-8805-597B7FF40D63}" name="Table3" displayName="Table3" ref="N3:P10" totalsRowShown="0" headerRowDxfId="14" headerRowBorderDxfId="12" tableBorderDxfId="13" totalsRowBorderDxfId="11">
  <autoFilter ref="N3:P10" xr:uid="{E8C275EA-6D22-4543-8805-597B7FF40D63}"/>
  <tableColumns count="3">
    <tableColumn id="1" xr3:uid="{5DD08B01-F74F-4A96-9C4F-A0FD696F7FFC}" name="Day" dataDxfId="10"/>
    <tableColumn id="2" xr3:uid="{C3337624-BF80-4A68-BA35-042B64702E9E}" name="NOS" dataDxfId="9"/>
    <tableColumn id="3" xr3:uid="{0E3C6EB3-3788-46C4-9B5B-FB71CAD329B4}" name="Amount Formula" dataDxfId="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108235-89C6-4022-B6B5-0A690E590CE2}" name="Table5" displayName="Table5" ref="R3:T16" totalsRowShown="0" headerRowDxfId="7" dataDxfId="6" headerRowBorderDxfId="4" tableBorderDxfId="5" totalsRowBorderDxfId="3">
  <autoFilter ref="R3:T16" xr:uid="{EE108235-89C6-4022-B6B5-0A690E590CE2}"/>
  <tableColumns count="3">
    <tableColumn id="1" xr3:uid="{E6CA5297-2F5C-4628-AB48-4A4C8DAFB855}" name="Month" dataDxfId="2"/>
    <tableColumn id="2" xr3:uid="{5E89783C-32A0-43CA-94F0-27B5A00DB036}" name="NOS" dataDxfId="1"/>
    <tableColumn id="3" xr3:uid="{18B5D84E-80F3-42EF-9989-89F6FCD02E2A}" name="Amount Formula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confiarengineers@gmail.com" TargetMode="External"/><Relationship Id="rId299" Type="http://schemas.openxmlformats.org/officeDocument/2006/relationships/hyperlink" Target="mailto:slondhe@rathigroup.com" TargetMode="External"/><Relationship Id="rId21" Type="http://schemas.openxmlformats.org/officeDocument/2006/relationships/hyperlink" Target="mailto:sthorat207@gmail.com" TargetMode="External"/><Relationship Id="rId63" Type="http://schemas.openxmlformats.org/officeDocument/2006/relationships/hyperlink" Target="mailto:sainiyarr066@gmail.com" TargetMode="External"/><Relationship Id="rId159" Type="http://schemas.openxmlformats.org/officeDocument/2006/relationships/hyperlink" Target="mailto:sohammore94@gmail.com" TargetMode="External"/><Relationship Id="rId324" Type="http://schemas.openxmlformats.org/officeDocument/2006/relationships/hyperlink" Target="mailto:sagar.satdive@in.gudel.com" TargetMode="External"/><Relationship Id="rId366" Type="http://schemas.openxmlformats.org/officeDocument/2006/relationships/hyperlink" Target="mailto:project08.cta@gmail.com" TargetMode="External"/><Relationship Id="rId170" Type="http://schemas.openxmlformats.org/officeDocument/2006/relationships/hyperlink" Target="mailto:kannantks123@gmail.com" TargetMode="External"/><Relationship Id="rId226" Type="http://schemas.openxmlformats.org/officeDocument/2006/relationships/hyperlink" Target="mailto:%3ceki1@endo-india.co.in" TargetMode="External"/><Relationship Id="rId433" Type="http://schemas.openxmlformats.org/officeDocument/2006/relationships/hyperlink" Target="mailto:prakashdunge@weichai.com" TargetMode="External"/><Relationship Id="rId268" Type="http://schemas.openxmlformats.org/officeDocument/2006/relationships/hyperlink" Target="mailto:stores.ept@encorp.in" TargetMode="External"/><Relationship Id="rId32" Type="http://schemas.openxmlformats.org/officeDocument/2006/relationships/hyperlink" Target="mailto:hr2@electraev.com" TargetMode="External"/><Relationship Id="rId74" Type="http://schemas.openxmlformats.org/officeDocument/2006/relationships/hyperlink" Target="mailto:kiran.nikam@kirloskar.com" TargetMode="External"/><Relationship Id="rId128" Type="http://schemas.openxmlformats.org/officeDocument/2006/relationships/hyperlink" Target="mailto:babulalmehta@hotmail.com" TargetMode="External"/><Relationship Id="rId335" Type="http://schemas.openxmlformats.org/officeDocument/2006/relationships/hyperlink" Target="mailto:smkinquiry.jd@gmail.com" TargetMode="External"/><Relationship Id="rId377" Type="http://schemas.openxmlformats.org/officeDocument/2006/relationships/hyperlink" Target="mailto:shaunak.kulkarni100@gmail.com" TargetMode="External"/><Relationship Id="rId5" Type="http://schemas.openxmlformats.org/officeDocument/2006/relationships/hyperlink" Target="mailto:Ratish.Waghmare@economysolutions.in" TargetMode="External"/><Relationship Id="rId181" Type="http://schemas.openxmlformats.org/officeDocument/2006/relationships/hyperlink" Target="mailto:mrajput@delvalflow.com" TargetMode="External"/><Relationship Id="rId237" Type="http://schemas.openxmlformats.org/officeDocument/2006/relationships/hyperlink" Target="mailto:mekkrontechnocrafts@gmail.com" TargetMode="External"/><Relationship Id="rId402" Type="http://schemas.openxmlformats.org/officeDocument/2006/relationships/hyperlink" Target="mailto:chetanyelikar@yahoo.in" TargetMode="External"/><Relationship Id="rId279" Type="http://schemas.openxmlformats.org/officeDocument/2006/relationships/hyperlink" Target="mailto:creative2020.enterprises@gmail.com" TargetMode="External"/><Relationship Id="rId43" Type="http://schemas.openxmlformats.org/officeDocument/2006/relationships/hyperlink" Target="mailto:nwarang@ultracorpotech.com" TargetMode="External"/><Relationship Id="rId139" Type="http://schemas.openxmlformats.org/officeDocument/2006/relationships/hyperlink" Target="mailto:miggleetraders65@gmail.com" TargetMode="External"/><Relationship Id="rId290" Type="http://schemas.openxmlformats.org/officeDocument/2006/relationships/hyperlink" Target="mailto:pstradingco01@gmail.com" TargetMode="External"/><Relationship Id="rId304" Type="http://schemas.openxmlformats.org/officeDocument/2006/relationships/hyperlink" Target="mailto:coolatul1994@gmail.com" TargetMode="External"/><Relationship Id="rId346" Type="http://schemas.openxmlformats.org/officeDocument/2006/relationships/hyperlink" Target="mailto:mgr.purchase@arcepolymers.com" TargetMode="External"/><Relationship Id="rId388" Type="http://schemas.openxmlformats.org/officeDocument/2006/relationships/hyperlink" Target="mailto:arhansheikh533@gmail.com" TargetMode="External"/><Relationship Id="rId85" Type="http://schemas.openxmlformats.org/officeDocument/2006/relationships/hyperlink" Target="mailto:MallikarjunBillur@bharatforge.com" TargetMode="External"/><Relationship Id="rId150" Type="http://schemas.openxmlformats.org/officeDocument/2006/relationships/hyperlink" Target="mailto:rajendrapatil@prologicmechatronics.com" TargetMode="External"/><Relationship Id="rId192" Type="http://schemas.openxmlformats.org/officeDocument/2006/relationships/hyperlink" Target="mailto:georgewashington580@gmail.com" TargetMode="External"/><Relationship Id="rId206" Type="http://schemas.openxmlformats.org/officeDocument/2006/relationships/hyperlink" Target="mailto:chetan.chavan@modulex.in" TargetMode="External"/><Relationship Id="rId413" Type="http://schemas.openxmlformats.org/officeDocument/2006/relationships/hyperlink" Target="mailto:haidarali.darveshi@hyosung.com" TargetMode="External"/><Relationship Id="rId248" Type="http://schemas.openxmlformats.org/officeDocument/2006/relationships/hyperlink" Target="mailto:%3cvishnu.rathod@meccalte.in" TargetMode="External"/><Relationship Id="rId12" Type="http://schemas.openxmlformats.org/officeDocument/2006/relationships/hyperlink" Target="mailto:tulsirao.ob@gmail.com" TargetMode="External"/><Relationship Id="rId108" Type="http://schemas.openxmlformats.org/officeDocument/2006/relationships/hyperlink" Target="mailto:Devendra.Kapade@ksb.com" TargetMode="External"/><Relationship Id="rId315" Type="http://schemas.openxmlformats.org/officeDocument/2006/relationships/hyperlink" Target="mailto:vbr90.srivastava@gmail.com" TargetMode="External"/><Relationship Id="rId357" Type="http://schemas.openxmlformats.org/officeDocument/2006/relationships/hyperlink" Target="mailto:sshambhussingh08893@gmail.com" TargetMode="External"/><Relationship Id="rId54" Type="http://schemas.openxmlformats.org/officeDocument/2006/relationships/hyperlink" Target="mailto:eki1@endo-india.co.in" TargetMode="External"/><Relationship Id="rId96" Type="http://schemas.openxmlformats.org/officeDocument/2006/relationships/hyperlink" Target="mailto:tejabhaiprajapati170@gmail.com" TargetMode="External"/><Relationship Id="rId161" Type="http://schemas.openxmlformats.org/officeDocument/2006/relationships/hyperlink" Target="mailto:hoffenplastics@gmail.com" TargetMode="External"/><Relationship Id="rId217" Type="http://schemas.openxmlformats.org/officeDocument/2006/relationships/hyperlink" Target="mailto:pranav.bafna@piller.de" TargetMode="External"/><Relationship Id="rId399" Type="http://schemas.openxmlformats.org/officeDocument/2006/relationships/hyperlink" Target="mailto:dangat9666@gmail.com" TargetMode="External"/><Relationship Id="rId259" Type="http://schemas.openxmlformats.org/officeDocument/2006/relationships/hyperlink" Target="mailto:abb702@rediffmail.com" TargetMode="External"/><Relationship Id="rId424" Type="http://schemas.openxmlformats.org/officeDocument/2006/relationships/hyperlink" Target="mailto:shubhamwadekar35968@gmail.com" TargetMode="External"/><Relationship Id="rId23" Type="http://schemas.openxmlformats.org/officeDocument/2006/relationships/hyperlink" Target="mailto:sandypoman99@gmail.com" TargetMode="External"/><Relationship Id="rId119" Type="http://schemas.openxmlformats.org/officeDocument/2006/relationships/hyperlink" Target="mailto:sales1@ossaak.com" TargetMode="External"/><Relationship Id="rId270" Type="http://schemas.openxmlformats.org/officeDocument/2006/relationships/hyperlink" Target="mailto:pankaj.giri@concentricab.com" TargetMode="External"/><Relationship Id="rId326" Type="http://schemas.openxmlformats.org/officeDocument/2006/relationships/hyperlink" Target="mailto:yogesh.salunkhe@atlascopco.com" TargetMode="External"/><Relationship Id="rId65" Type="http://schemas.openxmlformats.org/officeDocument/2006/relationships/hyperlink" Target="mailto:iqrascrap7191@gmail.com" TargetMode="External"/><Relationship Id="rId130" Type="http://schemas.openxmlformats.org/officeDocument/2006/relationships/hyperlink" Target="mailto:kedar.shewalkar@danfoss.com" TargetMode="External"/><Relationship Id="rId368" Type="http://schemas.openxmlformats.org/officeDocument/2006/relationships/hyperlink" Target="mailto:esd_craneu3@craftsmanautomation.com" TargetMode="External"/><Relationship Id="rId172" Type="http://schemas.openxmlformats.org/officeDocument/2006/relationships/hyperlink" Target="mailto:headmfg@kiratinternational.com" TargetMode="External"/><Relationship Id="rId228" Type="http://schemas.openxmlformats.org/officeDocument/2006/relationships/hyperlink" Target="mailto:gkunal192@gmail.com" TargetMode="External"/><Relationship Id="rId435" Type="http://schemas.openxmlformats.org/officeDocument/2006/relationships/hyperlink" Target="mailto:pareshb56@yahoo.co.in" TargetMode="External"/><Relationship Id="rId281" Type="http://schemas.openxmlformats.org/officeDocument/2006/relationships/hyperlink" Target="mailto:pioneercorp.ind@gmail.com" TargetMode="External"/><Relationship Id="rId337" Type="http://schemas.openxmlformats.org/officeDocument/2006/relationships/hyperlink" Target="mailto:sakthivelchinnasamy@gmail.com" TargetMode="External"/><Relationship Id="rId34" Type="http://schemas.openxmlformats.org/officeDocument/2006/relationships/hyperlink" Target="mailto:khan.akbar1212@gmail.com" TargetMode="External"/><Relationship Id="rId76" Type="http://schemas.openxmlformats.org/officeDocument/2006/relationships/hyperlink" Target="mailto:alok.deshmukh@atlascopco.com" TargetMode="External"/><Relationship Id="rId141" Type="http://schemas.openxmlformats.org/officeDocument/2006/relationships/hyperlink" Target="mailto:om.ambalika@gmail.com" TargetMode="External"/><Relationship Id="rId379" Type="http://schemas.openxmlformats.org/officeDocument/2006/relationships/hyperlink" Target="mailto:mayur@pressmetal.co.in" TargetMode="External"/><Relationship Id="rId7" Type="http://schemas.openxmlformats.org/officeDocument/2006/relationships/hyperlink" Target="mailto:ashishpa23@yahoo.com" TargetMode="External"/><Relationship Id="rId183" Type="http://schemas.openxmlformats.org/officeDocument/2006/relationships/hyperlink" Target="mailto:yatheeshkn041@gmail.com" TargetMode="External"/><Relationship Id="rId239" Type="http://schemas.openxmlformats.org/officeDocument/2006/relationships/hyperlink" Target="mailto:suntec.ec@gmail.com" TargetMode="External"/><Relationship Id="rId390" Type="http://schemas.openxmlformats.org/officeDocument/2006/relationships/hyperlink" Target="mailto:%3cJaywant.Sutar@ksb.com" TargetMode="External"/><Relationship Id="rId404" Type="http://schemas.openxmlformats.org/officeDocument/2006/relationships/hyperlink" Target="mailto:pmtdel@pmtcoltd.com" TargetMode="External"/><Relationship Id="rId250" Type="http://schemas.openxmlformats.org/officeDocument/2006/relationships/hyperlink" Target="mailto:gkicbe5@gmail.com" TargetMode="External"/><Relationship Id="rId292" Type="http://schemas.openxmlformats.org/officeDocument/2006/relationships/hyperlink" Target="mailto:umakant250483@rediffmail.com" TargetMode="External"/><Relationship Id="rId306" Type="http://schemas.openxmlformats.org/officeDocument/2006/relationships/hyperlink" Target="mailto:soorajsingh@gmail.com" TargetMode="External"/><Relationship Id="rId45" Type="http://schemas.openxmlformats.org/officeDocument/2006/relationships/hyperlink" Target="mailto:saffrontechmech@outlook.in" TargetMode="External"/><Relationship Id="rId87" Type="http://schemas.openxmlformats.org/officeDocument/2006/relationships/hyperlink" Target="mailto:sandipan@jendamark.in" TargetMode="External"/><Relationship Id="rId110" Type="http://schemas.openxmlformats.org/officeDocument/2006/relationships/hyperlink" Target="mailto:%3cmusharrafali.syed@jcb.com" TargetMode="External"/><Relationship Id="rId348" Type="http://schemas.openxmlformats.org/officeDocument/2006/relationships/hyperlink" Target="mailto:dharmesh-prajapati@alstomgroup.com" TargetMode="External"/><Relationship Id="rId152" Type="http://schemas.openxmlformats.org/officeDocument/2006/relationships/hyperlink" Target="mailto:Jiddewar.shashank@mahindra.com" TargetMode="External"/><Relationship Id="rId194" Type="http://schemas.openxmlformats.org/officeDocument/2006/relationships/hyperlink" Target="mailto:valliappaandcompany@gmail.com" TargetMode="External"/><Relationship Id="rId208" Type="http://schemas.openxmlformats.org/officeDocument/2006/relationships/hyperlink" Target="mailto:lokeshsharma9358@gmail.com" TargetMode="External"/><Relationship Id="rId415" Type="http://schemas.openxmlformats.org/officeDocument/2006/relationships/hyperlink" Target="mailto:%3cliftsafesales@gmail.com" TargetMode="External"/><Relationship Id="rId261" Type="http://schemas.openxmlformats.org/officeDocument/2006/relationships/hyperlink" Target="mailto:bhamachine@yahoo.co.in" TargetMode="External"/><Relationship Id="rId14" Type="http://schemas.openxmlformats.org/officeDocument/2006/relationships/hyperlink" Target="mailto:abhay9156273029@gmail.com" TargetMode="External"/><Relationship Id="rId56" Type="http://schemas.openxmlformats.org/officeDocument/2006/relationships/hyperlink" Target="mailto:piyush.shinde@fmlogistic.com" TargetMode="External"/><Relationship Id="rId317" Type="http://schemas.openxmlformats.org/officeDocument/2006/relationships/hyperlink" Target="mailto:shreeinfrcon@gmail.com" TargetMode="External"/><Relationship Id="rId359" Type="http://schemas.openxmlformats.org/officeDocument/2006/relationships/hyperlink" Target="mailto:shilpanushilpanu@gmail.com" TargetMode="External"/><Relationship Id="rId98" Type="http://schemas.openxmlformats.org/officeDocument/2006/relationships/hyperlink" Target="mailto:chirag8357@gmail.com" TargetMode="External"/><Relationship Id="rId121" Type="http://schemas.openxmlformats.org/officeDocument/2006/relationships/hyperlink" Target="mailto:%3cFenstein.GPAUL@mane.com" TargetMode="External"/><Relationship Id="rId163" Type="http://schemas.openxmlformats.org/officeDocument/2006/relationships/hyperlink" Target="mailto:darkdon1234567890@gmail.com" TargetMode="External"/><Relationship Id="rId219" Type="http://schemas.openxmlformats.org/officeDocument/2006/relationships/hyperlink" Target="mailto:projects@leoengineer.com" TargetMode="External"/><Relationship Id="rId370" Type="http://schemas.openxmlformats.org/officeDocument/2006/relationships/hyperlink" Target="mailto:vinaymalik@pioneerengineeringsolutions.com" TargetMode="External"/><Relationship Id="rId426" Type="http://schemas.openxmlformats.org/officeDocument/2006/relationships/hyperlink" Target="mailto:waseem.shikalkar@gmail.com" TargetMode="External"/><Relationship Id="rId230" Type="http://schemas.openxmlformats.org/officeDocument/2006/relationships/hyperlink" Target="mailto:ritesh.gajankar@rationalengineers.com" TargetMode="External"/><Relationship Id="rId25" Type="http://schemas.openxmlformats.org/officeDocument/2006/relationships/hyperlink" Target="mailto:srivinayakahydraulic@gmail.com" TargetMode="External"/><Relationship Id="rId67" Type="http://schemas.openxmlformats.org/officeDocument/2006/relationships/hyperlink" Target="mailto:abhirami.p@rinac.com" TargetMode="External"/><Relationship Id="rId272" Type="http://schemas.openxmlformats.org/officeDocument/2006/relationships/hyperlink" Target="mailto:sandip@sigmapacks.com" TargetMode="External"/><Relationship Id="rId328" Type="http://schemas.openxmlformats.org/officeDocument/2006/relationships/hyperlink" Target="mailto:purchase@pcscontrols.in" TargetMode="External"/><Relationship Id="rId132" Type="http://schemas.openxmlformats.org/officeDocument/2006/relationships/hyperlink" Target="mailto:manish.subhash@indiamart.com" TargetMode="External"/><Relationship Id="rId174" Type="http://schemas.openxmlformats.org/officeDocument/2006/relationships/hyperlink" Target="mailto:sales@carelifting.com" TargetMode="External"/><Relationship Id="rId381" Type="http://schemas.openxmlformats.org/officeDocument/2006/relationships/hyperlink" Target="mailto:ramaya.patel@gmail.com" TargetMode="External"/><Relationship Id="rId241" Type="http://schemas.openxmlformats.org/officeDocument/2006/relationships/hyperlink" Target="mailto:sgkondalkar@gmail.com" TargetMode="External"/><Relationship Id="rId437" Type="http://schemas.openxmlformats.org/officeDocument/2006/relationships/printerSettings" Target="../printerSettings/printerSettings2.bin"/><Relationship Id="rId36" Type="http://schemas.openxmlformats.org/officeDocument/2006/relationships/hyperlink" Target="mailto:sachin.upadhyay51@gmail.com" TargetMode="External"/><Relationship Id="rId283" Type="http://schemas.openxmlformats.org/officeDocument/2006/relationships/hyperlink" Target="mailto:sales@fabweld.in" TargetMode="External"/><Relationship Id="rId339" Type="http://schemas.openxmlformats.org/officeDocument/2006/relationships/hyperlink" Target="mailto:chromasantosh.n@gmail.com" TargetMode="External"/><Relationship Id="rId78" Type="http://schemas.openxmlformats.org/officeDocument/2006/relationships/hyperlink" Target="mailto:somnathpatmas4574@gmail.com" TargetMode="External"/><Relationship Id="rId101" Type="http://schemas.openxmlformats.org/officeDocument/2006/relationships/hyperlink" Target="mailto:spidertexs@gmail.com" TargetMode="External"/><Relationship Id="rId143" Type="http://schemas.openxmlformats.org/officeDocument/2006/relationships/hyperlink" Target="mailto:shapu789@gmail.com" TargetMode="External"/><Relationship Id="rId185" Type="http://schemas.openxmlformats.org/officeDocument/2006/relationships/hyperlink" Target="mailto:pramod.kunjir10@gmail.com" TargetMode="External"/><Relationship Id="rId350" Type="http://schemas.openxmlformats.org/officeDocument/2006/relationships/hyperlink" Target="mailto:rpurushoth2003@gmail.com" TargetMode="External"/><Relationship Id="rId406" Type="http://schemas.openxmlformats.org/officeDocument/2006/relationships/hyperlink" Target="mailto:gufrankhanjanimeerut@gmail.com" TargetMode="External"/><Relationship Id="rId9" Type="http://schemas.openxmlformats.org/officeDocument/2006/relationships/hyperlink" Target="mailto:earthacquirer@gmail.com" TargetMode="External"/><Relationship Id="rId210" Type="http://schemas.openxmlformats.org/officeDocument/2006/relationships/hyperlink" Target="mailto:dayanandpatil73@gmail.com" TargetMode="External"/><Relationship Id="rId392" Type="http://schemas.openxmlformats.org/officeDocument/2006/relationships/hyperlink" Target="mailto:%3cRaviprasad.Savkar@Emerson.com" TargetMode="External"/><Relationship Id="rId252" Type="http://schemas.openxmlformats.org/officeDocument/2006/relationships/hyperlink" Target="mailto:raygm.project@gmail.com" TargetMode="External"/><Relationship Id="rId294" Type="http://schemas.openxmlformats.org/officeDocument/2006/relationships/hyperlink" Target="mailto:mohammedarmaankhan648@gmail.com" TargetMode="External"/><Relationship Id="rId308" Type="http://schemas.openxmlformats.org/officeDocument/2006/relationships/hyperlink" Target="mailto:vijaygabel30@gmail.com" TargetMode="External"/><Relationship Id="rId47" Type="http://schemas.openxmlformats.org/officeDocument/2006/relationships/hyperlink" Target="mailto:abhisalunkhe07@gmail.com" TargetMode="External"/><Relationship Id="rId89" Type="http://schemas.openxmlformats.org/officeDocument/2006/relationships/hyperlink" Target="mailto:jayanti.parmar@technoelevators.com" TargetMode="External"/><Relationship Id="rId112" Type="http://schemas.openxmlformats.org/officeDocument/2006/relationships/hyperlink" Target="mailto:kunaldpawar1010@gmail.com" TargetMode="External"/><Relationship Id="rId154" Type="http://schemas.openxmlformats.org/officeDocument/2006/relationships/hyperlink" Target="mailto:%3cextern.abhijeet.nikam@skoda-vw.co.in" TargetMode="External"/><Relationship Id="rId361" Type="http://schemas.openxmlformats.org/officeDocument/2006/relationships/hyperlink" Target="mailto:amar_83277@rediffmail.com" TargetMode="External"/><Relationship Id="rId196" Type="http://schemas.openxmlformats.org/officeDocument/2006/relationships/hyperlink" Target="mailto:dp919569@gmail.com" TargetMode="External"/><Relationship Id="rId417" Type="http://schemas.openxmlformats.org/officeDocument/2006/relationships/hyperlink" Target="mailto:basirboghara26@gmail.com" TargetMode="External"/><Relationship Id="rId16" Type="http://schemas.openxmlformats.org/officeDocument/2006/relationships/hyperlink" Target="mailto:kamalpandey3005@gmail.com" TargetMode="External"/><Relationship Id="rId221" Type="http://schemas.openxmlformats.org/officeDocument/2006/relationships/hyperlink" Target="mailto:naitik.gosar@rediffmail.com" TargetMode="External"/><Relationship Id="rId263" Type="http://schemas.openxmlformats.org/officeDocument/2006/relationships/hyperlink" Target="mailto:anil.m@ekamobility.com" TargetMode="External"/><Relationship Id="rId319" Type="http://schemas.openxmlformats.org/officeDocument/2006/relationships/hyperlink" Target="mailto:rajeshmandal100@gmail.com" TargetMode="External"/><Relationship Id="rId58" Type="http://schemas.openxmlformats.org/officeDocument/2006/relationships/hyperlink" Target="mailto:levin.c.v.5346@gmail.com" TargetMode="External"/><Relationship Id="rId123" Type="http://schemas.openxmlformats.org/officeDocument/2006/relationships/hyperlink" Target="mailto:sandipan@jendamark.in" TargetMode="External"/><Relationship Id="rId330" Type="http://schemas.openxmlformats.org/officeDocument/2006/relationships/hyperlink" Target="mailto:shubhadeep.dutta@ekamobility.com" TargetMode="External"/><Relationship Id="rId165" Type="http://schemas.openxmlformats.org/officeDocument/2006/relationships/hyperlink" Target="mailto:atulmatere@gmail.com" TargetMode="External"/><Relationship Id="rId372" Type="http://schemas.openxmlformats.org/officeDocument/2006/relationships/hyperlink" Target="mailto:dhananjay.deshpande@kirloskar.com" TargetMode="External"/><Relationship Id="rId428" Type="http://schemas.openxmlformats.org/officeDocument/2006/relationships/hyperlink" Target="mailto:marketingplus.gg@gmail.com" TargetMode="External"/><Relationship Id="rId232" Type="http://schemas.openxmlformats.org/officeDocument/2006/relationships/hyperlink" Target="mailto:pratik.patil@jcb.com" TargetMode="External"/><Relationship Id="rId274" Type="http://schemas.openxmlformats.org/officeDocument/2006/relationships/hyperlink" Target="mailto:saranggade@bharatforge.com" TargetMode="External"/><Relationship Id="rId27" Type="http://schemas.openxmlformats.org/officeDocument/2006/relationships/hyperlink" Target="mailto:sagarr.fee@gmail.com" TargetMode="External"/><Relationship Id="rId69" Type="http://schemas.openxmlformats.org/officeDocument/2006/relationships/hyperlink" Target="mailto:sam.g55@gmail.com" TargetMode="External"/><Relationship Id="rId134" Type="http://schemas.openxmlformats.org/officeDocument/2006/relationships/hyperlink" Target="mailto:inquiry.support@giflexible.com" TargetMode="External"/><Relationship Id="rId80" Type="http://schemas.openxmlformats.org/officeDocument/2006/relationships/hyperlink" Target="mailto:at173615@gmail.com" TargetMode="External"/><Relationship Id="rId176" Type="http://schemas.openxmlformats.org/officeDocument/2006/relationships/hyperlink" Target="mailto:salespune@pacetools.in" TargetMode="External"/><Relationship Id="rId341" Type="http://schemas.openxmlformats.org/officeDocument/2006/relationships/hyperlink" Target="mailto:ganeshsmitaa@gmail.com" TargetMode="External"/><Relationship Id="rId383" Type="http://schemas.openxmlformats.org/officeDocument/2006/relationships/hyperlink" Target="mailto:shobhasuthar7021@gmail.com" TargetMode="External"/><Relationship Id="rId439" Type="http://schemas.microsoft.com/office/2019/04/relationships/namedSheetView" Target="../namedSheetViews/namedSheetView1.xml"/><Relationship Id="rId201" Type="http://schemas.openxmlformats.org/officeDocument/2006/relationships/hyperlink" Target="mailto:dineshdamorkismat242@gmail.com" TargetMode="External"/><Relationship Id="rId243" Type="http://schemas.openxmlformats.org/officeDocument/2006/relationships/hyperlink" Target="mailto:dinesh.roosterautomation@gmail.com" TargetMode="External"/><Relationship Id="rId285" Type="http://schemas.openxmlformats.org/officeDocument/2006/relationships/hyperlink" Target="mailto:sthagare99@gmail.com" TargetMode="External"/><Relationship Id="rId38" Type="http://schemas.openxmlformats.org/officeDocument/2006/relationships/hyperlink" Target="mailto:sablekv1222@gmail.com" TargetMode="External"/><Relationship Id="rId103" Type="http://schemas.openxmlformats.org/officeDocument/2006/relationships/hyperlink" Target="mailto:manishghule39@gmail.com" TargetMode="External"/><Relationship Id="rId310" Type="http://schemas.openxmlformats.org/officeDocument/2006/relationships/hyperlink" Target="mailto:rameshwar1510@gmail.com" TargetMode="External"/><Relationship Id="rId91" Type="http://schemas.openxmlformats.org/officeDocument/2006/relationships/hyperlink" Target="mailto:megatechindustries0101@gmail.com" TargetMode="External"/><Relationship Id="rId145" Type="http://schemas.openxmlformats.org/officeDocument/2006/relationships/hyperlink" Target="mailto:zakirbhat52@gmail.com" TargetMode="External"/><Relationship Id="rId187" Type="http://schemas.openxmlformats.org/officeDocument/2006/relationships/hyperlink" Target="mailto:navnirmiti@protonmail.com" TargetMode="External"/><Relationship Id="rId352" Type="http://schemas.openxmlformats.org/officeDocument/2006/relationships/hyperlink" Target="mailto:ganeshservies5868@gmail.com" TargetMode="External"/><Relationship Id="rId394" Type="http://schemas.openxmlformats.org/officeDocument/2006/relationships/hyperlink" Target="mailto:anil.m@ekamobility.com" TargetMode="External"/><Relationship Id="rId408" Type="http://schemas.openxmlformats.org/officeDocument/2006/relationships/hyperlink" Target="mailto:enersys.pune@gmail.com" TargetMode="External"/><Relationship Id="rId212" Type="http://schemas.openxmlformats.org/officeDocument/2006/relationships/hyperlink" Target="mailto:surajphule11@gmail.com" TargetMode="External"/><Relationship Id="rId254" Type="http://schemas.openxmlformats.org/officeDocument/2006/relationships/hyperlink" Target="mailto:agumaste@ultracorpotech.com" TargetMode="External"/><Relationship Id="rId49" Type="http://schemas.openxmlformats.org/officeDocument/2006/relationships/hyperlink" Target="mailto:bhavanimotocraft@gmail.com" TargetMode="External"/><Relationship Id="rId114" Type="http://schemas.openxmlformats.org/officeDocument/2006/relationships/hyperlink" Target="mailto:dhiraj.shetkar@mrfmail.com" TargetMode="External"/><Relationship Id="rId296" Type="http://schemas.openxmlformats.org/officeDocument/2006/relationships/hyperlink" Target="mailto:tncraneworks@gmail.com" TargetMode="External"/><Relationship Id="rId60" Type="http://schemas.openxmlformats.org/officeDocument/2006/relationships/hyperlink" Target="mailto:design@spmil.com" TargetMode="External"/><Relationship Id="rId81" Type="http://schemas.openxmlformats.org/officeDocument/2006/relationships/hyperlink" Target="mailto:sgengg2014@gmail.com" TargetMode="External"/><Relationship Id="rId135" Type="http://schemas.openxmlformats.org/officeDocument/2006/relationships/hyperlink" Target="mailto:girishdgoswami@gmail.com" TargetMode="External"/><Relationship Id="rId156" Type="http://schemas.openxmlformats.org/officeDocument/2006/relationships/hyperlink" Target="mailto:pappu.mahto@vmach.in" TargetMode="External"/><Relationship Id="rId177" Type="http://schemas.openxmlformats.org/officeDocument/2006/relationships/hyperlink" Target="mailto:mayur.jagtap@winfastsolution.in" TargetMode="External"/><Relationship Id="rId198" Type="http://schemas.openxmlformats.org/officeDocument/2006/relationships/hyperlink" Target="mailto:%3cVishal.Pawar@ekamobility.com" TargetMode="External"/><Relationship Id="rId321" Type="http://schemas.openxmlformats.org/officeDocument/2006/relationships/hyperlink" Target="mailto:Dipak.Saste@kalyanitechnoforge.com" TargetMode="External"/><Relationship Id="rId342" Type="http://schemas.openxmlformats.org/officeDocument/2006/relationships/hyperlink" Target="mailto:nikita.gheuntaak@gmail.com" TargetMode="External"/><Relationship Id="rId363" Type="http://schemas.openxmlformats.org/officeDocument/2006/relationships/hyperlink" Target="mailto:awmplrpco@gmail.com" TargetMode="External"/><Relationship Id="rId384" Type="http://schemas.openxmlformats.org/officeDocument/2006/relationships/hyperlink" Target="mailto:ashokjorwar99@gmail.com" TargetMode="External"/><Relationship Id="rId419" Type="http://schemas.openxmlformats.org/officeDocument/2006/relationships/hyperlink" Target="mailto:andriyashipping@gmail.com" TargetMode="External"/><Relationship Id="rId202" Type="http://schemas.openxmlformats.org/officeDocument/2006/relationships/hyperlink" Target="mailto:sarthakdhanve@gmail.com" TargetMode="External"/><Relationship Id="rId223" Type="http://schemas.openxmlformats.org/officeDocument/2006/relationships/hyperlink" Target="mailto:prakashmmn25@gmail.com" TargetMode="External"/><Relationship Id="rId244" Type="http://schemas.openxmlformats.org/officeDocument/2006/relationships/hyperlink" Target="mailto:sproindustries22@gmail.com" TargetMode="External"/><Relationship Id="rId430" Type="http://schemas.openxmlformats.org/officeDocument/2006/relationships/hyperlink" Target="mailto:baljeetsainibaljeetkaur5008@gmail.com" TargetMode="External"/><Relationship Id="rId18" Type="http://schemas.openxmlformats.org/officeDocument/2006/relationships/hyperlink" Target="mailto:abhijeet.santosh.gawade@gmail.com" TargetMode="External"/><Relationship Id="rId39" Type="http://schemas.openxmlformats.org/officeDocument/2006/relationships/hyperlink" Target="mailto:sagar_india@outlook.in" TargetMode="External"/><Relationship Id="rId265" Type="http://schemas.openxmlformats.org/officeDocument/2006/relationships/hyperlink" Target="mailto:ananddesai12@gmail.com" TargetMode="External"/><Relationship Id="rId286" Type="http://schemas.openxmlformats.org/officeDocument/2006/relationships/hyperlink" Target="mailto:monalicrane@gmail.com" TargetMode="External"/><Relationship Id="rId50" Type="http://schemas.openxmlformats.org/officeDocument/2006/relationships/hyperlink" Target="mailto:sales@arhamcomposite.com" TargetMode="External"/><Relationship Id="rId104" Type="http://schemas.openxmlformats.org/officeDocument/2006/relationships/hyperlink" Target="mailto:a.t.u.ldixit007@gmail.com" TargetMode="External"/><Relationship Id="rId125" Type="http://schemas.openxmlformats.org/officeDocument/2006/relationships/hyperlink" Target="mailto:jaiambeprint2014@gmail.com" TargetMode="External"/><Relationship Id="rId146" Type="http://schemas.openxmlformats.org/officeDocument/2006/relationships/hyperlink" Target="mailto:samsam19782001@gmail.com" TargetMode="External"/><Relationship Id="rId167" Type="http://schemas.openxmlformats.org/officeDocument/2006/relationships/hyperlink" Target="mailto:chindam.hruthik@gmail.com" TargetMode="External"/><Relationship Id="rId188" Type="http://schemas.openxmlformats.org/officeDocument/2006/relationships/hyperlink" Target="mailto:sbelambe@forbesmarshall.com" TargetMode="External"/><Relationship Id="rId311" Type="http://schemas.openxmlformats.org/officeDocument/2006/relationships/hyperlink" Target="mailto:anbarasan010777@gmail.com" TargetMode="External"/><Relationship Id="rId332" Type="http://schemas.openxmlformats.org/officeDocument/2006/relationships/hyperlink" Target="mailto:boraderohit533@gmail.com" TargetMode="External"/><Relationship Id="rId353" Type="http://schemas.openxmlformats.org/officeDocument/2006/relationships/hyperlink" Target="mailto:shreeganeshcraneservices@gmail.com" TargetMode="External"/><Relationship Id="rId374" Type="http://schemas.openxmlformats.org/officeDocument/2006/relationships/hyperlink" Target="mailto:sandypoman99@gmail.com" TargetMode="External"/><Relationship Id="rId395" Type="http://schemas.openxmlformats.org/officeDocument/2006/relationships/hyperlink" Target="mailto:darshfabrication2019@gmail.com" TargetMode="External"/><Relationship Id="rId409" Type="http://schemas.openxmlformats.org/officeDocument/2006/relationships/hyperlink" Target="mailto:%3capplicationengg@impregseal.com" TargetMode="External"/><Relationship Id="rId71" Type="http://schemas.openxmlformats.org/officeDocument/2006/relationships/hyperlink" Target="mailto:sunil.k@nbccindia.com" TargetMode="External"/><Relationship Id="rId92" Type="http://schemas.openxmlformats.org/officeDocument/2006/relationships/hyperlink" Target="mailto:97harjeet97@gmail.com" TargetMode="External"/><Relationship Id="rId213" Type="http://schemas.openxmlformats.org/officeDocument/2006/relationships/hyperlink" Target="mailto:mk.yadav150780@gmail.com" TargetMode="External"/><Relationship Id="rId234" Type="http://schemas.openxmlformats.org/officeDocument/2006/relationships/hyperlink" Target="mailto:at8854028@gmail.com" TargetMode="External"/><Relationship Id="rId420" Type="http://schemas.openxmlformats.org/officeDocument/2006/relationships/hyperlink" Target="mailto:umsscales@gmail.com" TargetMode="External"/><Relationship Id="rId2" Type="http://schemas.openxmlformats.org/officeDocument/2006/relationships/hyperlink" Target="mailto:srikanth@shmrail.com.my" TargetMode="External"/><Relationship Id="rId29" Type="http://schemas.openxmlformats.org/officeDocument/2006/relationships/hyperlink" Target="mailto:mayureshengineers.purchase@gmail.com" TargetMode="External"/><Relationship Id="rId255" Type="http://schemas.openxmlformats.org/officeDocument/2006/relationships/hyperlink" Target="mailto:srikanth@smhrail.com.my" TargetMode="External"/><Relationship Id="rId276" Type="http://schemas.openxmlformats.org/officeDocument/2006/relationships/hyperlink" Target="mailto:farhan.khan@cleantechsystems.in" TargetMode="External"/><Relationship Id="rId297" Type="http://schemas.openxmlformats.org/officeDocument/2006/relationships/hyperlink" Target="mailto:thimmarajuvv@gmail.com" TargetMode="External"/><Relationship Id="rId40" Type="http://schemas.openxmlformats.org/officeDocument/2006/relationships/hyperlink" Target="mailto:santoshkumardas@merinoindia.com" TargetMode="External"/><Relationship Id="rId115" Type="http://schemas.openxmlformats.org/officeDocument/2006/relationships/hyperlink" Target="mailto:shailesh.paithankar@duncanengg.com" TargetMode="External"/><Relationship Id="rId136" Type="http://schemas.openxmlformats.org/officeDocument/2006/relationships/hyperlink" Target="mailto:prasad.desai020@gmail.com" TargetMode="External"/><Relationship Id="rId157" Type="http://schemas.openxmlformats.org/officeDocument/2006/relationships/hyperlink" Target="mailto:adibajaj174@gmail.com" TargetMode="External"/><Relationship Id="rId178" Type="http://schemas.openxmlformats.org/officeDocument/2006/relationships/hyperlink" Target="mailto:sscranesindia@gmail.com" TargetMode="External"/><Relationship Id="rId301" Type="http://schemas.openxmlformats.org/officeDocument/2006/relationships/hyperlink" Target="mailto:pd6217906@gmail.com" TargetMode="External"/><Relationship Id="rId322" Type="http://schemas.openxmlformats.org/officeDocument/2006/relationships/hyperlink" Target="mailto:dmahajan1@unominda.com" TargetMode="External"/><Relationship Id="rId343" Type="http://schemas.openxmlformats.org/officeDocument/2006/relationships/hyperlink" Target="mailto:vishal@ecolifepolymers.com" TargetMode="External"/><Relationship Id="rId364" Type="http://schemas.openxmlformats.org/officeDocument/2006/relationships/hyperlink" Target="mailto:boraderohit533@gmail.com" TargetMode="External"/><Relationship Id="rId61" Type="http://schemas.openxmlformats.org/officeDocument/2006/relationships/hyperlink" Target="mailto:gowri.gowdaiah01@gmail.com" TargetMode="External"/><Relationship Id="rId82" Type="http://schemas.openxmlformats.org/officeDocument/2006/relationships/hyperlink" Target="mailto:lalsk7403@gmail.com" TargetMode="External"/><Relationship Id="rId199" Type="http://schemas.openxmlformats.org/officeDocument/2006/relationships/hyperlink" Target="mailto:pankaj.damare@ekamobility.com" TargetMode="External"/><Relationship Id="rId203" Type="http://schemas.openxmlformats.org/officeDocument/2006/relationships/hyperlink" Target="mailto:claykids.ind@gmail.com" TargetMode="External"/><Relationship Id="rId385" Type="http://schemas.openxmlformats.org/officeDocument/2006/relationships/hyperlink" Target="mailto:empirelifting2023@gmail.com" TargetMode="External"/><Relationship Id="rId19" Type="http://schemas.openxmlformats.org/officeDocument/2006/relationships/hyperlink" Target="mailto:pg_conversions@yahoo.com" TargetMode="External"/><Relationship Id="rId224" Type="http://schemas.openxmlformats.org/officeDocument/2006/relationships/hyperlink" Target="mailto:del.maintenance@duncanengg.com" TargetMode="External"/><Relationship Id="rId245" Type="http://schemas.openxmlformats.org/officeDocument/2006/relationships/hyperlink" Target="mailto:%3cJIDDEWAR.SHASHANK@mahindra.com" TargetMode="External"/><Relationship Id="rId266" Type="http://schemas.openxmlformats.org/officeDocument/2006/relationships/hyperlink" Target="mailto:khan34689@gmail.com" TargetMode="External"/><Relationship Id="rId287" Type="http://schemas.openxmlformats.org/officeDocument/2006/relationships/hyperlink" Target="mailto:nikkyenterprises21@gmail.com" TargetMode="External"/><Relationship Id="rId410" Type="http://schemas.openxmlformats.org/officeDocument/2006/relationships/hyperlink" Target="mailto:purchase.infra@clfprojects.com" TargetMode="External"/><Relationship Id="rId431" Type="http://schemas.openxmlformats.org/officeDocument/2006/relationships/hyperlink" Target="mailto:purchase@xpertmhe.com" TargetMode="External"/><Relationship Id="rId30" Type="http://schemas.openxmlformats.org/officeDocument/2006/relationships/hyperlink" Target="mailto:srikanth@shmrail.com.my" TargetMode="External"/><Relationship Id="rId105" Type="http://schemas.openxmlformats.org/officeDocument/2006/relationships/hyperlink" Target="mailto:55555kunalpatil@gmail.com" TargetMode="External"/><Relationship Id="rId126" Type="http://schemas.openxmlformats.org/officeDocument/2006/relationships/hyperlink" Target="mailto:honeymehta75@gmail.com" TargetMode="External"/><Relationship Id="rId147" Type="http://schemas.openxmlformats.org/officeDocument/2006/relationships/hyperlink" Target="mailto:vinayak.ik@difacto.com" TargetMode="External"/><Relationship Id="rId168" Type="http://schemas.openxmlformats.org/officeDocument/2006/relationships/hyperlink" Target="mailto:mduvinayakwiremeshindustries@gmail.com" TargetMode="External"/><Relationship Id="rId312" Type="http://schemas.openxmlformats.org/officeDocument/2006/relationships/hyperlink" Target="mailto:ashmita.paul@betterpower.co.in" TargetMode="External"/><Relationship Id="rId333" Type="http://schemas.openxmlformats.org/officeDocument/2006/relationships/hyperlink" Target="mailto:leaforganics19@gmail.com" TargetMode="External"/><Relationship Id="rId354" Type="http://schemas.openxmlformats.org/officeDocument/2006/relationships/hyperlink" Target="mailto:sales@sudarshanenterprisespune.in" TargetMode="External"/><Relationship Id="rId51" Type="http://schemas.openxmlformats.org/officeDocument/2006/relationships/hyperlink" Target="mailto:akshaydsabale@gmail.com" TargetMode="External"/><Relationship Id="rId72" Type="http://schemas.openxmlformats.org/officeDocument/2006/relationships/hyperlink" Target="mailto:sandeep98prajapati@gmail.com" TargetMode="External"/><Relationship Id="rId93" Type="http://schemas.openxmlformats.org/officeDocument/2006/relationships/hyperlink" Target="mailto:ganesh.godambe@jcb.com" TargetMode="External"/><Relationship Id="rId189" Type="http://schemas.openxmlformats.org/officeDocument/2006/relationships/hyperlink" Target="mailto:sales@rimcoindia.com" TargetMode="External"/><Relationship Id="rId375" Type="http://schemas.openxmlformats.org/officeDocument/2006/relationships/hyperlink" Target="mailto:mvemukesh57@gmail.com" TargetMode="External"/><Relationship Id="rId396" Type="http://schemas.openxmlformats.org/officeDocument/2006/relationships/hyperlink" Target="mailto:mayurwaghole123@gmail.com" TargetMode="External"/><Relationship Id="rId3" Type="http://schemas.openxmlformats.org/officeDocument/2006/relationships/hyperlink" Target="mailto:raut.shailendra@gmail.com" TargetMode="External"/><Relationship Id="rId214" Type="http://schemas.openxmlformats.org/officeDocument/2006/relationships/hyperlink" Target="mailto:ammeyasathe17@gmail.com" TargetMode="External"/><Relationship Id="rId235" Type="http://schemas.openxmlformats.org/officeDocument/2006/relationships/hyperlink" Target="mailto:babubmc@icloud.com" TargetMode="External"/><Relationship Id="rId256" Type="http://schemas.openxmlformats.org/officeDocument/2006/relationships/hyperlink" Target="mailto:%3cshravan@dattaenterprises.com" TargetMode="External"/><Relationship Id="rId277" Type="http://schemas.openxmlformats.org/officeDocument/2006/relationships/hyperlink" Target="mailto:jaisingh2801@gmail.com" TargetMode="External"/><Relationship Id="rId298" Type="http://schemas.openxmlformats.org/officeDocument/2006/relationships/hyperlink" Target="mailto:mechghanshyam@yahoo.com" TargetMode="External"/><Relationship Id="rId400" Type="http://schemas.openxmlformats.org/officeDocument/2006/relationships/hyperlink" Target="mailto:atharvpasalkar146@gmail.com" TargetMode="External"/><Relationship Id="rId421" Type="http://schemas.openxmlformats.org/officeDocument/2006/relationships/hyperlink" Target="mailto:coolatul1994@gmail.com" TargetMode="External"/><Relationship Id="rId116" Type="http://schemas.openxmlformats.org/officeDocument/2006/relationships/hyperlink" Target="mailto:mostafamondal098@gmail.com" TargetMode="External"/><Relationship Id="rId137" Type="http://schemas.openxmlformats.org/officeDocument/2006/relationships/hyperlink" Target="mailto:Ayush.Kumar6@vedanta.co.in" TargetMode="External"/><Relationship Id="rId158" Type="http://schemas.openxmlformats.org/officeDocument/2006/relationships/hyperlink" Target="mailto:prabhakarsavulgay@gmail.com" TargetMode="External"/><Relationship Id="rId302" Type="http://schemas.openxmlformats.org/officeDocument/2006/relationships/hyperlink" Target="mailto:senmohit55@gmail.com" TargetMode="External"/><Relationship Id="rId323" Type="http://schemas.openxmlformats.org/officeDocument/2006/relationships/hyperlink" Target="mailto:toolroom_hinj@m-techindia.com" TargetMode="External"/><Relationship Id="rId344" Type="http://schemas.openxmlformats.org/officeDocument/2006/relationships/hyperlink" Target="mailto:jsrmindia@yahoo.com" TargetMode="External"/><Relationship Id="rId20" Type="http://schemas.openxmlformats.org/officeDocument/2006/relationships/hyperlink" Target="mailto:mantrisankum@rediffmail.com" TargetMode="External"/><Relationship Id="rId41" Type="http://schemas.openxmlformats.org/officeDocument/2006/relationships/hyperlink" Target="mailto:yogesh.patil@kirloskar.com" TargetMode="External"/><Relationship Id="rId62" Type="http://schemas.openxmlformats.org/officeDocument/2006/relationships/hyperlink" Target="mailto:suntec.ec@gmail.com" TargetMode="External"/><Relationship Id="rId83" Type="http://schemas.openxmlformats.org/officeDocument/2006/relationships/hyperlink" Target="mailto:globaltechcbe1627@gmail.com" TargetMode="External"/><Relationship Id="rId179" Type="http://schemas.openxmlformats.org/officeDocument/2006/relationships/hyperlink" Target="mailto:anil.m@ekamobility.com" TargetMode="External"/><Relationship Id="rId365" Type="http://schemas.openxmlformats.org/officeDocument/2006/relationships/hyperlink" Target="mailto:ashishgoradia@goradia.in" TargetMode="External"/><Relationship Id="rId386" Type="http://schemas.openxmlformats.org/officeDocument/2006/relationships/hyperlink" Target="mailto:vspnpack2007@yahoo.co.in" TargetMode="External"/><Relationship Id="rId190" Type="http://schemas.openxmlformats.org/officeDocument/2006/relationships/hyperlink" Target="mailto:gk@bwcbah.com" TargetMode="External"/><Relationship Id="rId204" Type="http://schemas.openxmlformats.org/officeDocument/2006/relationships/hyperlink" Target="mailto:ra.engineers.gzb@gmail.com" TargetMode="External"/><Relationship Id="rId225" Type="http://schemas.openxmlformats.org/officeDocument/2006/relationships/hyperlink" Target="mailto:chetan.chavan@modulex.in" TargetMode="External"/><Relationship Id="rId246" Type="http://schemas.openxmlformats.org/officeDocument/2006/relationships/hyperlink" Target="mailto:jugal@bslaluminiumltd.com" TargetMode="External"/><Relationship Id="rId267" Type="http://schemas.openxmlformats.org/officeDocument/2006/relationships/hyperlink" Target="mailto:deepakkumarsharma59@gmail.com" TargetMode="External"/><Relationship Id="rId288" Type="http://schemas.openxmlformats.org/officeDocument/2006/relationships/hyperlink" Target="mailto:manisiva443@gmail.com" TargetMode="External"/><Relationship Id="rId411" Type="http://schemas.openxmlformats.org/officeDocument/2006/relationships/hyperlink" Target="mailto:%3cpratik.patil@jcb.com" TargetMode="External"/><Relationship Id="rId432" Type="http://schemas.openxmlformats.org/officeDocument/2006/relationships/hyperlink" Target="mailto:shinde.abhay333@gmail.com" TargetMode="External"/><Relationship Id="rId106" Type="http://schemas.openxmlformats.org/officeDocument/2006/relationships/hyperlink" Target="mailto:rani@bhartiyaispat.com" TargetMode="External"/><Relationship Id="rId127" Type="http://schemas.openxmlformats.org/officeDocument/2006/relationships/hyperlink" Target="mailto:purchase@trizsystems.com" TargetMode="External"/><Relationship Id="rId313" Type="http://schemas.openxmlformats.org/officeDocument/2006/relationships/hyperlink" Target="mailto:dipeshdas8888@gmail.com" TargetMode="External"/><Relationship Id="rId10" Type="http://schemas.openxmlformats.org/officeDocument/2006/relationships/hyperlink" Target="mailto:beskarumar@gmail.com" TargetMode="External"/><Relationship Id="rId31" Type="http://schemas.openxmlformats.org/officeDocument/2006/relationships/hyperlink" Target="mailto:sagarrewatkar908@gmail.com" TargetMode="External"/><Relationship Id="rId52" Type="http://schemas.openxmlformats.org/officeDocument/2006/relationships/hyperlink" Target="mailto:smahesh7662@gmail.com" TargetMode="External"/><Relationship Id="rId73" Type="http://schemas.openxmlformats.org/officeDocument/2006/relationships/hyperlink" Target="mailto:jaytomar0203@gmail.com" TargetMode="External"/><Relationship Id="rId94" Type="http://schemas.openxmlformats.org/officeDocument/2006/relationships/hyperlink" Target="mailto:assembly@arhan.co.in" TargetMode="External"/><Relationship Id="rId148" Type="http://schemas.openxmlformats.org/officeDocument/2006/relationships/hyperlink" Target="mailto:dalwaleanand@hotmail.com" TargetMode="External"/><Relationship Id="rId169" Type="http://schemas.openxmlformats.org/officeDocument/2006/relationships/hyperlink" Target="mailto:vittal.m@radiantcorpn.com" TargetMode="External"/><Relationship Id="rId334" Type="http://schemas.openxmlformats.org/officeDocument/2006/relationships/hyperlink" Target="mailto:vaibhavbhat29@gmail.com" TargetMode="External"/><Relationship Id="rId355" Type="http://schemas.openxmlformats.org/officeDocument/2006/relationships/hyperlink" Target="mailto:vikram.d79@gmail.com" TargetMode="External"/><Relationship Id="rId376" Type="http://schemas.openxmlformats.org/officeDocument/2006/relationships/hyperlink" Target="mailto:rambabuprajapat6@gmail.com" TargetMode="External"/><Relationship Id="rId397" Type="http://schemas.openxmlformats.org/officeDocument/2006/relationships/hyperlink" Target="mailto:ansarbelgaum@gmail.com" TargetMode="External"/><Relationship Id="rId4" Type="http://schemas.openxmlformats.org/officeDocument/2006/relationships/hyperlink" Target="mailto:vrushalipanels@outlook.com" TargetMode="External"/><Relationship Id="rId180" Type="http://schemas.openxmlformats.org/officeDocument/2006/relationships/hyperlink" Target="mailto:Devendra.Kapade@ksb.com" TargetMode="External"/><Relationship Id="rId215" Type="http://schemas.openxmlformats.org/officeDocument/2006/relationships/hyperlink" Target="mailto:pankajletsbegin@gmail.com" TargetMode="External"/><Relationship Id="rId236" Type="http://schemas.openxmlformats.org/officeDocument/2006/relationships/hyperlink" Target="mailto:kartikey1269@gmail.com" TargetMode="External"/><Relationship Id="rId257" Type="http://schemas.openxmlformats.org/officeDocument/2006/relationships/hyperlink" Target="mailto:nad9876khan@gmail.com" TargetMode="External"/><Relationship Id="rId278" Type="http://schemas.openxmlformats.org/officeDocument/2006/relationships/hyperlink" Target="mailto:mudassarkazi554@gmail.com" TargetMode="External"/><Relationship Id="rId401" Type="http://schemas.openxmlformats.org/officeDocument/2006/relationships/hyperlink" Target="mailto:sshambhussingh08893@gmail.com" TargetMode="External"/><Relationship Id="rId422" Type="http://schemas.openxmlformats.org/officeDocument/2006/relationships/hyperlink" Target="mailto:arjunkurhade66967@gmail.com" TargetMode="External"/><Relationship Id="rId303" Type="http://schemas.openxmlformats.org/officeDocument/2006/relationships/hyperlink" Target="mailto:regalcranew@gmail.com" TargetMode="External"/><Relationship Id="rId42" Type="http://schemas.openxmlformats.org/officeDocument/2006/relationships/hyperlink" Target="mailto:ojyadav@paranjapeautocast.com" TargetMode="External"/><Relationship Id="rId84" Type="http://schemas.openxmlformats.org/officeDocument/2006/relationships/hyperlink" Target="mailto:gonsalvesjoel2000@gmail.com" TargetMode="External"/><Relationship Id="rId138" Type="http://schemas.openxmlformats.org/officeDocument/2006/relationships/hyperlink" Target="mailto:engineering@alexgrinders.com" TargetMode="External"/><Relationship Id="rId345" Type="http://schemas.openxmlformats.org/officeDocument/2006/relationships/hyperlink" Target="mailto:govardhan.varpe@kirloskar.com" TargetMode="External"/><Relationship Id="rId387" Type="http://schemas.openxmlformats.org/officeDocument/2006/relationships/hyperlink" Target="mailto:shrenik@navbharatbuildcon.com" TargetMode="External"/><Relationship Id="rId191" Type="http://schemas.openxmlformats.org/officeDocument/2006/relationships/hyperlink" Target="mailto:nrk.sbp@gmail.com" TargetMode="External"/><Relationship Id="rId205" Type="http://schemas.openxmlformats.org/officeDocument/2006/relationships/hyperlink" Target="mailto:jkee.dahej@gmail.com" TargetMode="External"/><Relationship Id="rId247" Type="http://schemas.openxmlformats.org/officeDocument/2006/relationships/hyperlink" Target="mailto:%3cniranjan.shimpale@kirloskar.com" TargetMode="External"/><Relationship Id="rId412" Type="http://schemas.openxmlformats.org/officeDocument/2006/relationships/hyperlink" Target="mailto:rajiv.gaikwad@dynapac.com" TargetMode="External"/><Relationship Id="rId107" Type="http://schemas.openxmlformats.org/officeDocument/2006/relationships/hyperlink" Target="mailto:humayun.mallick@araymond.com" TargetMode="External"/><Relationship Id="rId289" Type="http://schemas.openxmlformats.org/officeDocument/2006/relationships/hyperlink" Target="mailto:dr.eractors@gmail.com" TargetMode="External"/><Relationship Id="rId11" Type="http://schemas.openxmlformats.org/officeDocument/2006/relationships/hyperlink" Target="mailto:mvnn19@gmail.com" TargetMode="External"/><Relationship Id="rId53" Type="http://schemas.openxmlformats.org/officeDocument/2006/relationships/hyperlink" Target="mailto:himank@vistaarsolutions.in" TargetMode="External"/><Relationship Id="rId149" Type="http://schemas.openxmlformats.org/officeDocument/2006/relationships/hyperlink" Target="mailto:edith.24091999@gmail.com" TargetMode="External"/><Relationship Id="rId314" Type="http://schemas.openxmlformats.org/officeDocument/2006/relationships/hyperlink" Target="mailto:kaushik.jagadeshan@gmail.com" TargetMode="External"/><Relationship Id="rId356" Type="http://schemas.openxmlformats.org/officeDocument/2006/relationships/hyperlink" Target="mailto:mkmishra77@rediffmail.com" TargetMode="External"/><Relationship Id="rId398" Type="http://schemas.openxmlformats.org/officeDocument/2006/relationships/hyperlink" Target="mailto:sbdhpl@gmail.com" TargetMode="External"/><Relationship Id="rId95" Type="http://schemas.openxmlformats.org/officeDocument/2006/relationships/hyperlink" Target="mailto:navajadhav8@gmail.com" TargetMode="External"/><Relationship Id="rId160" Type="http://schemas.openxmlformats.org/officeDocument/2006/relationships/hyperlink" Target="mailto:unent.pune@gmail.com" TargetMode="External"/><Relationship Id="rId216" Type="http://schemas.openxmlformats.org/officeDocument/2006/relationships/hyperlink" Target="mailto:shibin8689@gmail.com" TargetMode="External"/><Relationship Id="rId423" Type="http://schemas.openxmlformats.org/officeDocument/2006/relationships/hyperlink" Target="mailto:arvinddandwate2@gmail.com" TargetMode="External"/><Relationship Id="rId258" Type="http://schemas.openxmlformats.org/officeDocument/2006/relationships/hyperlink" Target="mailto:ranjitpradhan787@gmail.com" TargetMode="External"/><Relationship Id="rId22" Type="http://schemas.openxmlformats.org/officeDocument/2006/relationships/hyperlink" Target="mailto:gauravan92@gmail.com" TargetMode="External"/><Relationship Id="rId64" Type="http://schemas.openxmlformats.org/officeDocument/2006/relationships/hyperlink" Target="mailto:reliable.enterprises@ymail.com" TargetMode="External"/><Relationship Id="rId118" Type="http://schemas.openxmlformats.org/officeDocument/2006/relationships/hyperlink" Target="mailto:jk768844@gmail.com" TargetMode="External"/><Relationship Id="rId325" Type="http://schemas.openxmlformats.org/officeDocument/2006/relationships/hyperlink" Target="mailto:commoditypurchase@jyotisolutionsworks.com" TargetMode="External"/><Relationship Id="rId367" Type="http://schemas.openxmlformats.org/officeDocument/2006/relationships/hyperlink" Target="mailto:psr.em.engineeringservices@gmail.com" TargetMode="External"/><Relationship Id="rId171" Type="http://schemas.openxmlformats.org/officeDocument/2006/relationships/hyperlink" Target="mailto:ajitsalunkhe14@gmail.com" TargetMode="External"/><Relationship Id="rId227" Type="http://schemas.openxmlformats.org/officeDocument/2006/relationships/hyperlink" Target="mailto:sutarmahesh71@gmail.com" TargetMode="External"/><Relationship Id="rId269" Type="http://schemas.openxmlformats.org/officeDocument/2006/relationships/hyperlink" Target="mailto:blackberryserver@gmail.com" TargetMode="External"/><Relationship Id="rId434" Type="http://schemas.openxmlformats.org/officeDocument/2006/relationships/hyperlink" Target="mailto:shindeabhishek004@gmail.com" TargetMode="External"/><Relationship Id="rId33" Type="http://schemas.openxmlformats.org/officeDocument/2006/relationships/hyperlink" Target="mailto:dhiraj_shetkar@rediffmail.com" TargetMode="External"/><Relationship Id="rId129" Type="http://schemas.openxmlformats.org/officeDocument/2006/relationships/hyperlink" Target="mailto:sal143mankhan@gmail.com" TargetMode="External"/><Relationship Id="rId280" Type="http://schemas.openxmlformats.org/officeDocument/2006/relationships/hyperlink" Target="mailto:rititarun@gmail.com" TargetMode="External"/><Relationship Id="rId336" Type="http://schemas.openxmlformats.org/officeDocument/2006/relationships/hyperlink" Target="mailto:nvk@krivel.in" TargetMode="External"/><Relationship Id="rId75" Type="http://schemas.openxmlformats.org/officeDocument/2006/relationships/hyperlink" Target="mailto:prashant.z@instorindia.com" TargetMode="External"/><Relationship Id="rId140" Type="http://schemas.openxmlformats.org/officeDocument/2006/relationships/hyperlink" Target="mailto:imraanabbas1982@gmail.com" TargetMode="External"/><Relationship Id="rId182" Type="http://schemas.openxmlformats.org/officeDocument/2006/relationships/hyperlink" Target="mailto:sganesh1892@gmail.com" TargetMode="External"/><Relationship Id="rId378" Type="http://schemas.openxmlformats.org/officeDocument/2006/relationships/hyperlink" Target="mailto:soham.dalvi@parker.com" TargetMode="External"/><Relationship Id="rId403" Type="http://schemas.openxmlformats.org/officeDocument/2006/relationships/hyperlink" Target="mailto:yuvraj_kate84@rediffmail.com" TargetMode="External"/><Relationship Id="rId6" Type="http://schemas.openxmlformats.org/officeDocument/2006/relationships/hyperlink" Target="mailto:ajittambe@yahoo.com" TargetMode="External"/><Relationship Id="rId238" Type="http://schemas.openxmlformats.org/officeDocument/2006/relationships/hyperlink" Target="mailto:billing_tippl@rmkinfrastructure.com" TargetMode="External"/><Relationship Id="rId291" Type="http://schemas.openxmlformats.org/officeDocument/2006/relationships/hyperlink" Target="mailto:ssvprecisionenginnering@gmail.com" TargetMode="External"/><Relationship Id="rId305" Type="http://schemas.openxmlformats.org/officeDocument/2006/relationships/hyperlink" Target="mailto:arunetawah01@gmail.com" TargetMode="External"/><Relationship Id="rId347" Type="http://schemas.openxmlformats.org/officeDocument/2006/relationships/hyperlink" Target="mailto:mgr.purchase@arcepolymers.com" TargetMode="External"/><Relationship Id="rId44" Type="http://schemas.openxmlformats.org/officeDocument/2006/relationships/hyperlink" Target="mailto:hanumaneng95@gmail.com" TargetMode="External"/><Relationship Id="rId86" Type="http://schemas.openxmlformats.org/officeDocument/2006/relationships/hyperlink" Target="mailto:nafees52438@gmail.com" TargetMode="External"/><Relationship Id="rId151" Type="http://schemas.openxmlformats.org/officeDocument/2006/relationships/hyperlink" Target="mailto:del.maintenance@duncanengg.com" TargetMode="External"/><Relationship Id="rId389" Type="http://schemas.openxmlformats.org/officeDocument/2006/relationships/hyperlink" Target="mailto:shreemauli8080@gmail.com" TargetMode="External"/><Relationship Id="rId193" Type="http://schemas.openxmlformats.org/officeDocument/2006/relationships/hyperlink" Target="mailto:gk@bwcbah.com" TargetMode="External"/><Relationship Id="rId207" Type="http://schemas.openxmlformats.org/officeDocument/2006/relationships/hyperlink" Target="mailto:dharanikumarsenthil@gmail.com" TargetMode="External"/><Relationship Id="rId249" Type="http://schemas.openxmlformats.org/officeDocument/2006/relationships/hyperlink" Target="mailto:eki1@endo-india.co.in" TargetMode="External"/><Relationship Id="rId414" Type="http://schemas.openxmlformats.org/officeDocument/2006/relationships/hyperlink" Target="mailto:kamsiddha.lif@gmail.com" TargetMode="External"/><Relationship Id="rId13" Type="http://schemas.openxmlformats.org/officeDocument/2006/relationships/hyperlink" Target="mailto:jrctradingworkmate@gmail.com" TargetMode="External"/><Relationship Id="rId109" Type="http://schemas.openxmlformats.org/officeDocument/2006/relationships/hyperlink" Target="mailto:pur2@masterhandlers.com" TargetMode="External"/><Relationship Id="rId260" Type="http://schemas.openxmlformats.org/officeDocument/2006/relationships/hyperlink" Target="mailto:info@emraldcure.com" TargetMode="External"/><Relationship Id="rId316" Type="http://schemas.openxmlformats.org/officeDocument/2006/relationships/hyperlink" Target="mailto:vasukthumati@gmail.com" TargetMode="External"/><Relationship Id="rId55" Type="http://schemas.openxmlformats.org/officeDocument/2006/relationships/hyperlink" Target="mailto:paragempire@gmail.com" TargetMode="External"/><Relationship Id="rId97" Type="http://schemas.openxmlformats.org/officeDocument/2006/relationships/hyperlink" Target="mailto:ravisutar24425@gmail.com" TargetMode="External"/><Relationship Id="rId120" Type="http://schemas.openxmlformats.org/officeDocument/2006/relationships/hyperlink" Target="mailto:srindustries77@gmail.com" TargetMode="External"/><Relationship Id="rId358" Type="http://schemas.openxmlformats.org/officeDocument/2006/relationships/hyperlink" Target="mailto:pmpatil844@gmail.com" TargetMode="External"/><Relationship Id="rId162" Type="http://schemas.openxmlformats.org/officeDocument/2006/relationships/hyperlink" Target="mailto:hanumaneng95@gmail.com" TargetMode="External"/><Relationship Id="rId218" Type="http://schemas.openxmlformats.org/officeDocument/2006/relationships/hyperlink" Target="mailto:amesimpex.engg@gmail.com" TargetMode="External"/><Relationship Id="rId425" Type="http://schemas.openxmlformats.org/officeDocument/2006/relationships/hyperlink" Target="mailto:AVINASHJAIN59@GMAIL.COM" TargetMode="External"/><Relationship Id="rId271" Type="http://schemas.openxmlformats.org/officeDocument/2006/relationships/hyperlink" Target="mailto:%3cgauravarya@jendamark.in" TargetMode="External"/><Relationship Id="rId24" Type="http://schemas.openxmlformats.org/officeDocument/2006/relationships/hyperlink" Target="mailto:kirubataniesh114@gmail.com" TargetMode="External"/><Relationship Id="rId66" Type="http://schemas.openxmlformats.org/officeDocument/2006/relationships/hyperlink" Target="mailto:production.unit1@enggmech.com" TargetMode="External"/><Relationship Id="rId131" Type="http://schemas.openxmlformats.org/officeDocument/2006/relationships/hyperlink" Target="mailto:purchase.flamesolren@gmail.com" TargetMode="External"/><Relationship Id="rId327" Type="http://schemas.openxmlformats.org/officeDocument/2006/relationships/hyperlink" Target="mailto:anand.kulkarni@kamalenvirotech.com" TargetMode="External"/><Relationship Id="rId369" Type="http://schemas.openxmlformats.org/officeDocument/2006/relationships/hyperlink" Target="mailto:factory@leoengineer.com" TargetMode="External"/><Relationship Id="rId173" Type="http://schemas.openxmlformats.org/officeDocument/2006/relationships/hyperlink" Target="mailto:mustafa@qpointsolutions.com" TargetMode="External"/><Relationship Id="rId229" Type="http://schemas.openxmlformats.org/officeDocument/2006/relationships/hyperlink" Target="mailto:info@bestweldingsolutions.in" TargetMode="External"/><Relationship Id="rId380" Type="http://schemas.openxmlformats.org/officeDocument/2006/relationships/hyperlink" Target="mailto:ashoksalgude1818@gmail.com" TargetMode="External"/><Relationship Id="rId436" Type="http://schemas.openxmlformats.org/officeDocument/2006/relationships/hyperlink" Target="mailto:dbcoe.chiefeng@gmail.com" TargetMode="External"/><Relationship Id="rId240" Type="http://schemas.openxmlformats.org/officeDocument/2006/relationships/hyperlink" Target="mailto:nimbathakare1975@gmail.com" TargetMode="External"/><Relationship Id="rId35" Type="http://schemas.openxmlformats.org/officeDocument/2006/relationships/hyperlink" Target="mailto:prajapatiajay675@gmail.com" TargetMode="External"/><Relationship Id="rId77" Type="http://schemas.openxmlformats.org/officeDocument/2006/relationships/hyperlink" Target="mailto:saravansurya69@gmail.com" TargetMode="External"/><Relationship Id="rId100" Type="http://schemas.openxmlformats.org/officeDocument/2006/relationships/hyperlink" Target="mailto:info@sunrocksynergy.com" TargetMode="External"/><Relationship Id="rId282" Type="http://schemas.openxmlformats.org/officeDocument/2006/relationships/hyperlink" Target="mailto:rash.wi13@gmail.com" TargetMode="External"/><Relationship Id="rId338" Type="http://schemas.openxmlformats.org/officeDocument/2006/relationships/hyperlink" Target="mailto:ppoonthamilanppoonthamilan@gmail.com" TargetMode="External"/><Relationship Id="rId8" Type="http://schemas.openxmlformats.org/officeDocument/2006/relationships/hyperlink" Target="mailto:rajkushwahasm@gmail.com" TargetMode="External"/><Relationship Id="rId142" Type="http://schemas.openxmlformats.org/officeDocument/2006/relationships/hyperlink" Target="mailto:soumyapujari@sammoninfra.com" TargetMode="External"/><Relationship Id="rId184" Type="http://schemas.openxmlformats.org/officeDocument/2006/relationships/hyperlink" Target="mailto:aniketbichkule49@gmail.com" TargetMode="External"/><Relationship Id="rId391" Type="http://schemas.openxmlformats.org/officeDocument/2006/relationships/hyperlink" Target="mailto:%3cJaywant.Sutar@ksb.com" TargetMode="External"/><Relationship Id="rId405" Type="http://schemas.openxmlformats.org/officeDocument/2006/relationships/hyperlink" Target="mailto:nsnkarthik12@gmail.com" TargetMode="External"/><Relationship Id="rId251" Type="http://schemas.openxmlformats.org/officeDocument/2006/relationships/hyperlink" Target="mailto:soundar2301@gmail.com" TargetMode="External"/><Relationship Id="rId46" Type="http://schemas.openxmlformats.org/officeDocument/2006/relationships/hyperlink" Target="mailto:gautam.4@hotmail.com" TargetMode="External"/><Relationship Id="rId293" Type="http://schemas.openxmlformats.org/officeDocument/2006/relationships/hyperlink" Target="mailto:surajmaske9090@gmail.com" TargetMode="External"/><Relationship Id="rId307" Type="http://schemas.openxmlformats.org/officeDocument/2006/relationships/hyperlink" Target="mailto:krgrajiv@gmail.com" TargetMode="External"/><Relationship Id="rId349" Type="http://schemas.openxmlformats.org/officeDocument/2006/relationships/hyperlink" Target="mailto:ala.narayanan@gmail.com" TargetMode="External"/><Relationship Id="rId88" Type="http://schemas.openxmlformats.org/officeDocument/2006/relationships/hyperlink" Target="mailto:brcmurthy2577@gmail.com" TargetMode="External"/><Relationship Id="rId111" Type="http://schemas.openxmlformats.org/officeDocument/2006/relationships/hyperlink" Target="mailto:skshirsagar@ultracorpotech.com" TargetMode="External"/><Relationship Id="rId153" Type="http://schemas.openxmlformats.org/officeDocument/2006/relationships/hyperlink" Target="mailto:alok.deshmukh@atlascopco.com" TargetMode="External"/><Relationship Id="rId195" Type="http://schemas.openxmlformats.org/officeDocument/2006/relationships/hyperlink" Target="mailto:shubhamfarkade150@gmail.com" TargetMode="External"/><Relationship Id="rId209" Type="http://schemas.openxmlformats.org/officeDocument/2006/relationships/hyperlink" Target="mailto:info.steel@hahgroup.in" TargetMode="External"/><Relationship Id="rId360" Type="http://schemas.openxmlformats.org/officeDocument/2006/relationships/hyperlink" Target="mailto:comfort.craneservice07@gmail.com" TargetMode="External"/><Relationship Id="rId416" Type="http://schemas.openxmlformats.org/officeDocument/2006/relationships/hyperlink" Target="mailto:mohmmad.aslam04@gmail.com" TargetMode="External"/><Relationship Id="rId220" Type="http://schemas.openxmlformats.org/officeDocument/2006/relationships/hyperlink" Target="mailto:application@accurate.co.in" TargetMode="External"/><Relationship Id="rId15" Type="http://schemas.openxmlformats.org/officeDocument/2006/relationships/hyperlink" Target="mailto:sankpal143@gmail.com" TargetMode="External"/><Relationship Id="rId57" Type="http://schemas.openxmlformats.org/officeDocument/2006/relationships/hyperlink" Target="mailto:kishor.agale@kirloskar.com" TargetMode="External"/><Relationship Id="rId262" Type="http://schemas.openxmlformats.org/officeDocument/2006/relationships/hyperlink" Target="mailto:balr24539@gmail.com" TargetMode="External"/><Relationship Id="rId318" Type="http://schemas.openxmlformats.org/officeDocument/2006/relationships/hyperlink" Target="mailto:sri4sriram@yahoo.com" TargetMode="External"/><Relationship Id="rId99" Type="http://schemas.openxmlformats.org/officeDocument/2006/relationships/hyperlink" Target="mailto:sunil.k@amrutaenterprises.com" TargetMode="External"/><Relationship Id="rId122" Type="http://schemas.openxmlformats.org/officeDocument/2006/relationships/hyperlink" Target="mailto:vikaspadalkar@bharatforge.com" TargetMode="External"/><Relationship Id="rId164" Type="http://schemas.openxmlformats.org/officeDocument/2006/relationships/hyperlink" Target="mailto:sbdhpl@gmail.com" TargetMode="External"/><Relationship Id="rId371" Type="http://schemas.openxmlformats.org/officeDocument/2006/relationships/hyperlink" Target="mailto:sandeep.awari@meccalte.in" TargetMode="External"/><Relationship Id="rId427" Type="http://schemas.openxmlformats.org/officeDocument/2006/relationships/hyperlink" Target="mailto:support@buildcheminfra.com" TargetMode="External"/><Relationship Id="rId26" Type="http://schemas.openxmlformats.org/officeDocument/2006/relationships/hyperlink" Target="mailto:sampangiramh@gmail.com" TargetMode="External"/><Relationship Id="rId231" Type="http://schemas.openxmlformats.org/officeDocument/2006/relationships/hyperlink" Target="mailto:at8854028@gmail.com" TargetMode="External"/><Relationship Id="rId273" Type="http://schemas.openxmlformats.org/officeDocument/2006/relationships/hyperlink" Target="mailto:hoffenplastics@gmail.com" TargetMode="External"/><Relationship Id="rId329" Type="http://schemas.openxmlformats.org/officeDocument/2006/relationships/hyperlink" Target="mailto:mvp@dinex.in" TargetMode="External"/><Relationship Id="rId68" Type="http://schemas.openxmlformats.org/officeDocument/2006/relationships/hyperlink" Target="mailto:project@acebrain.com" TargetMode="External"/><Relationship Id="rId133" Type="http://schemas.openxmlformats.org/officeDocument/2006/relationships/hyperlink" Target="mailto:prasad.desai020@gmail.com" TargetMode="External"/><Relationship Id="rId175" Type="http://schemas.openxmlformats.org/officeDocument/2006/relationships/hyperlink" Target="mailto:Shreeniwasbbh@gmail.com" TargetMode="External"/><Relationship Id="rId340" Type="http://schemas.openxmlformats.org/officeDocument/2006/relationships/hyperlink" Target="mailto:kanhaiyagurjar6377@gmail.com" TargetMode="External"/><Relationship Id="rId200" Type="http://schemas.openxmlformats.org/officeDocument/2006/relationships/hyperlink" Target="mailto:chetn46@gmail.com" TargetMode="External"/><Relationship Id="rId382" Type="http://schemas.openxmlformats.org/officeDocument/2006/relationships/hyperlink" Target="mailto:sandip_51@ymail.com" TargetMode="External"/><Relationship Id="rId438" Type="http://schemas.openxmlformats.org/officeDocument/2006/relationships/table" Target="../tables/table1.xml"/><Relationship Id="rId242" Type="http://schemas.openxmlformats.org/officeDocument/2006/relationships/hyperlink" Target="mailto:sukhdevprajapati777@gmail.com" TargetMode="External"/><Relationship Id="rId284" Type="http://schemas.openxmlformats.org/officeDocument/2006/relationships/hyperlink" Target="mailto:axisfireservices@gmail.com" TargetMode="External"/><Relationship Id="rId37" Type="http://schemas.openxmlformats.org/officeDocument/2006/relationships/hyperlink" Target="mailto:ajaikulkarni669@gmail.com" TargetMode="External"/><Relationship Id="rId79" Type="http://schemas.openxmlformats.org/officeDocument/2006/relationships/hyperlink" Target="mailto:nayabm035@gmail.com" TargetMode="External"/><Relationship Id="rId102" Type="http://schemas.openxmlformats.org/officeDocument/2006/relationships/hyperlink" Target="mailto:shubham.hydraluic@gmail.com" TargetMode="External"/><Relationship Id="rId144" Type="http://schemas.openxmlformats.org/officeDocument/2006/relationships/hyperlink" Target="mailto:aliraja53@gmail.com" TargetMode="External"/><Relationship Id="rId90" Type="http://schemas.openxmlformats.org/officeDocument/2006/relationships/hyperlink" Target="mailto:sharadpali1980@gmail.com" TargetMode="External"/><Relationship Id="rId186" Type="http://schemas.openxmlformats.org/officeDocument/2006/relationships/hyperlink" Target="mailto:anushainfratech@gmail.com" TargetMode="External"/><Relationship Id="rId351" Type="http://schemas.openxmlformats.org/officeDocument/2006/relationships/hyperlink" Target="mailto:sales@lnbera.com" TargetMode="External"/><Relationship Id="rId393" Type="http://schemas.openxmlformats.org/officeDocument/2006/relationships/hyperlink" Target="mailto:%3csandeep.naikare@cummins.com" TargetMode="External"/><Relationship Id="rId407" Type="http://schemas.openxmlformats.org/officeDocument/2006/relationships/hyperlink" Target="mailto:-aakrutitooling@gmail.com" TargetMode="External"/><Relationship Id="rId211" Type="http://schemas.openxmlformats.org/officeDocument/2006/relationships/hyperlink" Target="mailto:jainc0537@gmail.com" TargetMode="External"/><Relationship Id="rId253" Type="http://schemas.openxmlformats.org/officeDocument/2006/relationships/hyperlink" Target="mailto:aryan.engineering2712@gmail.com" TargetMode="External"/><Relationship Id="rId295" Type="http://schemas.openxmlformats.org/officeDocument/2006/relationships/hyperlink" Target="mailto:mpraba958@gmail.com" TargetMode="External"/><Relationship Id="rId309" Type="http://schemas.openxmlformats.org/officeDocument/2006/relationships/hyperlink" Target="mailto:sshambhussingh08893@gmail.com" TargetMode="External"/><Relationship Id="rId48" Type="http://schemas.openxmlformats.org/officeDocument/2006/relationships/hyperlink" Target="mailto:ramyamadhusudhan3@gmail.com" TargetMode="External"/><Relationship Id="rId113" Type="http://schemas.openxmlformats.org/officeDocument/2006/relationships/hyperlink" Target="mailto:vm3304@gmail.com" TargetMode="External"/><Relationship Id="rId320" Type="http://schemas.openxmlformats.org/officeDocument/2006/relationships/hyperlink" Target="mailto:gangkarthik3760@gmail.com" TargetMode="External"/><Relationship Id="rId155" Type="http://schemas.openxmlformats.org/officeDocument/2006/relationships/hyperlink" Target="mailto:vinayak.ik@difacto.com" TargetMode="External"/><Relationship Id="rId197" Type="http://schemas.openxmlformats.org/officeDocument/2006/relationships/hyperlink" Target="mailto:rajinderkang071@gmail.com" TargetMode="External"/><Relationship Id="rId362" Type="http://schemas.openxmlformats.org/officeDocument/2006/relationships/hyperlink" Target="mailto:amar_83277@rediffmail.com" TargetMode="External"/><Relationship Id="rId418" Type="http://schemas.openxmlformats.org/officeDocument/2006/relationships/hyperlink" Target="mailto:srimahalakshmi216@gmail.com" TargetMode="External"/><Relationship Id="rId222" Type="http://schemas.openxmlformats.org/officeDocument/2006/relationships/hyperlink" Target="mailto:hidu78600@gmail.com" TargetMode="External"/><Relationship Id="rId264" Type="http://schemas.openxmlformats.org/officeDocument/2006/relationships/hyperlink" Target="mailto:vikram@accurategauging.com" TargetMode="External"/><Relationship Id="rId17" Type="http://schemas.openxmlformats.org/officeDocument/2006/relationships/hyperlink" Target="mailto:vijaypatel.mech08@gmail.com" TargetMode="External"/><Relationship Id="rId59" Type="http://schemas.openxmlformats.org/officeDocument/2006/relationships/hyperlink" Target="mailto:abhinav@swatah.ai" TargetMode="External"/><Relationship Id="rId124" Type="http://schemas.openxmlformats.org/officeDocument/2006/relationships/hyperlink" Target="mailto:brijesh.patel@jsw.in" TargetMode="External"/><Relationship Id="rId70" Type="http://schemas.openxmlformats.org/officeDocument/2006/relationships/hyperlink" Target="mailto:ojaspatil2025@gmail.com" TargetMode="External"/><Relationship Id="rId166" Type="http://schemas.openxmlformats.org/officeDocument/2006/relationships/hyperlink" Target="mailto:bibekchandra@ymail.com" TargetMode="External"/><Relationship Id="rId331" Type="http://schemas.openxmlformats.org/officeDocument/2006/relationships/hyperlink" Target="mailto:BTapkir@tox-in.com" TargetMode="External"/><Relationship Id="rId373" Type="http://schemas.openxmlformats.org/officeDocument/2006/relationships/hyperlink" Target="mailto:shree.automationandsystem@gmail.com" TargetMode="External"/><Relationship Id="rId429" Type="http://schemas.openxmlformats.org/officeDocument/2006/relationships/hyperlink" Target="mailto:kamsiddha.eng@gmail.com" TargetMode="External"/><Relationship Id="rId1" Type="http://schemas.openxmlformats.org/officeDocument/2006/relationships/hyperlink" Target="mailto:shokenderchhillar@indofarm.in" TargetMode="External"/><Relationship Id="rId233" Type="http://schemas.openxmlformats.org/officeDocument/2006/relationships/hyperlink" Target="mailto:amol.pawar@topse.in" TargetMode="External"/><Relationship Id="rId28" Type="http://schemas.openxmlformats.org/officeDocument/2006/relationships/hyperlink" Target="mailto:bhanderivedant057@gmail.com" TargetMode="External"/><Relationship Id="rId275" Type="http://schemas.openxmlformats.org/officeDocument/2006/relationships/hyperlink" Target="mailto:pankaj.joshi@kirloskar.com" TargetMode="External"/><Relationship Id="rId300" Type="http://schemas.openxmlformats.org/officeDocument/2006/relationships/hyperlink" Target="mailto:borudemv2015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AJ192"/>
  <sheetViews>
    <sheetView topLeftCell="D10" zoomScale="70" zoomScaleNormal="70" workbookViewId="0">
      <selection activeCell="M68" sqref="M68"/>
    </sheetView>
  </sheetViews>
  <sheetFormatPr defaultRowHeight="15"/>
  <cols>
    <col min="1" max="1" width="4.28515625" customWidth="1"/>
    <col min="2" max="2" width="20" customWidth="1"/>
    <col min="4" max="4" width="19.28515625" customWidth="1"/>
    <col min="5" max="5" width="13.5703125" customWidth="1"/>
    <col min="6" max="6" width="12.7109375" customWidth="1"/>
    <col min="7" max="7" width="6.85546875" customWidth="1"/>
    <col min="8" max="8" width="37.140625" customWidth="1"/>
    <col min="9" max="9" width="18.85546875" customWidth="1"/>
    <col min="12" max="12" width="11.140625" customWidth="1"/>
  </cols>
  <sheetData>
    <row r="1" spans="1:36" ht="15" customHeight="1" thickBot="1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6" ht="36" customHeight="1" thickBot="1">
      <c r="A2" s="12"/>
      <c r="B2" s="276" t="s">
        <v>0</v>
      </c>
      <c r="C2" s="277"/>
      <c r="D2" s="277"/>
      <c r="E2" s="277"/>
      <c r="F2" s="277"/>
      <c r="G2" s="277"/>
      <c r="H2" s="277"/>
      <c r="I2" s="277"/>
      <c r="J2" s="277"/>
      <c r="K2" s="277"/>
      <c r="L2" s="277"/>
      <c r="M2" s="277"/>
      <c r="N2" s="278"/>
      <c r="O2" s="278"/>
      <c r="P2" s="277"/>
      <c r="Q2" s="277"/>
      <c r="R2" s="277"/>
      <c r="S2" s="277"/>
      <c r="T2" s="277"/>
      <c r="U2" s="277"/>
      <c r="V2" s="277"/>
      <c r="W2" s="279">
        <f ca="1">TODAY()</f>
        <v>46133</v>
      </c>
      <c r="X2" s="280"/>
      <c r="Y2" s="281"/>
    </row>
    <row r="3" spans="1:36" ht="21.75" customHeight="1" thickBot="1">
      <c r="A3" s="11"/>
      <c r="B3" s="63" t="s">
        <v>1</v>
      </c>
      <c r="C3" s="11"/>
      <c r="D3" s="70" t="s">
        <v>2</v>
      </c>
      <c r="E3" s="71" t="s">
        <v>3</v>
      </c>
      <c r="F3" s="71" t="s">
        <v>4</v>
      </c>
      <c r="G3" s="11"/>
      <c r="H3" s="73" t="s">
        <v>5</v>
      </c>
      <c r="I3" s="72" t="s">
        <v>6</v>
      </c>
      <c r="K3" s="62" t="s">
        <v>7</v>
      </c>
      <c r="L3" s="274" t="s">
        <v>8</v>
      </c>
      <c r="N3" s="282" t="s">
        <v>9</v>
      </c>
      <c r="O3" s="283"/>
      <c r="P3" s="11"/>
      <c r="Q3" s="11"/>
      <c r="R3" s="11"/>
      <c r="S3" s="11"/>
      <c r="T3" s="11"/>
      <c r="U3" s="11"/>
      <c r="V3" s="11"/>
      <c r="W3" s="11"/>
      <c r="X3" s="11"/>
      <c r="Y3" s="13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</row>
    <row r="4" spans="1:36" ht="39.75" customHeight="1" thickBot="1">
      <c r="A4" s="11"/>
      <c r="B4" s="62">
        <f>Table4[[#Totals],[No]]</f>
        <v>740</v>
      </c>
      <c r="D4" s="68">
        <f ca="1">'DATA SHEET'!L11</f>
        <v>0</v>
      </c>
      <c r="E4" s="68">
        <f ca="1">'DATA SHEET'!L12</f>
        <v>0</v>
      </c>
      <c r="F4" s="69">
        <f ca="1">'DATA SHEET'!L17</f>
        <v>0</v>
      </c>
      <c r="H4" s="74">
        <f>'DATA SHEET'!L14</f>
        <v>9577726</v>
      </c>
      <c r="I4" s="75">
        <f>'DATA SHEET'!L15</f>
        <v>87839167</v>
      </c>
      <c r="K4" s="62">
        <f>'DATA SHEET'!L16</f>
        <v>787</v>
      </c>
      <c r="L4" s="274">
        <f ca="1">'DATA SHEET'!L13</f>
        <v>71</v>
      </c>
      <c r="N4" s="284">
        <f>'DATA SHEET'!H11</f>
        <v>9</v>
      </c>
      <c r="O4" s="285"/>
      <c r="P4" s="11"/>
      <c r="Q4" s="11"/>
      <c r="R4" s="11"/>
      <c r="S4" s="11"/>
      <c r="T4" s="11"/>
      <c r="U4" s="11"/>
      <c r="V4" s="11"/>
      <c r="W4" s="11"/>
      <c r="X4" s="11"/>
      <c r="Y4" s="13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</row>
    <row r="5" spans="1:36">
      <c r="A5" s="11"/>
      <c r="B5" s="14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3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</row>
    <row r="6" spans="1:36">
      <c r="A6" s="11"/>
      <c r="B6" s="14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3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</row>
    <row r="7" spans="1:36">
      <c r="A7" s="11"/>
      <c r="B7" s="14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3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</row>
    <row r="8" spans="1:36">
      <c r="A8" s="11"/>
      <c r="B8" s="14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3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</row>
    <row r="9" spans="1:36">
      <c r="A9" s="11"/>
      <c r="B9" s="14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3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</row>
    <row r="10" spans="1:36">
      <c r="A10" s="11"/>
      <c r="B10" s="14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3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</row>
    <row r="11" spans="1:36">
      <c r="A11" s="11"/>
      <c r="B11" s="14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3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</row>
    <row r="12" spans="1:36">
      <c r="A12" s="11"/>
      <c r="B12" s="14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3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</row>
    <row r="13" spans="1:36">
      <c r="A13" s="11"/>
      <c r="B13" s="14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3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</row>
    <row r="14" spans="1:36">
      <c r="A14" s="11"/>
      <c r="B14" s="14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3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</row>
    <row r="15" spans="1:36">
      <c r="A15" s="11"/>
      <c r="B15" s="14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3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</row>
    <row r="16" spans="1:36">
      <c r="A16" s="11"/>
      <c r="B16" s="14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3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</row>
    <row r="17" spans="1:36">
      <c r="A17" s="11"/>
      <c r="B17" s="14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3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</row>
    <row r="18" spans="1:36">
      <c r="A18" s="11"/>
      <c r="B18" s="14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3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</row>
    <row r="19" spans="1:36">
      <c r="A19" s="11"/>
      <c r="B19" s="14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3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</row>
    <row r="20" spans="1:36">
      <c r="A20" s="11"/>
      <c r="B20" s="14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3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</row>
    <row r="21" spans="1:36">
      <c r="A21" s="11"/>
      <c r="B21" s="14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3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</row>
    <row r="22" spans="1:36">
      <c r="A22" s="11"/>
      <c r="B22" s="14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3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</row>
    <row r="23" spans="1:36">
      <c r="A23" s="11"/>
      <c r="B23" s="14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3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</row>
    <row r="24" spans="1:36">
      <c r="A24" s="11"/>
      <c r="B24" s="14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3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</row>
    <row r="25" spans="1:36">
      <c r="A25" s="11"/>
      <c r="B25" s="14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3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</row>
    <row r="26" spans="1:36">
      <c r="A26" s="11"/>
      <c r="B26" s="14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3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</row>
    <row r="27" spans="1:36">
      <c r="A27" s="11"/>
      <c r="B27" s="14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3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</row>
    <row r="28" spans="1:36">
      <c r="A28" s="11"/>
      <c r="B28" s="14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3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</row>
    <row r="29" spans="1:36">
      <c r="A29" s="11"/>
      <c r="B29" s="14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3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</row>
    <row r="30" spans="1:36">
      <c r="A30" s="11"/>
      <c r="B30" s="14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3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</row>
    <row r="31" spans="1:36">
      <c r="A31" s="11"/>
      <c r="B31" s="14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3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</row>
    <row r="32" spans="1:36">
      <c r="A32" s="11"/>
      <c r="B32" s="14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3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</row>
    <row r="33" spans="1:36">
      <c r="A33" s="11"/>
      <c r="B33" s="14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3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</row>
    <row r="34" spans="1:36">
      <c r="A34" s="11"/>
      <c r="B34" s="14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3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</row>
    <row r="35" spans="1:36">
      <c r="A35" s="11"/>
      <c r="B35" s="14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3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</row>
    <row r="36" spans="1:36">
      <c r="A36" s="11"/>
      <c r="B36" s="14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3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</row>
    <row r="37" spans="1:36">
      <c r="A37" s="11"/>
      <c r="B37" s="14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3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</row>
    <row r="38" spans="1:36">
      <c r="A38" s="11"/>
      <c r="B38" s="14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3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</row>
    <row r="39" spans="1:36">
      <c r="A39" s="11"/>
      <c r="B39" s="14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3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</row>
    <row r="40" spans="1:36">
      <c r="A40" s="11"/>
      <c r="B40" s="14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3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</row>
    <row r="41" spans="1:36">
      <c r="A41" s="11"/>
      <c r="B41" s="14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3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</row>
    <row r="42" spans="1:36">
      <c r="A42" s="11"/>
      <c r="B42" s="14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3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</row>
    <row r="43" spans="1:36">
      <c r="A43" s="11"/>
      <c r="B43" s="14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3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</row>
    <row r="44" spans="1:36">
      <c r="A44" s="11"/>
      <c r="B44" s="14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3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</row>
    <row r="45" spans="1:36">
      <c r="A45" s="11"/>
      <c r="B45" s="14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3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</row>
    <row r="46" spans="1:36">
      <c r="A46" s="11"/>
      <c r="B46" s="14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3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</row>
    <row r="47" spans="1:36">
      <c r="A47" s="11"/>
      <c r="B47" s="14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3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</row>
    <row r="48" spans="1:36">
      <c r="A48" s="11"/>
      <c r="B48" s="14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3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</row>
    <row r="49" spans="1:36">
      <c r="A49" s="11"/>
      <c r="B49" s="14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3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</row>
    <row r="50" spans="1:36">
      <c r="A50" s="11"/>
      <c r="B50" s="14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3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</row>
    <row r="51" spans="1:36">
      <c r="A51" s="11"/>
      <c r="B51" s="14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3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</row>
    <row r="52" spans="1:36">
      <c r="A52" s="11"/>
      <c r="B52" s="14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3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</row>
    <row r="53" spans="1:36">
      <c r="A53" s="11"/>
      <c r="B53" s="14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3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</row>
    <row r="54" spans="1:36">
      <c r="A54" s="11"/>
      <c r="B54" s="14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3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</row>
    <row r="55" spans="1:36">
      <c r="A55" s="11"/>
      <c r="B55" s="14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3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</row>
    <row r="56" spans="1:36">
      <c r="A56" s="11"/>
      <c r="B56" s="14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3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</row>
    <row r="57" spans="1:36">
      <c r="A57" s="11"/>
      <c r="B57" s="14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3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</row>
    <row r="58" spans="1:36">
      <c r="A58" s="11"/>
      <c r="B58" s="14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3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</row>
    <row r="59" spans="1:36">
      <c r="A59" s="11"/>
      <c r="B59" s="14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3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</row>
    <row r="60" spans="1:36">
      <c r="A60" s="11"/>
      <c r="B60" s="14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3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</row>
    <row r="61" spans="1:36">
      <c r="A61" s="11"/>
      <c r="B61" s="14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3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</row>
    <row r="62" spans="1:36">
      <c r="A62" s="11"/>
      <c r="B62" s="14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3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</row>
    <row r="63" spans="1:36">
      <c r="A63" s="11"/>
      <c r="B63" s="14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3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</row>
    <row r="64" spans="1:36">
      <c r="A64" s="11"/>
      <c r="B64" s="14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3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</row>
    <row r="65" spans="1:36">
      <c r="A65" s="11"/>
      <c r="B65" s="14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3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</row>
    <row r="66" spans="1:36">
      <c r="A66" s="11"/>
      <c r="B66" s="14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3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</row>
    <row r="67" spans="1:36">
      <c r="A67" s="11"/>
      <c r="B67" s="14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3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</row>
    <row r="68" spans="1:36">
      <c r="A68" s="11"/>
      <c r="B68" s="14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3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</row>
    <row r="69" spans="1:36">
      <c r="A69" s="11"/>
      <c r="B69" s="14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3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</row>
    <row r="70" spans="1:36">
      <c r="A70" s="11"/>
      <c r="B70" s="14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3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</row>
    <row r="71" spans="1:36">
      <c r="A71" s="11"/>
      <c r="B71" s="14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3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</row>
    <row r="72" spans="1:36">
      <c r="A72" s="11"/>
      <c r="B72" s="14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3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</row>
    <row r="73" spans="1:36">
      <c r="A73" s="11"/>
      <c r="B73" s="14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3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</row>
    <row r="74" spans="1:36">
      <c r="A74" s="11"/>
      <c r="B74" s="14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3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</row>
    <row r="75" spans="1:36">
      <c r="A75" s="11"/>
      <c r="B75" s="14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3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</row>
    <row r="76" spans="1:36">
      <c r="A76" s="11"/>
      <c r="B76" s="14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3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</row>
    <row r="77" spans="1:36">
      <c r="A77" s="11"/>
      <c r="B77" s="14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3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</row>
    <row r="78" spans="1:36">
      <c r="A78" s="11"/>
      <c r="B78" s="14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3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</row>
    <row r="79" spans="1:36">
      <c r="A79" s="11"/>
      <c r="B79" s="14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3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</row>
    <row r="80" spans="1:36">
      <c r="A80" s="11"/>
      <c r="B80" s="14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3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</row>
    <row r="81" spans="1:36">
      <c r="A81" s="11"/>
      <c r="B81" s="14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3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</row>
    <row r="82" spans="1:36">
      <c r="A82" s="11"/>
      <c r="B82" s="14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3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</row>
    <row r="83" spans="1:36">
      <c r="A83" s="11"/>
      <c r="B83" s="14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3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</row>
    <row r="84" spans="1:36">
      <c r="A84" s="11"/>
      <c r="B84" s="14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3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</row>
    <row r="85" spans="1:36">
      <c r="A85" s="11"/>
      <c r="B85" s="14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3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</row>
    <row r="86" spans="1:36">
      <c r="A86" s="11"/>
      <c r="B86" s="14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3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</row>
    <row r="87" spans="1:36">
      <c r="A87" s="11"/>
      <c r="B87" s="14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3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</row>
    <row r="88" spans="1:36">
      <c r="A88" s="11"/>
      <c r="B88" s="14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3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</row>
    <row r="89" spans="1:36">
      <c r="A89" s="11"/>
      <c r="B89" s="14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3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</row>
    <row r="90" spans="1:36">
      <c r="A90" s="11"/>
      <c r="B90" s="14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3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</row>
    <row r="91" spans="1:36">
      <c r="A91" s="11"/>
      <c r="B91" s="14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3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</row>
    <row r="92" spans="1:36">
      <c r="A92" s="11"/>
      <c r="B92" s="14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3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</row>
    <row r="93" spans="1:36">
      <c r="A93" s="11"/>
      <c r="B93" s="14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3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</row>
    <row r="94" spans="1:36">
      <c r="A94" s="11"/>
      <c r="B94" s="14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3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</row>
    <row r="95" spans="1:36">
      <c r="A95" s="11"/>
      <c r="B95" s="14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3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</row>
    <row r="96" spans="1:36">
      <c r="A96" s="11"/>
      <c r="B96" s="14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3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</row>
    <row r="97" spans="1:36">
      <c r="A97" s="11"/>
      <c r="B97" s="14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3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</row>
    <row r="98" spans="1:36">
      <c r="A98" s="11"/>
      <c r="B98" s="14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3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</row>
    <row r="99" spans="1:36">
      <c r="A99" s="11"/>
      <c r="B99" s="14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3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</row>
    <row r="100" spans="1:36">
      <c r="A100" s="11"/>
      <c r="B100" s="14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3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</row>
    <row r="101" spans="1:36">
      <c r="A101" s="11"/>
      <c r="B101" s="14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3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</row>
    <row r="102" spans="1:36">
      <c r="A102" s="11"/>
      <c r="B102" s="14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3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</row>
    <row r="103" spans="1:36">
      <c r="A103" s="11"/>
      <c r="B103" s="14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3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</row>
    <row r="104" spans="1:36">
      <c r="A104" s="11"/>
      <c r="B104" s="14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3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</row>
    <row r="105" spans="1:36">
      <c r="A105" s="11"/>
      <c r="B105" s="14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3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</row>
    <row r="106" spans="1:36">
      <c r="A106" s="11"/>
      <c r="B106" s="14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3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</row>
    <row r="107" spans="1:36">
      <c r="A107" s="11"/>
      <c r="B107" s="14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3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</row>
    <row r="108" spans="1:36">
      <c r="A108" s="11"/>
      <c r="B108" s="14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3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</row>
    <row r="109" spans="1:36">
      <c r="A109" s="11"/>
      <c r="B109" s="14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3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</row>
    <row r="110" spans="1:36">
      <c r="A110" s="11"/>
      <c r="B110" s="14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3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</row>
    <row r="111" spans="1:36">
      <c r="A111" s="11"/>
      <c r="B111" s="14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3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</row>
    <row r="112" spans="1:36">
      <c r="A112" s="11"/>
      <c r="B112" s="14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3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</row>
    <row r="113" spans="1:36">
      <c r="A113" s="11"/>
      <c r="B113" s="14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3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</row>
    <row r="114" spans="1:36">
      <c r="A114" s="11"/>
      <c r="B114" s="14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3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</row>
    <row r="115" spans="1:36">
      <c r="A115" s="11"/>
      <c r="B115" s="14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3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</row>
    <row r="116" spans="1:36">
      <c r="A116" s="11"/>
      <c r="B116" s="14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3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</row>
    <row r="117" spans="1:36">
      <c r="A117" s="11"/>
      <c r="B117" s="14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3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</row>
    <row r="118" spans="1:36">
      <c r="A118" s="11"/>
      <c r="B118" s="14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3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</row>
    <row r="119" spans="1:36">
      <c r="A119" s="11"/>
      <c r="B119" s="14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3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</row>
    <row r="120" spans="1:36">
      <c r="A120" s="11"/>
      <c r="B120" s="14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3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</row>
    <row r="121" spans="1:36">
      <c r="A121" s="11"/>
      <c r="B121" s="14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3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</row>
    <row r="122" spans="1:36">
      <c r="A122" s="11"/>
      <c r="B122" s="14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3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</row>
    <row r="123" spans="1:36">
      <c r="A123" s="11"/>
      <c r="B123" s="14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3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</row>
    <row r="124" spans="1:36">
      <c r="A124" s="11"/>
      <c r="B124" s="14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3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</row>
    <row r="125" spans="1:36">
      <c r="A125" s="11"/>
      <c r="B125" s="14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3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</row>
    <row r="126" spans="1:36">
      <c r="A126" s="11"/>
      <c r="B126" s="14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3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</row>
    <row r="127" spans="1:36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3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</row>
    <row r="128" spans="1:36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3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</row>
    <row r="129" spans="1:36">
      <c r="A129" s="11"/>
      <c r="B129" s="14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3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</row>
    <row r="130" spans="1:36">
      <c r="A130" s="11"/>
      <c r="B130" s="14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3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</row>
    <row r="131" spans="1:36">
      <c r="A131" s="11"/>
      <c r="B131" s="14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3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</row>
    <row r="132" spans="1:36">
      <c r="A132" s="11"/>
      <c r="B132" s="14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3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</row>
    <row r="133" spans="1:36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3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</row>
    <row r="134" spans="1:36">
      <c r="A134" s="11"/>
      <c r="B134" s="14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3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</row>
    <row r="135" spans="1:36">
      <c r="A135" s="11"/>
      <c r="B135" s="14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3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</row>
    <row r="136" spans="1:36">
      <c r="A136" s="11"/>
      <c r="B136" s="14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3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</row>
    <row r="137" spans="1:36">
      <c r="A137" s="11"/>
      <c r="B137" s="14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3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</row>
    <row r="138" spans="1:36">
      <c r="A138" s="11"/>
      <c r="B138" s="14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3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</row>
    <row r="139" spans="1:36">
      <c r="A139" s="11"/>
      <c r="B139" s="14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3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</row>
    <row r="140" spans="1:36">
      <c r="A140" s="11"/>
      <c r="B140" s="14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3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</row>
    <row r="141" spans="1:36">
      <c r="A141" s="11"/>
      <c r="B141" s="14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3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</row>
    <row r="142" spans="1:36">
      <c r="A142" s="11"/>
      <c r="B142" s="14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3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</row>
    <row r="143" spans="1:36">
      <c r="A143" s="11"/>
      <c r="B143" s="14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3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</row>
    <row r="144" spans="1:36">
      <c r="A144" s="11"/>
      <c r="B144" s="14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3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</row>
    <row r="145" spans="1:36">
      <c r="A145" s="11"/>
      <c r="B145" s="14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3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</row>
    <row r="146" spans="1:36">
      <c r="A146" s="11"/>
      <c r="B146" s="14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3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</row>
    <row r="147" spans="1:36">
      <c r="A147" s="11"/>
      <c r="B147" s="14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3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</row>
    <row r="148" spans="1:36">
      <c r="A148" s="11"/>
      <c r="B148" s="14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3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</row>
    <row r="149" spans="1:36">
      <c r="A149" s="11"/>
      <c r="B149" s="14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3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</row>
    <row r="150" spans="1:36">
      <c r="A150" s="11"/>
      <c r="B150" s="14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3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</row>
    <row r="151" spans="1:36">
      <c r="A151" s="11"/>
      <c r="B151" s="14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3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</row>
    <row r="152" spans="1:36">
      <c r="A152" s="11"/>
      <c r="B152" s="14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3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</row>
    <row r="153" spans="1:36">
      <c r="A153" s="11"/>
      <c r="B153" s="14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3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</row>
    <row r="154" spans="1:36">
      <c r="A154" s="11"/>
      <c r="B154" s="14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3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</row>
    <row r="155" spans="1:36">
      <c r="A155" s="11"/>
      <c r="B155" s="14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3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</row>
    <row r="156" spans="1:3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3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</row>
    <row r="157" spans="1:36">
      <c r="A157" s="11"/>
      <c r="B157" s="14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3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</row>
    <row r="158" spans="1:36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3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</row>
    <row r="159" spans="1:36">
      <c r="A159" s="11"/>
      <c r="B159" s="14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3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</row>
    <row r="160" spans="1:36">
      <c r="A160" s="11"/>
      <c r="B160" s="14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3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</row>
    <row r="161" spans="1:36">
      <c r="A161" s="11"/>
      <c r="B161" s="14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3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</row>
    <row r="162" spans="1:36">
      <c r="A162" s="11"/>
      <c r="B162" s="14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3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</row>
    <row r="163" spans="1:36">
      <c r="A163" s="11"/>
      <c r="B163" s="14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3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</row>
    <row r="164" spans="1:36">
      <c r="A164" s="11"/>
      <c r="B164" s="14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3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</row>
    <row r="165" spans="1:36">
      <c r="A165" s="11"/>
      <c r="B165" s="14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3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</row>
    <row r="166" spans="1:36">
      <c r="A166" s="11"/>
      <c r="B166" s="14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3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</row>
    <row r="167" spans="1:36">
      <c r="A167" s="11"/>
      <c r="B167" s="14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3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</row>
    <row r="168" spans="1:36">
      <c r="A168" s="11"/>
      <c r="B168" s="14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3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</row>
    <row r="169" spans="1:36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3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</row>
    <row r="170" spans="1:36">
      <c r="A170" s="11"/>
      <c r="B170" s="14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3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</row>
    <row r="171" spans="1:36">
      <c r="A171" s="11"/>
      <c r="B171" s="14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3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</row>
    <row r="172" spans="1:36">
      <c r="A172" s="11"/>
      <c r="B172" s="14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3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</row>
    <row r="173" spans="1:36" ht="15.75" thickBot="1">
      <c r="A173" s="11"/>
      <c r="B173" s="15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7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</row>
    <row r="174" spans="1:36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</row>
    <row r="175" spans="1:36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</row>
    <row r="176" spans="1:3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</row>
    <row r="177" spans="1:36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</row>
    <row r="178" spans="1:36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</row>
    <row r="179" spans="1:36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</row>
    <row r="180" spans="1:36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</row>
    <row r="181" spans="1:36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</row>
    <row r="182" spans="1:36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</row>
    <row r="183" spans="1:36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</row>
    <row r="184" spans="1:36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</row>
    <row r="185" spans="1:36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</row>
    <row r="186" spans="1:3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</row>
    <row r="187" spans="1:36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</row>
    <row r="188" spans="1:36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</row>
    <row r="189" spans="1:36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</row>
    <row r="190" spans="1:36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</row>
    <row r="191" spans="1:36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</row>
    <row r="192" spans="1:36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</row>
  </sheetData>
  <mergeCells count="4">
    <mergeCell ref="B2:V2"/>
    <mergeCell ref="W2:Y2"/>
    <mergeCell ref="N3:O3"/>
    <mergeCell ref="N4:O4"/>
  </mergeCells>
  <pageMargins left="0.35433070866141736" right="0.35433070866141736" top="0.39370078740157483" bottom="0.59055118110236227" header="0" footer="0"/>
  <pageSetup paperSize="9" scale="35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U790"/>
  <sheetViews>
    <sheetView tabSelected="1" zoomScale="70" zoomScaleNormal="70" workbookViewId="0">
      <pane ySplit="1" topLeftCell="H775" activePane="bottomLeft" state="frozen"/>
      <selection pane="bottomLeft" activeCell="B791" sqref="B791"/>
    </sheetView>
  </sheetViews>
  <sheetFormatPr defaultRowHeight="15"/>
  <cols>
    <col min="1" max="1" width="6.42578125" customWidth="1"/>
    <col min="2" max="2" width="14.42578125" style="2" customWidth="1"/>
    <col min="3" max="3" width="26.7109375" customWidth="1"/>
    <col min="4" max="4" width="9.42578125" customWidth="1"/>
    <col min="5" max="5" width="16.42578125" bestFit="1" customWidth="1"/>
    <col min="6" max="6" width="12.7109375" customWidth="1"/>
    <col min="7" max="7" width="26" style="2" customWidth="1"/>
    <col min="8" max="8" width="14.7109375" style="2" customWidth="1"/>
    <col min="9" max="9" width="21.85546875" style="18" customWidth="1"/>
    <col min="10" max="10" width="18.140625" style="1" customWidth="1"/>
    <col min="11" max="11" width="11.7109375" customWidth="1"/>
    <col min="12" max="12" width="14.85546875" customWidth="1"/>
    <col min="13" max="13" width="11.42578125" customWidth="1"/>
    <col min="14" max="14" width="15.7109375" customWidth="1"/>
    <col min="15" max="15" width="12.140625" style="2" customWidth="1"/>
    <col min="16" max="16" width="16.85546875" style="83" customWidth="1"/>
    <col min="17" max="17" width="22.140625" bestFit="1" customWidth="1"/>
    <col min="18" max="18" width="29.28515625" customWidth="1"/>
    <col min="19" max="19" width="22.85546875" customWidth="1"/>
    <col min="20" max="20" width="24.140625" customWidth="1"/>
    <col min="21" max="21" width="11.7109375" bestFit="1" customWidth="1"/>
    <col min="22" max="22" width="8.5703125" bestFit="1" customWidth="1"/>
  </cols>
  <sheetData>
    <row r="1" spans="1:20" s="195" customFormat="1" ht="29.25" customHeight="1">
      <c r="A1" s="196" t="s">
        <v>10</v>
      </c>
      <c r="B1" s="197" t="s">
        <v>11</v>
      </c>
      <c r="C1" s="198" t="s">
        <v>12</v>
      </c>
      <c r="D1" s="198" t="s">
        <v>13</v>
      </c>
      <c r="E1" s="198" t="s">
        <v>14</v>
      </c>
      <c r="F1" s="198" t="s">
        <v>15</v>
      </c>
      <c r="G1" s="197" t="s">
        <v>16</v>
      </c>
      <c r="H1" s="197" t="s">
        <v>17</v>
      </c>
      <c r="I1" s="196" t="s">
        <v>18</v>
      </c>
      <c r="J1" s="270" t="s">
        <v>19</v>
      </c>
      <c r="K1" s="198" t="s">
        <v>20</v>
      </c>
      <c r="L1" s="199" t="s">
        <v>21</v>
      </c>
      <c r="M1" s="198" t="s">
        <v>22</v>
      </c>
      <c r="N1" s="198" t="s">
        <v>23</v>
      </c>
      <c r="O1" s="197" t="s">
        <v>24</v>
      </c>
      <c r="P1" s="200" t="s">
        <v>25</v>
      </c>
      <c r="Q1" s="198" t="s">
        <v>26</v>
      </c>
      <c r="R1" s="201" t="s">
        <v>27</v>
      </c>
      <c r="S1" s="202" t="s">
        <v>28</v>
      </c>
    </row>
    <row r="2" spans="1:20" ht="15" customHeight="1">
      <c r="A2" s="114">
        <f t="shared" ref="A2:A65" si="0">ROW()-1</f>
        <v>1</v>
      </c>
      <c r="B2" s="115">
        <v>46023</v>
      </c>
      <c r="C2" s="116" t="s">
        <v>29</v>
      </c>
      <c r="D2" s="116" t="s">
        <v>30</v>
      </c>
      <c r="E2" s="116" t="s">
        <v>31</v>
      </c>
      <c r="F2" s="117" t="s">
        <v>32</v>
      </c>
      <c r="G2" s="118" t="s">
        <v>33</v>
      </c>
      <c r="H2" s="119"/>
      <c r="I2" s="120"/>
      <c r="J2" s="119" t="s">
        <v>34</v>
      </c>
      <c r="K2" s="117" t="s">
        <v>35</v>
      </c>
      <c r="L2" s="117" t="s">
        <v>36</v>
      </c>
      <c r="M2" s="117" t="s">
        <v>37</v>
      </c>
      <c r="N2" s="117"/>
      <c r="O2" s="121">
        <v>45992</v>
      </c>
      <c r="P2" s="216">
        <v>90125</v>
      </c>
      <c r="Q2" s="119" t="s">
        <v>38</v>
      </c>
      <c r="R2" s="117"/>
    </row>
    <row r="3" spans="1:20" ht="15" customHeight="1">
      <c r="A3" s="122">
        <f t="shared" si="0"/>
        <v>2</v>
      </c>
      <c r="B3" s="123">
        <v>46023</v>
      </c>
      <c r="C3" s="124" t="s">
        <v>39</v>
      </c>
      <c r="D3" s="125" t="s">
        <v>40</v>
      </c>
      <c r="E3" s="125" t="s">
        <v>41</v>
      </c>
      <c r="F3" s="126" t="s">
        <v>42</v>
      </c>
      <c r="G3" s="127" t="s">
        <v>43</v>
      </c>
      <c r="H3" s="64"/>
      <c r="I3" s="128"/>
      <c r="J3" s="64" t="s">
        <v>34</v>
      </c>
      <c r="K3" s="126" t="s">
        <v>44</v>
      </c>
      <c r="L3" s="126" t="s">
        <v>36</v>
      </c>
      <c r="M3" s="126" t="s">
        <v>37</v>
      </c>
      <c r="N3" s="126"/>
      <c r="O3" s="130">
        <v>45992</v>
      </c>
      <c r="P3" s="170">
        <v>550000</v>
      </c>
      <c r="Q3" s="64" t="s">
        <v>38</v>
      </c>
      <c r="R3" s="126"/>
    </row>
    <row r="4" spans="1:20" ht="15" customHeight="1">
      <c r="A4" s="122">
        <f t="shared" si="0"/>
        <v>3</v>
      </c>
      <c r="B4" s="123">
        <v>46023</v>
      </c>
      <c r="C4" s="124" t="s">
        <v>45</v>
      </c>
      <c r="D4" s="125" t="s">
        <v>46</v>
      </c>
      <c r="E4" s="125" t="s">
        <v>41</v>
      </c>
      <c r="F4" s="126" t="s">
        <v>47</v>
      </c>
      <c r="G4" s="127" t="s">
        <v>48</v>
      </c>
      <c r="H4" s="64">
        <v>8669660939</v>
      </c>
      <c r="I4" s="132" t="s">
        <v>49</v>
      </c>
      <c r="J4" s="64" t="s">
        <v>34</v>
      </c>
      <c r="K4" s="126" t="s">
        <v>50</v>
      </c>
      <c r="L4" s="126" t="s">
        <v>36</v>
      </c>
      <c r="M4" s="126" t="s">
        <v>37</v>
      </c>
      <c r="N4" s="126"/>
      <c r="O4" s="130">
        <v>45992</v>
      </c>
      <c r="P4" s="170">
        <v>1209252</v>
      </c>
      <c r="Q4" s="64" t="s">
        <v>51</v>
      </c>
      <c r="R4" s="126"/>
    </row>
    <row r="5" spans="1:20" ht="15" customHeight="1">
      <c r="A5" s="122">
        <f t="shared" si="0"/>
        <v>4</v>
      </c>
      <c r="B5" s="123">
        <v>46023</v>
      </c>
      <c r="C5" s="133" t="s">
        <v>52</v>
      </c>
      <c r="D5" s="125" t="s">
        <v>46</v>
      </c>
      <c r="E5" s="125" t="s">
        <v>41</v>
      </c>
      <c r="F5" s="126" t="s">
        <v>32</v>
      </c>
      <c r="G5" s="134" t="s">
        <v>53</v>
      </c>
      <c r="H5" s="64"/>
      <c r="I5" s="128"/>
      <c r="J5" s="64" t="s">
        <v>34</v>
      </c>
      <c r="K5" s="126"/>
      <c r="L5" s="126" t="s">
        <v>54</v>
      </c>
      <c r="M5" s="126" t="s">
        <v>55</v>
      </c>
      <c r="N5" s="126"/>
      <c r="O5" s="130">
        <v>45992</v>
      </c>
      <c r="P5" s="131">
        <v>2190000</v>
      </c>
      <c r="Q5" s="64" t="s">
        <v>51</v>
      </c>
      <c r="R5" s="126"/>
    </row>
    <row r="6" spans="1:20" ht="30" customHeight="1">
      <c r="A6" s="122">
        <f t="shared" si="0"/>
        <v>5</v>
      </c>
      <c r="B6" s="123">
        <v>46024</v>
      </c>
      <c r="C6" s="126" t="s">
        <v>56</v>
      </c>
      <c r="D6" s="126" t="s">
        <v>57</v>
      </c>
      <c r="E6" s="125" t="s">
        <v>58</v>
      </c>
      <c r="F6" s="126" t="s">
        <v>32</v>
      </c>
      <c r="G6" s="127" t="s">
        <v>59</v>
      </c>
      <c r="H6" s="64">
        <v>9317255092</v>
      </c>
      <c r="I6" s="126" t="s">
        <v>60</v>
      </c>
      <c r="J6" s="64" t="s">
        <v>34</v>
      </c>
      <c r="K6" s="126" t="s">
        <v>61</v>
      </c>
      <c r="L6" s="126" t="s">
        <v>54</v>
      </c>
      <c r="M6" s="126" t="s">
        <v>55</v>
      </c>
      <c r="N6" s="126" t="s">
        <v>62</v>
      </c>
      <c r="O6" s="130">
        <v>46024</v>
      </c>
      <c r="P6" s="131">
        <v>95975955</v>
      </c>
      <c r="Q6" s="64" t="s">
        <v>38</v>
      </c>
      <c r="R6" s="126"/>
    </row>
    <row r="7" spans="1:20" ht="30" customHeight="1">
      <c r="A7" s="122">
        <f t="shared" si="0"/>
        <v>6</v>
      </c>
      <c r="B7" s="123">
        <v>46024</v>
      </c>
      <c r="C7" s="126" t="s">
        <v>63</v>
      </c>
      <c r="D7" s="126" t="s">
        <v>64</v>
      </c>
      <c r="E7" s="125" t="s">
        <v>65</v>
      </c>
      <c r="F7" s="126" t="s">
        <v>32</v>
      </c>
      <c r="G7" s="127" t="s">
        <v>66</v>
      </c>
      <c r="H7" s="64">
        <v>9494261947</v>
      </c>
      <c r="I7" s="128" t="s">
        <v>67</v>
      </c>
      <c r="J7" s="64" t="s">
        <v>34</v>
      </c>
      <c r="K7" s="126" t="s">
        <v>68</v>
      </c>
      <c r="L7" s="126" t="s">
        <v>36</v>
      </c>
      <c r="M7" s="126" t="s">
        <v>69</v>
      </c>
      <c r="N7" s="126"/>
      <c r="O7" s="130"/>
      <c r="P7" s="131"/>
      <c r="Q7" s="64"/>
      <c r="R7" s="126"/>
      <c r="T7" s="19"/>
    </row>
    <row r="8" spans="1:20" ht="30" customHeight="1">
      <c r="A8" s="122">
        <f t="shared" si="0"/>
        <v>7</v>
      </c>
      <c r="B8" s="123">
        <v>46024</v>
      </c>
      <c r="C8" s="126" t="s">
        <v>70</v>
      </c>
      <c r="D8" s="126" t="s">
        <v>46</v>
      </c>
      <c r="E8" s="125" t="s">
        <v>41</v>
      </c>
      <c r="F8" s="126" t="s">
        <v>71</v>
      </c>
      <c r="G8" s="127" t="s">
        <v>72</v>
      </c>
      <c r="H8" s="64">
        <v>7620034850</v>
      </c>
      <c r="I8" s="128" t="s">
        <v>73</v>
      </c>
      <c r="J8" s="64" t="s">
        <v>74</v>
      </c>
      <c r="K8" s="126" t="s">
        <v>75</v>
      </c>
      <c r="L8" s="126" t="s">
        <v>76</v>
      </c>
      <c r="M8" s="126" t="s">
        <v>77</v>
      </c>
      <c r="N8" s="126"/>
      <c r="O8" s="130"/>
      <c r="P8" s="170"/>
      <c r="Q8" s="64" t="s">
        <v>78</v>
      </c>
      <c r="R8" s="126"/>
    </row>
    <row r="9" spans="1:20" ht="15" customHeight="1">
      <c r="A9" s="122">
        <f t="shared" si="0"/>
        <v>8</v>
      </c>
      <c r="B9" s="123">
        <v>46024</v>
      </c>
      <c r="C9" s="126" t="s">
        <v>79</v>
      </c>
      <c r="D9" s="126" t="s">
        <v>46</v>
      </c>
      <c r="E9" s="125" t="s">
        <v>41</v>
      </c>
      <c r="F9" s="126" t="s">
        <v>80</v>
      </c>
      <c r="G9" s="129"/>
      <c r="H9" s="64">
        <v>9922353803</v>
      </c>
      <c r="I9" s="128"/>
      <c r="J9" s="64" t="s">
        <v>81</v>
      </c>
      <c r="K9" s="126" t="s">
        <v>82</v>
      </c>
      <c r="L9" s="126" t="s">
        <v>76</v>
      </c>
      <c r="M9" s="126" t="s">
        <v>55</v>
      </c>
      <c r="N9" s="126"/>
      <c r="O9" s="130"/>
      <c r="P9" s="131"/>
      <c r="Q9" s="64"/>
      <c r="R9" s="126"/>
    </row>
    <row r="10" spans="1:20" ht="30" customHeight="1">
      <c r="A10" s="122">
        <f t="shared" si="0"/>
        <v>9</v>
      </c>
      <c r="B10" s="123">
        <v>46024</v>
      </c>
      <c r="C10" s="126" t="s">
        <v>83</v>
      </c>
      <c r="D10" s="126" t="s">
        <v>84</v>
      </c>
      <c r="E10" s="125" t="s">
        <v>84</v>
      </c>
      <c r="F10" s="126" t="s">
        <v>80</v>
      </c>
      <c r="G10" s="129"/>
      <c r="H10" s="64">
        <v>7048814279</v>
      </c>
      <c r="I10" s="128" t="s">
        <v>85</v>
      </c>
      <c r="J10" s="64" t="s">
        <v>86</v>
      </c>
      <c r="K10" s="126" t="s">
        <v>87</v>
      </c>
      <c r="L10" s="126" t="s">
        <v>76</v>
      </c>
      <c r="M10" s="126" t="s">
        <v>55</v>
      </c>
      <c r="N10" s="126"/>
      <c r="O10" s="130"/>
      <c r="P10" s="131"/>
      <c r="Q10" s="64"/>
      <c r="R10" s="126"/>
    </row>
    <row r="11" spans="1:20" ht="15" customHeight="1">
      <c r="A11" s="122">
        <f t="shared" si="0"/>
        <v>10</v>
      </c>
      <c r="B11" s="123">
        <v>46024</v>
      </c>
      <c r="C11" s="126" t="s">
        <v>88</v>
      </c>
      <c r="D11" s="126" t="s">
        <v>89</v>
      </c>
      <c r="E11" s="125" t="s">
        <v>89</v>
      </c>
      <c r="F11" s="126" t="s">
        <v>90</v>
      </c>
      <c r="G11" s="129"/>
      <c r="H11" s="64"/>
      <c r="I11" s="128"/>
      <c r="J11" s="64" t="s">
        <v>86</v>
      </c>
      <c r="K11" s="126" t="s">
        <v>91</v>
      </c>
      <c r="L11" s="126" t="s">
        <v>76</v>
      </c>
      <c r="M11" s="126" t="s">
        <v>55</v>
      </c>
      <c r="N11" s="126"/>
      <c r="O11" s="130"/>
      <c r="P11" s="131"/>
      <c r="Q11" s="64"/>
      <c r="R11" s="126"/>
    </row>
    <row r="12" spans="1:20" ht="30" customHeight="1">
      <c r="A12" s="122">
        <f t="shared" si="0"/>
        <v>11</v>
      </c>
      <c r="B12" s="123">
        <v>46024</v>
      </c>
      <c r="C12" s="126" t="s">
        <v>92</v>
      </c>
      <c r="D12" s="126" t="s">
        <v>84</v>
      </c>
      <c r="E12" s="125" t="s">
        <v>84</v>
      </c>
      <c r="F12" s="126" t="s">
        <v>71</v>
      </c>
      <c r="G12" s="129" t="s">
        <v>93</v>
      </c>
      <c r="H12" s="64">
        <v>9512036634</v>
      </c>
      <c r="I12" s="128" t="s">
        <v>94</v>
      </c>
      <c r="J12" s="64" t="s">
        <v>86</v>
      </c>
      <c r="K12" s="126" t="s">
        <v>95</v>
      </c>
      <c r="L12" s="126" t="s">
        <v>76</v>
      </c>
      <c r="M12" s="126" t="s">
        <v>77</v>
      </c>
      <c r="N12" s="126"/>
      <c r="O12" s="130"/>
      <c r="P12" s="131"/>
      <c r="Q12" s="64"/>
      <c r="R12" s="126"/>
    </row>
    <row r="13" spans="1:20" ht="30" customHeight="1">
      <c r="A13" s="122">
        <f t="shared" si="0"/>
        <v>12</v>
      </c>
      <c r="B13" s="123">
        <v>46024</v>
      </c>
      <c r="C13" s="126" t="s">
        <v>96</v>
      </c>
      <c r="D13" s="126" t="s">
        <v>97</v>
      </c>
      <c r="E13" s="125" t="s">
        <v>41</v>
      </c>
      <c r="F13" s="126" t="s">
        <v>71</v>
      </c>
      <c r="G13" s="129" t="s">
        <v>93</v>
      </c>
      <c r="H13" s="64">
        <v>9920188712</v>
      </c>
      <c r="I13" s="128" t="s">
        <v>98</v>
      </c>
      <c r="J13" s="64" t="s">
        <v>99</v>
      </c>
      <c r="K13" s="126" t="s">
        <v>100</v>
      </c>
      <c r="L13" s="126" t="s">
        <v>101</v>
      </c>
      <c r="M13" s="126" t="s">
        <v>77</v>
      </c>
      <c r="N13" s="126"/>
      <c r="O13" s="130"/>
      <c r="P13" s="131"/>
      <c r="Q13" s="64"/>
      <c r="R13" s="126"/>
    </row>
    <row r="14" spans="1:20" s="6" customFormat="1" ht="30" customHeight="1">
      <c r="A14" s="122">
        <f t="shared" si="0"/>
        <v>13</v>
      </c>
      <c r="B14" s="123">
        <v>46024</v>
      </c>
      <c r="C14" s="126" t="s">
        <v>102</v>
      </c>
      <c r="D14" s="126" t="s">
        <v>97</v>
      </c>
      <c r="E14" s="125" t="s">
        <v>41</v>
      </c>
      <c r="F14" s="126" t="s">
        <v>32</v>
      </c>
      <c r="G14" s="129" t="s">
        <v>32</v>
      </c>
      <c r="H14" s="64">
        <v>9820722335</v>
      </c>
      <c r="I14" s="128" t="s">
        <v>103</v>
      </c>
      <c r="J14" s="64" t="s">
        <v>86</v>
      </c>
      <c r="K14" s="126" t="s">
        <v>104</v>
      </c>
      <c r="L14" s="126" t="s">
        <v>101</v>
      </c>
      <c r="M14" s="126" t="s">
        <v>55</v>
      </c>
      <c r="N14" s="126"/>
      <c r="O14" s="130"/>
      <c r="P14" s="131"/>
      <c r="Q14" s="64"/>
      <c r="R14" s="126"/>
    </row>
    <row r="15" spans="1:20" s="6" customFormat="1" ht="30" customHeight="1">
      <c r="A15" s="122">
        <f t="shared" si="0"/>
        <v>14</v>
      </c>
      <c r="B15" s="123">
        <v>46024</v>
      </c>
      <c r="C15" s="126" t="s">
        <v>105</v>
      </c>
      <c r="D15" s="126" t="s">
        <v>106</v>
      </c>
      <c r="E15" s="125" t="s">
        <v>58</v>
      </c>
      <c r="F15" s="126" t="s">
        <v>32</v>
      </c>
      <c r="G15" s="129" t="s">
        <v>107</v>
      </c>
      <c r="H15" s="64">
        <v>7489916223</v>
      </c>
      <c r="I15" s="128" t="s">
        <v>108</v>
      </c>
      <c r="J15" s="64" t="s">
        <v>86</v>
      </c>
      <c r="K15" s="126" t="s">
        <v>109</v>
      </c>
      <c r="L15" s="126" t="s">
        <v>101</v>
      </c>
      <c r="M15" s="126" t="s">
        <v>55</v>
      </c>
      <c r="N15" s="126"/>
      <c r="O15" s="130"/>
      <c r="P15" s="131"/>
      <c r="Q15" s="64"/>
      <c r="R15" s="126"/>
    </row>
    <row r="16" spans="1:20" ht="30" customHeight="1">
      <c r="A16" s="122">
        <f t="shared" si="0"/>
        <v>15</v>
      </c>
      <c r="B16" s="123">
        <v>46024</v>
      </c>
      <c r="C16" s="125" t="s">
        <v>110</v>
      </c>
      <c r="D16" s="126" t="s">
        <v>111</v>
      </c>
      <c r="E16" s="125" t="s">
        <v>65</v>
      </c>
      <c r="F16" s="126" t="s">
        <v>71</v>
      </c>
      <c r="G16" s="129" t="s">
        <v>112</v>
      </c>
      <c r="H16" s="64">
        <v>9010709926</v>
      </c>
      <c r="I16" s="128" t="s">
        <v>113</v>
      </c>
      <c r="J16" s="64" t="s">
        <v>99</v>
      </c>
      <c r="K16" s="126" t="s">
        <v>114</v>
      </c>
      <c r="L16" s="126" t="s">
        <v>101</v>
      </c>
      <c r="M16" s="126" t="s">
        <v>77</v>
      </c>
      <c r="N16" s="126"/>
      <c r="O16" s="130"/>
      <c r="P16" s="131"/>
      <c r="Q16" s="64"/>
      <c r="R16" s="126"/>
    </row>
    <row r="17" spans="1:18" ht="30" customHeight="1">
      <c r="A17" s="122">
        <f t="shared" si="0"/>
        <v>16</v>
      </c>
      <c r="B17" s="123">
        <v>46025</v>
      </c>
      <c r="C17" s="126" t="s">
        <v>115</v>
      </c>
      <c r="D17" s="126" t="s">
        <v>116</v>
      </c>
      <c r="E17" s="125" t="s">
        <v>41</v>
      </c>
      <c r="F17" s="126" t="s">
        <v>117</v>
      </c>
      <c r="G17" s="129" t="s">
        <v>118</v>
      </c>
      <c r="H17" s="157" t="s">
        <v>119</v>
      </c>
      <c r="I17" s="126" t="s">
        <v>120</v>
      </c>
      <c r="J17" s="64" t="s">
        <v>34</v>
      </c>
      <c r="K17" s="126" t="s">
        <v>121</v>
      </c>
      <c r="L17" s="126" t="s">
        <v>122</v>
      </c>
      <c r="M17" s="126" t="s">
        <v>37</v>
      </c>
      <c r="N17" s="126" t="s">
        <v>123</v>
      </c>
      <c r="O17" s="130">
        <v>46024</v>
      </c>
      <c r="P17" s="170">
        <v>751651</v>
      </c>
      <c r="Q17" s="64" t="s">
        <v>124</v>
      </c>
      <c r="R17" s="126"/>
    </row>
    <row r="18" spans="1:18" ht="30" customHeight="1">
      <c r="A18" s="122">
        <f t="shared" si="0"/>
        <v>17</v>
      </c>
      <c r="B18" s="123">
        <v>46025</v>
      </c>
      <c r="C18" s="126" t="s">
        <v>79</v>
      </c>
      <c r="D18" s="126" t="s">
        <v>125</v>
      </c>
      <c r="E18" s="125" t="s">
        <v>41</v>
      </c>
      <c r="F18" s="126" t="s">
        <v>71</v>
      </c>
      <c r="G18" s="129" t="s">
        <v>126</v>
      </c>
      <c r="H18" s="64">
        <v>7798333301</v>
      </c>
      <c r="I18" s="128" t="s">
        <v>127</v>
      </c>
      <c r="J18" s="64" t="s">
        <v>81</v>
      </c>
      <c r="K18" s="126" t="s">
        <v>128</v>
      </c>
      <c r="L18" s="126" t="s">
        <v>76</v>
      </c>
      <c r="M18" s="126" t="s">
        <v>77</v>
      </c>
      <c r="N18" s="126"/>
      <c r="O18" s="130"/>
      <c r="P18" s="131"/>
      <c r="Q18" s="64"/>
      <c r="R18" s="126"/>
    </row>
    <row r="19" spans="1:18" ht="30" customHeight="1">
      <c r="A19" s="122">
        <f t="shared" si="0"/>
        <v>18</v>
      </c>
      <c r="B19" s="123">
        <v>46025</v>
      </c>
      <c r="C19" s="126" t="s">
        <v>129</v>
      </c>
      <c r="D19" s="126" t="s">
        <v>130</v>
      </c>
      <c r="E19" s="125" t="s">
        <v>131</v>
      </c>
      <c r="F19" s="126" t="s">
        <v>90</v>
      </c>
      <c r="G19" s="129" t="s">
        <v>132</v>
      </c>
      <c r="H19" s="64">
        <v>9786043717</v>
      </c>
      <c r="I19" s="128" t="s">
        <v>133</v>
      </c>
      <c r="J19" s="64" t="s">
        <v>86</v>
      </c>
      <c r="K19" s="126" t="s">
        <v>134</v>
      </c>
      <c r="L19" s="126" t="s">
        <v>76</v>
      </c>
      <c r="M19" s="126" t="s">
        <v>55</v>
      </c>
      <c r="N19" s="126"/>
      <c r="O19" s="130"/>
      <c r="P19" s="131"/>
      <c r="Q19" s="64"/>
      <c r="R19" s="126"/>
    </row>
    <row r="20" spans="1:18" ht="30" customHeight="1">
      <c r="A20" s="122">
        <f t="shared" si="0"/>
        <v>19</v>
      </c>
      <c r="B20" s="123">
        <v>46025</v>
      </c>
      <c r="C20" s="126" t="s">
        <v>135</v>
      </c>
      <c r="D20" s="126" t="s">
        <v>136</v>
      </c>
      <c r="E20" s="125" t="s">
        <v>41</v>
      </c>
      <c r="F20" s="126" t="s">
        <v>90</v>
      </c>
      <c r="G20" s="129" t="s">
        <v>90</v>
      </c>
      <c r="H20" s="64">
        <v>9820444150</v>
      </c>
      <c r="I20" s="128" t="s">
        <v>137</v>
      </c>
      <c r="J20" s="64" t="s">
        <v>81</v>
      </c>
      <c r="K20" s="126" t="s">
        <v>138</v>
      </c>
      <c r="L20" s="126" t="s">
        <v>76</v>
      </c>
      <c r="M20" s="126" t="s">
        <v>55</v>
      </c>
      <c r="N20" s="126"/>
      <c r="O20" s="130"/>
      <c r="P20" s="131"/>
      <c r="Q20" s="64"/>
      <c r="R20" s="126"/>
    </row>
    <row r="21" spans="1:18" ht="30" customHeight="1">
      <c r="A21" s="122">
        <f t="shared" si="0"/>
        <v>20</v>
      </c>
      <c r="B21" s="123">
        <v>46026</v>
      </c>
      <c r="C21" s="126" t="s">
        <v>139</v>
      </c>
      <c r="D21" s="126" t="s">
        <v>140</v>
      </c>
      <c r="E21" s="125" t="s">
        <v>41</v>
      </c>
      <c r="F21" s="126" t="s">
        <v>80</v>
      </c>
      <c r="G21" s="129" t="s">
        <v>141</v>
      </c>
      <c r="H21" s="64" t="s">
        <v>142</v>
      </c>
      <c r="I21" s="126" t="s">
        <v>143</v>
      </c>
      <c r="J21" s="64" t="s">
        <v>99</v>
      </c>
      <c r="K21" s="129" t="s">
        <v>144</v>
      </c>
      <c r="L21" s="126" t="s">
        <v>76</v>
      </c>
      <c r="M21" s="126" t="s">
        <v>69</v>
      </c>
      <c r="N21" s="126"/>
      <c r="O21" s="130">
        <v>46026</v>
      </c>
      <c r="P21" s="131">
        <v>515000</v>
      </c>
      <c r="Q21" s="64" t="s">
        <v>145</v>
      </c>
      <c r="R21" s="126"/>
    </row>
    <row r="22" spans="1:18" ht="30" customHeight="1">
      <c r="A22" s="122">
        <f t="shared" si="0"/>
        <v>21</v>
      </c>
      <c r="B22" s="123">
        <v>46026</v>
      </c>
      <c r="C22" s="126" t="s">
        <v>146</v>
      </c>
      <c r="D22" s="126" t="s">
        <v>147</v>
      </c>
      <c r="E22" s="125" t="s">
        <v>131</v>
      </c>
      <c r="F22" s="126" t="s">
        <v>42</v>
      </c>
      <c r="G22" s="129" t="s">
        <v>148</v>
      </c>
      <c r="H22" s="64">
        <v>9171000693</v>
      </c>
      <c r="I22" s="128" t="s">
        <v>149</v>
      </c>
      <c r="J22" s="64" t="s">
        <v>81</v>
      </c>
      <c r="K22" s="129" t="s">
        <v>150</v>
      </c>
      <c r="L22" s="126" t="s">
        <v>76</v>
      </c>
      <c r="M22" s="126"/>
      <c r="N22" s="126"/>
      <c r="O22" s="130"/>
      <c r="P22" s="131"/>
      <c r="Q22" s="64"/>
      <c r="R22" s="126"/>
    </row>
    <row r="23" spans="1:18" ht="30" customHeight="1">
      <c r="A23" s="122">
        <f t="shared" si="0"/>
        <v>22</v>
      </c>
      <c r="B23" s="123">
        <v>46026</v>
      </c>
      <c r="C23" s="126" t="s">
        <v>151</v>
      </c>
      <c r="D23" s="126" t="s">
        <v>152</v>
      </c>
      <c r="E23" s="125" t="s">
        <v>65</v>
      </c>
      <c r="F23" s="126" t="s">
        <v>42</v>
      </c>
      <c r="G23" s="129" t="s">
        <v>148</v>
      </c>
      <c r="H23" s="64">
        <v>9986786082</v>
      </c>
      <c r="I23" s="128" t="s">
        <v>153</v>
      </c>
      <c r="J23" s="64" t="s">
        <v>81</v>
      </c>
      <c r="K23" s="129" t="s">
        <v>154</v>
      </c>
      <c r="L23" s="126" t="s">
        <v>76</v>
      </c>
      <c r="M23" s="126"/>
      <c r="N23" s="126"/>
      <c r="O23" s="130"/>
      <c r="P23" s="131"/>
      <c r="Q23" s="64"/>
      <c r="R23" s="126"/>
    </row>
    <row r="24" spans="1:18" ht="30" customHeight="1">
      <c r="A24" s="122">
        <f t="shared" si="0"/>
        <v>23</v>
      </c>
      <c r="B24" s="123">
        <v>46026</v>
      </c>
      <c r="C24" s="126" t="s">
        <v>155</v>
      </c>
      <c r="D24" s="126" t="s">
        <v>156</v>
      </c>
      <c r="E24" s="125" t="s">
        <v>84</v>
      </c>
      <c r="F24" s="126" t="s">
        <v>71</v>
      </c>
      <c r="G24" s="129" t="s">
        <v>157</v>
      </c>
      <c r="H24" s="64">
        <v>8160301117</v>
      </c>
      <c r="I24" s="128" t="s">
        <v>158</v>
      </c>
      <c r="J24" s="64" t="s">
        <v>81</v>
      </c>
      <c r="K24" s="129" t="s">
        <v>159</v>
      </c>
      <c r="L24" s="126" t="s">
        <v>76</v>
      </c>
      <c r="M24" s="126"/>
      <c r="N24" s="126"/>
      <c r="O24" s="130"/>
      <c r="P24" s="131"/>
      <c r="Q24" s="64"/>
      <c r="R24" s="126"/>
    </row>
    <row r="25" spans="1:18" ht="15" customHeight="1">
      <c r="A25" s="122">
        <f t="shared" si="0"/>
        <v>24</v>
      </c>
      <c r="B25" s="123">
        <v>46026</v>
      </c>
      <c r="C25" s="126" t="s">
        <v>79</v>
      </c>
      <c r="D25" s="126" t="s">
        <v>160</v>
      </c>
      <c r="E25" s="125" t="s">
        <v>65</v>
      </c>
      <c r="F25" s="126" t="s">
        <v>71</v>
      </c>
      <c r="G25" s="129" t="s">
        <v>161</v>
      </c>
      <c r="H25" s="64">
        <v>9845737295</v>
      </c>
      <c r="I25" s="128"/>
      <c r="J25" s="64" t="s">
        <v>81</v>
      </c>
      <c r="K25" s="129" t="s">
        <v>162</v>
      </c>
      <c r="L25" s="126" t="s">
        <v>76</v>
      </c>
      <c r="M25" s="126"/>
      <c r="N25" s="126"/>
      <c r="O25" s="130"/>
      <c r="P25" s="131"/>
      <c r="Q25" s="64"/>
      <c r="R25" s="126"/>
    </row>
    <row r="26" spans="1:18" s="7" customFormat="1" ht="30" customHeight="1">
      <c r="A26" s="122">
        <f t="shared" si="0"/>
        <v>25</v>
      </c>
      <c r="B26" s="123">
        <v>46026</v>
      </c>
      <c r="C26" s="126" t="s">
        <v>163</v>
      </c>
      <c r="D26" s="126" t="s">
        <v>164</v>
      </c>
      <c r="E26" s="125" t="s">
        <v>165</v>
      </c>
      <c r="F26" s="126" t="s">
        <v>32</v>
      </c>
      <c r="G26" s="129" t="s">
        <v>166</v>
      </c>
      <c r="H26" s="64">
        <v>7022228073</v>
      </c>
      <c r="I26" s="128" t="s">
        <v>167</v>
      </c>
      <c r="J26" s="64" t="s">
        <v>81</v>
      </c>
      <c r="K26" s="129" t="s">
        <v>168</v>
      </c>
      <c r="L26" s="126" t="s">
        <v>76</v>
      </c>
      <c r="M26" s="126"/>
      <c r="N26" s="126"/>
      <c r="O26" s="130"/>
      <c r="P26" s="131"/>
      <c r="Q26" s="64"/>
      <c r="R26" s="126"/>
    </row>
    <row r="27" spans="1:18" ht="30" customHeight="1">
      <c r="A27" s="122">
        <f t="shared" si="0"/>
        <v>26</v>
      </c>
      <c r="B27" s="123">
        <v>46026</v>
      </c>
      <c r="C27" s="126" t="s">
        <v>169</v>
      </c>
      <c r="D27" s="126" t="s">
        <v>170</v>
      </c>
      <c r="E27" s="125" t="s">
        <v>171</v>
      </c>
      <c r="F27" s="126" t="s">
        <v>32</v>
      </c>
      <c r="G27" s="129" t="s">
        <v>172</v>
      </c>
      <c r="H27" s="64">
        <v>9910016500</v>
      </c>
      <c r="I27" s="128" t="s">
        <v>173</v>
      </c>
      <c r="J27" s="64" t="s">
        <v>81</v>
      </c>
      <c r="K27" s="129" t="s">
        <v>174</v>
      </c>
      <c r="L27" s="126" t="s">
        <v>76</v>
      </c>
      <c r="M27" s="126"/>
      <c r="N27" s="126"/>
      <c r="O27" s="130"/>
      <c r="P27" s="131"/>
      <c r="Q27" s="64"/>
      <c r="R27" s="126"/>
    </row>
    <row r="28" spans="1:18" ht="30" customHeight="1">
      <c r="A28" s="122">
        <f t="shared" si="0"/>
        <v>27</v>
      </c>
      <c r="B28" s="123">
        <v>46026</v>
      </c>
      <c r="C28" s="126" t="s">
        <v>175</v>
      </c>
      <c r="D28" s="126" t="s">
        <v>176</v>
      </c>
      <c r="E28" s="125" t="s">
        <v>41</v>
      </c>
      <c r="F28" s="126" t="s">
        <v>71</v>
      </c>
      <c r="G28" s="129" t="s">
        <v>177</v>
      </c>
      <c r="H28" s="64">
        <v>9930195031</v>
      </c>
      <c r="I28" s="128" t="s">
        <v>178</v>
      </c>
      <c r="J28" s="64" t="s">
        <v>81</v>
      </c>
      <c r="K28" s="129" t="s">
        <v>179</v>
      </c>
      <c r="L28" s="126" t="s">
        <v>76</v>
      </c>
      <c r="M28" s="126"/>
      <c r="N28" s="126"/>
      <c r="O28" s="130"/>
      <c r="P28" s="170"/>
      <c r="Q28" s="64"/>
      <c r="R28" s="126"/>
    </row>
    <row r="29" spans="1:18" ht="30" customHeight="1">
      <c r="A29" s="122">
        <f t="shared" si="0"/>
        <v>28</v>
      </c>
      <c r="B29" s="123">
        <v>46026</v>
      </c>
      <c r="C29" s="126" t="s">
        <v>180</v>
      </c>
      <c r="D29" s="126" t="s">
        <v>181</v>
      </c>
      <c r="E29" s="125" t="s">
        <v>41</v>
      </c>
      <c r="F29" s="126" t="s">
        <v>32</v>
      </c>
      <c r="G29" s="129" t="s">
        <v>182</v>
      </c>
      <c r="H29" s="64">
        <v>9421866770</v>
      </c>
      <c r="I29" s="128" t="s">
        <v>183</v>
      </c>
      <c r="J29" s="64" t="s">
        <v>81</v>
      </c>
      <c r="K29" s="129" t="s">
        <v>184</v>
      </c>
      <c r="L29" s="126" t="s">
        <v>76</v>
      </c>
      <c r="M29" s="126"/>
      <c r="N29" s="126"/>
      <c r="O29" s="130"/>
      <c r="P29" s="131"/>
      <c r="Q29" s="64"/>
      <c r="R29" s="126"/>
    </row>
    <row r="30" spans="1:18" ht="30" customHeight="1">
      <c r="A30" s="122">
        <f t="shared" si="0"/>
        <v>29</v>
      </c>
      <c r="B30" s="123">
        <v>46026</v>
      </c>
      <c r="C30" s="126" t="s">
        <v>185</v>
      </c>
      <c r="D30" s="126" t="s">
        <v>186</v>
      </c>
      <c r="E30" s="125" t="s">
        <v>41</v>
      </c>
      <c r="F30" s="126" t="s">
        <v>42</v>
      </c>
      <c r="G30" s="129" t="s">
        <v>187</v>
      </c>
      <c r="H30" s="64">
        <v>9823205298</v>
      </c>
      <c r="I30" s="128" t="s">
        <v>188</v>
      </c>
      <c r="J30" s="64" t="s">
        <v>81</v>
      </c>
      <c r="K30" s="129" t="s">
        <v>189</v>
      </c>
      <c r="L30" s="126" t="s">
        <v>76</v>
      </c>
      <c r="M30" s="126"/>
      <c r="N30" s="126"/>
      <c r="O30" s="130"/>
      <c r="P30" s="131"/>
      <c r="Q30" s="64"/>
      <c r="R30" s="126"/>
    </row>
    <row r="31" spans="1:18" ht="30" customHeight="1">
      <c r="A31" s="122">
        <f t="shared" si="0"/>
        <v>30</v>
      </c>
      <c r="B31" s="123">
        <v>46027</v>
      </c>
      <c r="C31" s="126" t="s">
        <v>79</v>
      </c>
      <c r="D31" s="126" t="s">
        <v>190</v>
      </c>
      <c r="E31" s="125" t="s">
        <v>191</v>
      </c>
      <c r="F31" s="126" t="s">
        <v>32</v>
      </c>
      <c r="G31" s="129" t="s">
        <v>172</v>
      </c>
      <c r="H31" s="64">
        <v>9438434636</v>
      </c>
      <c r="I31" s="128" t="s">
        <v>192</v>
      </c>
      <c r="J31" s="64" t="s">
        <v>81</v>
      </c>
      <c r="K31" s="129" t="s">
        <v>193</v>
      </c>
      <c r="L31" s="126" t="s">
        <v>76</v>
      </c>
      <c r="M31" s="126"/>
      <c r="N31" s="126"/>
      <c r="O31" s="130"/>
      <c r="P31" s="170"/>
      <c r="Q31" s="64"/>
      <c r="R31" s="126"/>
    </row>
    <row r="32" spans="1:18" ht="45" customHeight="1">
      <c r="A32" s="122">
        <f t="shared" si="0"/>
        <v>31</v>
      </c>
      <c r="B32" s="123">
        <v>46027</v>
      </c>
      <c r="C32" s="126" t="s">
        <v>194</v>
      </c>
      <c r="D32" s="126" t="s">
        <v>195</v>
      </c>
      <c r="E32" s="125" t="s">
        <v>131</v>
      </c>
      <c r="F32" s="126" t="s">
        <v>42</v>
      </c>
      <c r="G32" s="129" t="s">
        <v>196</v>
      </c>
      <c r="H32" s="64">
        <v>9842325153</v>
      </c>
      <c r="I32" s="128" t="s">
        <v>197</v>
      </c>
      <c r="J32" s="64" t="s">
        <v>81</v>
      </c>
      <c r="K32" s="129" t="s">
        <v>198</v>
      </c>
      <c r="L32" s="126" t="s">
        <v>76</v>
      </c>
      <c r="M32" s="126"/>
      <c r="N32" s="126"/>
      <c r="O32" s="130"/>
      <c r="P32" s="131"/>
      <c r="Q32" s="64"/>
      <c r="R32" s="126"/>
    </row>
    <row r="33" spans="1:18" ht="15" customHeight="1">
      <c r="A33" s="122">
        <f t="shared" si="0"/>
        <v>32</v>
      </c>
      <c r="B33" s="123">
        <v>46027</v>
      </c>
      <c r="C33" s="126" t="s">
        <v>199</v>
      </c>
      <c r="D33" s="126" t="s">
        <v>200</v>
      </c>
      <c r="E33" s="125" t="s">
        <v>131</v>
      </c>
      <c r="F33" s="126" t="s">
        <v>201</v>
      </c>
      <c r="G33" s="129" t="s">
        <v>202</v>
      </c>
      <c r="H33" s="64">
        <v>8637406968</v>
      </c>
      <c r="I33" s="128"/>
      <c r="J33" s="64" t="s">
        <v>86</v>
      </c>
      <c r="K33" s="129" t="s">
        <v>203</v>
      </c>
      <c r="L33" s="126" t="s">
        <v>76</v>
      </c>
      <c r="M33" s="126"/>
      <c r="N33" s="126"/>
      <c r="O33" s="130"/>
      <c r="P33" s="131"/>
      <c r="Q33" s="64"/>
      <c r="R33" s="126"/>
    </row>
    <row r="34" spans="1:18" ht="30" customHeight="1">
      <c r="A34" s="122">
        <f t="shared" si="0"/>
        <v>33</v>
      </c>
      <c r="B34" s="123">
        <v>46027</v>
      </c>
      <c r="C34" s="126" t="s">
        <v>204</v>
      </c>
      <c r="D34" s="126" t="s">
        <v>205</v>
      </c>
      <c r="E34" s="125" t="s">
        <v>206</v>
      </c>
      <c r="F34" s="126" t="s">
        <v>32</v>
      </c>
      <c r="G34" s="129" t="s">
        <v>207</v>
      </c>
      <c r="H34" s="64">
        <v>9319067400</v>
      </c>
      <c r="I34" s="128" t="s">
        <v>208</v>
      </c>
      <c r="J34" s="64" t="s">
        <v>99</v>
      </c>
      <c r="K34" s="129" t="s">
        <v>209</v>
      </c>
      <c r="L34" s="126" t="s">
        <v>76</v>
      </c>
      <c r="M34" s="126"/>
      <c r="N34" s="126"/>
      <c r="O34" s="130"/>
      <c r="P34" s="131"/>
      <c r="Q34" s="64"/>
      <c r="R34" s="126"/>
    </row>
    <row r="35" spans="1:18" ht="30" customHeight="1">
      <c r="A35" s="122">
        <f t="shared" si="0"/>
        <v>34</v>
      </c>
      <c r="B35" s="123">
        <v>46027</v>
      </c>
      <c r="C35" s="126" t="s">
        <v>210</v>
      </c>
      <c r="D35" s="126" t="s">
        <v>211</v>
      </c>
      <c r="E35" s="125" t="s">
        <v>41</v>
      </c>
      <c r="F35" s="126" t="s">
        <v>71</v>
      </c>
      <c r="G35" s="129" t="s">
        <v>212</v>
      </c>
      <c r="H35" s="64">
        <v>9011221000</v>
      </c>
      <c r="I35" s="126" t="s">
        <v>213</v>
      </c>
      <c r="J35" s="64" t="s">
        <v>99</v>
      </c>
      <c r="K35" s="129" t="s">
        <v>214</v>
      </c>
      <c r="L35" s="126" t="s">
        <v>76</v>
      </c>
      <c r="M35" s="126" t="s">
        <v>77</v>
      </c>
      <c r="N35" s="126" t="s">
        <v>215</v>
      </c>
      <c r="O35" s="130">
        <v>46028</v>
      </c>
      <c r="P35" s="131">
        <v>250000</v>
      </c>
      <c r="Q35" s="64" t="s">
        <v>145</v>
      </c>
      <c r="R35" s="126"/>
    </row>
    <row r="36" spans="1:18" ht="15" customHeight="1">
      <c r="A36" s="122">
        <f t="shared" si="0"/>
        <v>35</v>
      </c>
      <c r="B36" s="123">
        <v>46027</v>
      </c>
      <c r="C36" s="126" t="s">
        <v>79</v>
      </c>
      <c r="D36" s="126" t="s">
        <v>216</v>
      </c>
      <c r="E36" s="125" t="s">
        <v>84</v>
      </c>
      <c r="F36" s="126" t="s">
        <v>71</v>
      </c>
      <c r="G36" s="129" t="s">
        <v>217</v>
      </c>
      <c r="H36" s="64">
        <v>9199714691</v>
      </c>
      <c r="I36" s="128"/>
      <c r="J36" s="64" t="s">
        <v>86</v>
      </c>
      <c r="K36" s="129" t="s">
        <v>218</v>
      </c>
      <c r="L36" s="126" t="s">
        <v>76</v>
      </c>
      <c r="M36" s="126" t="s">
        <v>77</v>
      </c>
      <c r="N36" s="126"/>
      <c r="O36" s="130"/>
      <c r="P36" s="131"/>
      <c r="Q36" s="64"/>
      <c r="R36" s="126"/>
    </row>
    <row r="37" spans="1:18" ht="30" customHeight="1">
      <c r="A37" s="122">
        <f t="shared" si="0"/>
        <v>36</v>
      </c>
      <c r="B37" s="123">
        <v>46027</v>
      </c>
      <c r="C37" s="126" t="s">
        <v>219</v>
      </c>
      <c r="D37" s="126" t="s">
        <v>111</v>
      </c>
      <c r="E37" s="125" t="s">
        <v>65</v>
      </c>
      <c r="F37" s="126" t="s">
        <v>71</v>
      </c>
      <c r="G37" s="129" t="s">
        <v>112</v>
      </c>
      <c r="H37" s="64">
        <v>9553546688</v>
      </c>
      <c r="I37" s="128" t="s">
        <v>220</v>
      </c>
      <c r="J37" s="64" t="s">
        <v>81</v>
      </c>
      <c r="K37" s="129" t="s">
        <v>221</v>
      </c>
      <c r="L37" s="126" t="s">
        <v>101</v>
      </c>
      <c r="M37" s="126" t="s">
        <v>55</v>
      </c>
      <c r="N37" s="126"/>
      <c r="O37" s="130"/>
      <c r="P37" s="131"/>
      <c r="Q37" s="64"/>
      <c r="R37" s="126"/>
    </row>
    <row r="38" spans="1:18" ht="30" customHeight="1">
      <c r="A38" s="122">
        <f t="shared" si="0"/>
        <v>37</v>
      </c>
      <c r="B38" s="123">
        <v>46028</v>
      </c>
      <c r="C38" s="126" t="s">
        <v>222</v>
      </c>
      <c r="D38" s="126" t="s">
        <v>223</v>
      </c>
      <c r="E38" s="125" t="s">
        <v>131</v>
      </c>
      <c r="F38" s="126" t="s">
        <v>80</v>
      </c>
      <c r="G38" s="129" t="s">
        <v>224</v>
      </c>
      <c r="H38" s="64">
        <v>9600783068</v>
      </c>
      <c r="I38" s="128" t="s">
        <v>225</v>
      </c>
      <c r="J38" s="64" t="s">
        <v>99</v>
      </c>
      <c r="K38" s="129" t="s">
        <v>226</v>
      </c>
      <c r="L38" s="126" t="s">
        <v>76</v>
      </c>
      <c r="M38" s="126" t="s">
        <v>55</v>
      </c>
      <c r="N38" s="126"/>
      <c r="O38" s="130"/>
      <c r="P38" s="131"/>
      <c r="Q38" s="64"/>
      <c r="R38" s="126"/>
    </row>
    <row r="39" spans="1:18" ht="30" customHeight="1">
      <c r="A39" s="122">
        <f t="shared" si="0"/>
        <v>38</v>
      </c>
      <c r="B39" s="123">
        <v>46028</v>
      </c>
      <c r="C39" s="126" t="s">
        <v>227</v>
      </c>
      <c r="D39" s="126" t="s">
        <v>176</v>
      </c>
      <c r="E39" s="125" t="s">
        <v>41</v>
      </c>
      <c r="F39" s="126" t="s">
        <v>42</v>
      </c>
      <c r="G39" s="129" t="s">
        <v>228</v>
      </c>
      <c r="H39" s="64">
        <v>7400485286</v>
      </c>
      <c r="I39" s="128" t="s">
        <v>229</v>
      </c>
      <c r="J39" s="64" t="s">
        <v>99</v>
      </c>
      <c r="K39" s="129" t="s">
        <v>230</v>
      </c>
      <c r="L39" s="126" t="s">
        <v>76</v>
      </c>
      <c r="M39" s="126" t="s">
        <v>55</v>
      </c>
      <c r="N39" s="126"/>
      <c r="O39" s="130"/>
      <c r="P39" s="131"/>
      <c r="Q39" s="64" t="s">
        <v>78</v>
      </c>
      <c r="R39" s="126"/>
    </row>
    <row r="40" spans="1:18" ht="30" customHeight="1">
      <c r="A40" s="122">
        <f t="shared" si="0"/>
        <v>39</v>
      </c>
      <c r="B40" s="123">
        <v>46028</v>
      </c>
      <c r="C40" s="126" t="s">
        <v>231</v>
      </c>
      <c r="D40" s="126" t="s">
        <v>232</v>
      </c>
      <c r="E40" s="125" t="s">
        <v>171</v>
      </c>
      <c r="F40" s="126" t="s">
        <v>42</v>
      </c>
      <c r="G40" s="129" t="s">
        <v>233</v>
      </c>
      <c r="H40" s="64">
        <v>9217020493</v>
      </c>
      <c r="I40" s="128" t="s">
        <v>234</v>
      </c>
      <c r="J40" s="64" t="s">
        <v>81</v>
      </c>
      <c r="K40" s="129" t="s">
        <v>235</v>
      </c>
      <c r="L40" s="126" t="s">
        <v>76</v>
      </c>
      <c r="M40" s="126" t="s">
        <v>55</v>
      </c>
      <c r="N40" s="126"/>
      <c r="O40" s="130"/>
      <c r="P40" s="131"/>
      <c r="Q40" s="64"/>
      <c r="R40" s="126"/>
    </row>
    <row r="41" spans="1:18" ht="30" customHeight="1">
      <c r="A41" s="122">
        <f t="shared" si="0"/>
        <v>40</v>
      </c>
      <c r="B41" s="123">
        <v>46028</v>
      </c>
      <c r="C41" s="126" t="s">
        <v>236</v>
      </c>
      <c r="D41" s="126" t="s">
        <v>237</v>
      </c>
      <c r="E41" s="125" t="s">
        <v>65</v>
      </c>
      <c r="F41" s="126" t="s">
        <v>32</v>
      </c>
      <c r="G41" s="129" t="s">
        <v>32</v>
      </c>
      <c r="H41" s="64">
        <v>8008801969</v>
      </c>
      <c r="I41" s="128" t="s">
        <v>238</v>
      </c>
      <c r="J41" s="64" t="s">
        <v>81</v>
      </c>
      <c r="K41" s="129" t="s">
        <v>239</v>
      </c>
      <c r="L41" s="126" t="s">
        <v>76</v>
      </c>
      <c r="M41" s="126" t="s">
        <v>55</v>
      </c>
      <c r="N41" s="126"/>
      <c r="O41" s="130"/>
      <c r="P41" s="131"/>
      <c r="Q41" s="64"/>
      <c r="R41" s="126"/>
    </row>
    <row r="42" spans="1:18" ht="15" customHeight="1">
      <c r="A42" s="122">
        <f t="shared" si="0"/>
        <v>41</v>
      </c>
      <c r="B42" s="123">
        <v>46028</v>
      </c>
      <c r="C42" s="126" t="s">
        <v>79</v>
      </c>
      <c r="D42" s="126" t="s">
        <v>240</v>
      </c>
      <c r="E42" s="125" t="s">
        <v>84</v>
      </c>
      <c r="F42" s="126" t="s">
        <v>71</v>
      </c>
      <c r="G42" s="129" t="s">
        <v>241</v>
      </c>
      <c r="H42" s="64">
        <v>9274248553</v>
      </c>
      <c r="I42" s="128"/>
      <c r="J42" s="64" t="s">
        <v>81</v>
      </c>
      <c r="K42" s="129" t="s">
        <v>242</v>
      </c>
      <c r="L42" s="126" t="s">
        <v>76</v>
      </c>
      <c r="M42" s="126" t="s">
        <v>77</v>
      </c>
      <c r="N42" s="126"/>
      <c r="O42" s="130"/>
      <c r="P42" s="131"/>
      <c r="Q42" s="64"/>
      <c r="R42" s="126"/>
    </row>
    <row r="43" spans="1:18" ht="30" customHeight="1">
      <c r="A43" s="122">
        <f t="shared" si="0"/>
        <v>42</v>
      </c>
      <c r="B43" s="123">
        <v>46028</v>
      </c>
      <c r="C43" s="126" t="s">
        <v>79</v>
      </c>
      <c r="D43" s="126" t="s">
        <v>243</v>
      </c>
      <c r="E43" s="125" t="s">
        <v>89</v>
      </c>
      <c r="F43" s="126" t="s">
        <v>32</v>
      </c>
      <c r="G43" s="129" t="s">
        <v>244</v>
      </c>
      <c r="H43" s="64">
        <v>9026480547</v>
      </c>
      <c r="I43" s="128" t="s">
        <v>245</v>
      </c>
      <c r="J43" s="64" t="s">
        <v>81</v>
      </c>
      <c r="K43" s="129" t="s">
        <v>246</v>
      </c>
      <c r="L43" s="126" t="s">
        <v>76</v>
      </c>
      <c r="M43" s="126" t="s">
        <v>55</v>
      </c>
      <c r="N43" s="126"/>
      <c r="O43" s="130"/>
      <c r="P43" s="131"/>
      <c r="Q43" s="64"/>
      <c r="R43" s="126"/>
    </row>
    <row r="44" spans="1:18" ht="15" customHeight="1">
      <c r="A44" s="122">
        <f t="shared" si="0"/>
        <v>43</v>
      </c>
      <c r="B44" s="123">
        <v>46028</v>
      </c>
      <c r="C44" s="126" t="s">
        <v>79</v>
      </c>
      <c r="D44" s="126" t="s">
        <v>240</v>
      </c>
      <c r="E44" s="125" t="s">
        <v>84</v>
      </c>
      <c r="F44" s="126" t="s">
        <v>42</v>
      </c>
      <c r="G44" s="129" t="s">
        <v>247</v>
      </c>
      <c r="H44" s="64">
        <v>8200861993</v>
      </c>
      <c r="I44" s="128"/>
      <c r="J44" s="64" t="s">
        <v>248</v>
      </c>
      <c r="K44" s="129" t="s">
        <v>249</v>
      </c>
      <c r="L44" s="126" t="s">
        <v>76</v>
      </c>
      <c r="M44" s="126" t="s">
        <v>55</v>
      </c>
      <c r="N44" s="126"/>
      <c r="O44" s="130"/>
      <c r="P44" s="131"/>
      <c r="Q44" s="64"/>
      <c r="R44" s="126"/>
    </row>
    <row r="45" spans="1:18" ht="30" customHeight="1">
      <c r="A45" s="122">
        <f t="shared" si="0"/>
        <v>44</v>
      </c>
      <c r="B45" s="123">
        <v>46028</v>
      </c>
      <c r="C45" s="126" t="s">
        <v>250</v>
      </c>
      <c r="D45" s="126" t="s">
        <v>251</v>
      </c>
      <c r="E45" s="125" t="s">
        <v>171</v>
      </c>
      <c r="F45" s="126" t="s">
        <v>32</v>
      </c>
      <c r="G45" s="129" t="s">
        <v>252</v>
      </c>
      <c r="H45" s="64">
        <v>8851348366</v>
      </c>
      <c r="I45" s="128" t="s">
        <v>253</v>
      </c>
      <c r="J45" s="64" t="s">
        <v>99</v>
      </c>
      <c r="K45" s="129" t="s">
        <v>254</v>
      </c>
      <c r="L45" s="126" t="s">
        <v>76</v>
      </c>
      <c r="M45" s="126" t="s">
        <v>55</v>
      </c>
      <c r="N45" s="126"/>
      <c r="O45" s="130"/>
      <c r="P45" s="131"/>
      <c r="Q45" s="64"/>
      <c r="R45" s="126"/>
    </row>
    <row r="46" spans="1:18" ht="30" customHeight="1">
      <c r="A46" s="122">
        <f t="shared" si="0"/>
        <v>45</v>
      </c>
      <c r="B46" s="123">
        <v>46028</v>
      </c>
      <c r="C46" s="126" t="s">
        <v>255</v>
      </c>
      <c r="D46" s="126"/>
      <c r="E46" s="126"/>
      <c r="F46" s="126" t="s">
        <v>32</v>
      </c>
      <c r="G46" s="129" t="s">
        <v>107</v>
      </c>
      <c r="H46" s="64">
        <v>9113980902</v>
      </c>
      <c r="I46" s="128" t="s">
        <v>256</v>
      </c>
      <c r="J46" s="64" t="s">
        <v>81</v>
      </c>
      <c r="K46" s="129" t="s">
        <v>257</v>
      </c>
      <c r="L46" s="126" t="s">
        <v>101</v>
      </c>
      <c r="M46" s="126" t="s">
        <v>55</v>
      </c>
      <c r="N46" s="126"/>
      <c r="O46" s="130"/>
      <c r="P46" s="131"/>
      <c r="Q46" s="64"/>
      <c r="R46" s="126"/>
    </row>
    <row r="47" spans="1:18" ht="30" customHeight="1">
      <c r="A47" s="122">
        <f t="shared" si="0"/>
        <v>46</v>
      </c>
      <c r="B47" s="123">
        <v>46029</v>
      </c>
      <c r="C47" s="126" t="s">
        <v>258</v>
      </c>
      <c r="D47" s="126" t="s">
        <v>259</v>
      </c>
      <c r="E47" s="125" t="s">
        <v>41</v>
      </c>
      <c r="F47" s="126" t="s">
        <v>80</v>
      </c>
      <c r="G47" s="129" t="s">
        <v>260</v>
      </c>
      <c r="H47" s="64">
        <v>8080347767</v>
      </c>
      <c r="I47" s="128" t="s">
        <v>261</v>
      </c>
      <c r="J47" s="64" t="s">
        <v>248</v>
      </c>
      <c r="K47" s="129" t="s">
        <v>262</v>
      </c>
      <c r="L47" s="126" t="s">
        <v>76</v>
      </c>
      <c r="M47" s="126" t="s">
        <v>55</v>
      </c>
      <c r="N47" s="126"/>
      <c r="O47" s="130"/>
      <c r="P47" s="131"/>
      <c r="Q47" s="64"/>
      <c r="R47" s="126"/>
    </row>
    <row r="48" spans="1:18" ht="30" customHeight="1">
      <c r="A48" s="122">
        <f t="shared" si="0"/>
        <v>47</v>
      </c>
      <c r="B48" s="123">
        <v>46029</v>
      </c>
      <c r="C48" s="126" t="s">
        <v>263</v>
      </c>
      <c r="D48" s="126" t="s">
        <v>264</v>
      </c>
      <c r="E48" s="125" t="s">
        <v>41</v>
      </c>
      <c r="F48" s="126" t="s">
        <v>32</v>
      </c>
      <c r="G48" s="129" t="s">
        <v>265</v>
      </c>
      <c r="H48" s="64">
        <v>9890991147</v>
      </c>
      <c r="I48" s="128" t="s">
        <v>266</v>
      </c>
      <c r="J48" s="64" t="s">
        <v>81</v>
      </c>
      <c r="K48" s="129" t="s">
        <v>267</v>
      </c>
      <c r="L48" s="126" t="s">
        <v>76</v>
      </c>
      <c r="M48" s="126" t="s">
        <v>55</v>
      </c>
      <c r="N48" s="126"/>
      <c r="O48" s="130"/>
      <c r="P48" s="131"/>
      <c r="Q48" s="64"/>
      <c r="R48" s="126"/>
    </row>
    <row r="49" spans="1:18" ht="30" customHeight="1">
      <c r="A49" s="122">
        <f t="shared" si="0"/>
        <v>48</v>
      </c>
      <c r="B49" s="123">
        <v>46029</v>
      </c>
      <c r="C49" s="126" t="s">
        <v>268</v>
      </c>
      <c r="D49" s="126" t="s">
        <v>269</v>
      </c>
      <c r="E49" s="126" t="s">
        <v>58</v>
      </c>
      <c r="F49" s="126" t="s">
        <v>117</v>
      </c>
      <c r="G49" s="129" t="s">
        <v>270</v>
      </c>
      <c r="H49" s="64">
        <v>9340070354</v>
      </c>
      <c r="I49" s="128" t="s">
        <v>271</v>
      </c>
      <c r="J49" s="64" t="s">
        <v>272</v>
      </c>
      <c r="K49" s="129" t="s">
        <v>268</v>
      </c>
      <c r="L49" s="126" t="s">
        <v>76</v>
      </c>
      <c r="M49" s="126" t="s">
        <v>55</v>
      </c>
      <c r="N49" s="126"/>
      <c r="O49" s="130"/>
      <c r="P49" s="131"/>
      <c r="Q49" s="64"/>
      <c r="R49" s="126"/>
    </row>
    <row r="50" spans="1:18" ht="30" customHeight="1">
      <c r="A50" s="122">
        <f t="shared" si="0"/>
        <v>49</v>
      </c>
      <c r="B50" s="123">
        <v>46029</v>
      </c>
      <c r="C50" s="126" t="s">
        <v>273</v>
      </c>
      <c r="D50" s="126" t="s">
        <v>274</v>
      </c>
      <c r="E50" s="126" t="s">
        <v>84</v>
      </c>
      <c r="F50" s="126" t="s">
        <v>117</v>
      </c>
      <c r="G50" s="129" t="s">
        <v>275</v>
      </c>
      <c r="H50" s="64">
        <v>9429314211</v>
      </c>
      <c r="I50" s="128" t="s">
        <v>276</v>
      </c>
      <c r="J50" s="64" t="s">
        <v>272</v>
      </c>
      <c r="K50" s="129" t="s">
        <v>277</v>
      </c>
      <c r="L50" s="126" t="s">
        <v>76</v>
      </c>
      <c r="M50" s="126" t="s">
        <v>55</v>
      </c>
      <c r="N50" s="126"/>
      <c r="O50" s="130"/>
      <c r="P50" s="131"/>
      <c r="Q50" s="64"/>
      <c r="R50" s="126"/>
    </row>
    <row r="51" spans="1:18" ht="30" customHeight="1">
      <c r="A51" s="122">
        <f t="shared" si="0"/>
        <v>50</v>
      </c>
      <c r="B51" s="123">
        <v>46029</v>
      </c>
      <c r="C51" s="126" t="s">
        <v>278</v>
      </c>
      <c r="D51" s="126" t="s">
        <v>279</v>
      </c>
      <c r="E51" s="126" t="s">
        <v>84</v>
      </c>
      <c r="F51" s="126" t="s">
        <v>32</v>
      </c>
      <c r="G51" s="129" t="s">
        <v>280</v>
      </c>
      <c r="H51" s="64">
        <v>9898036799</v>
      </c>
      <c r="I51" s="128" t="s">
        <v>281</v>
      </c>
      <c r="J51" s="64" t="s">
        <v>248</v>
      </c>
      <c r="K51" s="127" t="s">
        <v>282</v>
      </c>
      <c r="L51" s="126" t="s">
        <v>76</v>
      </c>
      <c r="M51" s="126" t="s">
        <v>55</v>
      </c>
      <c r="N51" s="126"/>
      <c r="O51" s="130"/>
      <c r="P51" s="131"/>
      <c r="Q51" s="64"/>
      <c r="R51" s="126"/>
    </row>
    <row r="52" spans="1:18" ht="30" customHeight="1">
      <c r="A52" s="122">
        <f t="shared" si="0"/>
        <v>51</v>
      </c>
      <c r="B52" s="123">
        <v>46029</v>
      </c>
      <c r="C52" s="126" t="s">
        <v>283</v>
      </c>
      <c r="D52" s="126" t="s">
        <v>284</v>
      </c>
      <c r="E52" s="125" t="s">
        <v>41</v>
      </c>
      <c r="F52" s="126" t="s">
        <v>32</v>
      </c>
      <c r="G52" s="129" t="s">
        <v>285</v>
      </c>
      <c r="H52" s="64">
        <v>9892324713</v>
      </c>
      <c r="I52" s="128" t="s">
        <v>286</v>
      </c>
      <c r="J52" s="64" t="s">
        <v>272</v>
      </c>
      <c r="K52" s="127" t="s">
        <v>287</v>
      </c>
      <c r="L52" s="126" t="s">
        <v>76</v>
      </c>
      <c r="M52" s="126" t="s">
        <v>55</v>
      </c>
      <c r="N52" s="126"/>
      <c r="O52" s="130"/>
      <c r="P52" s="131"/>
      <c r="Q52" s="64"/>
      <c r="R52" s="126"/>
    </row>
    <row r="53" spans="1:18">
      <c r="A53" s="122">
        <f t="shared" si="0"/>
        <v>52</v>
      </c>
      <c r="B53" s="123">
        <v>46029</v>
      </c>
      <c r="C53" s="135" t="s">
        <v>288</v>
      </c>
      <c r="D53" s="126" t="s">
        <v>289</v>
      </c>
      <c r="E53" s="125" t="s">
        <v>41</v>
      </c>
      <c r="F53" s="126" t="s">
        <v>71</v>
      </c>
      <c r="G53" s="129" t="s">
        <v>290</v>
      </c>
      <c r="H53" s="64">
        <v>8888060751</v>
      </c>
      <c r="I53" s="136" t="s">
        <v>291</v>
      </c>
      <c r="J53" s="64" t="s">
        <v>34</v>
      </c>
      <c r="K53" s="129" t="s">
        <v>54</v>
      </c>
      <c r="L53" s="126" t="s">
        <v>54</v>
      </c>
      <c r="M53" s="126" t="s">
        <v>77</v>
      </c>
      <c r="N53" s="126" t="s">
        <v>292</v>
      </c>
      <c r="O53" s="130">
        <v>46029</v>
      </c>
      <c r="P53" s="170">
        <v>365268</v>
      </c>
      <c r="Q53" s="64" t="s">
        <v>293</v>
      </c>
      <c r="R53" s="126"/>
    </row>
    <row r="54" spans="1:18" ht="30" customHeight="1">
      <c r="A54" s="122">
        <f t="shared" si="0"/>
        <v>53</v>
      </c>
      <c r="B54" s="123">
        <v>46029</v>
      </c>
      <c r="C54" s="126" t="s">
        <v>294</v>
      </c>
      <c r="D54" s="126" t="s">
        <v>295</v>
      </c>
      <c r="E54" s="125" t="s">
        <v>41</v>
      </c>
      <c r="F54" s="126" t="s">
        <v>42</v>
      </c>
      <c r="G54" s="129"/>
      <c r="H54" s="64">
        <v>9860710951</v>
      </c>
      <c r="I54" s="128" t="s">
        <v>296</v>
      </c>
      <c r="J54" s="64" t="s">
        <v>248</v>
      </c>
      <c r="K54" s="127" t="s">
        <v>297</v>
      </c>
      <c r="L54" s="126" t="s">
        <v>76</v>
      </c>
      <c r="M54" s="126"/>
      <c r="N54" s="126"/>
      <c r="O54" s="130"/>
      <c r="P54" s="131"/>
      <c r="Q54" s="64"/>
      <c r="R54" s="126"/>
    </row>
    <row r="55" spans="1:18" ht="15" customHeight="1">
      <c r="A55" s="122">
        <f t="shared" si="0"/>
        <v>54</v>
      </c>
      <c r="B55" s="123">
        <v>46029</v>
      </c>
      <c r="C55" s="126" t="s">
        <v>298</v>
      </c>
      <c r="D55" s="126" t="s">
        <v>299</v>
      </c>
      <c r="E55" s="125" t="s">
        <v>41</v>
      </c>
      <c r="F55" s="126" t="s">
        <v>80</v>
      </c>
      <c r="G55" s="129" t="s">
        <v>300</v>
      </c>
      <c r="H55" s="64">
        <v>9765937379</v>
      </c>
      <c r="I55" s="128"/>
      <c r="J55" s="64" t="s">
        <v>272</v>
      </c>
      <c r="K55" s="127" t="s">
        <v>301</v>
      </c>
      <c r="L55" s="126" t="s">
        <v>76</v>
      </c>
      <c r="M55" s="126" t="s">
        <v>55</v>
      </c>
      <c r="N55" s="126"/>
      <c r="O55" s="130"/>
      <c r="P55" s="131"/>
      <c r="Q55" s="64"/>
      <c r="R55" s="126"/>
    </row>
    <row r="56" spans="1:18" ht="30" customHeight="1">
      <c r="A56" s="122">
        <f t="shared" si="0"/>
        <v>55</v>
      </c>
      <c r="B56" s="123">
        <v>46029</v>
      </c>
      <c r="C56" s="126" t="s">
        <v>302</v>
      </c>
      <c r="D56" s="126" t="s">
        <v>264</v>
      </c>
      <c r="E56" s="126" t="s">
        <v>41</v>
      </c>
      <c r="F56" s="126" t="s">
        <v>90</v>
      </c>
      <c r="G56" s="129" t="s">
        <v>303</v>
      </c>
      <c r="H56" s="64">
        <v>9156273029</v>
      </c>
      <c r="I56" s="128" t="s">
        <v>304</v>
      </c>
      <c r="J56" s="64" t="s">
        <v>272</v>
      </c>
      <c r="K56" s="127" t="s">
        <v>305</v>
      </c>
      <c r="L56" s="126" t="s">
        <v>76</v>
      </c>
      <c r="M56" s="126" t="s">
        <v>55</v>
      </c>
      <c r="N56" s="126"/>
      <c r="O56" s="130"/>
      <c r="P56" s="131"/>
      <c r="Q56" s="64"/>
      <c r="R56" s="126"/>
    </row>
    <row r="57" spans="1:18" ht="30" customHeight="1">
      <c r="A57" s="122">
        <f t="shared" si="0"/>
        <v>56</v>
      </c>
      <c r="B57" s="123">
        <v>46029</v>
      </c>
      <c r="C57" s="126" t="s">
        <v>306</v>
      </c>
      <c r="D57" s="126" t="s">
        <v>307</v>
      </c>
      <c r="E57" s="126" t="s">
        <v>308</v>
      </c>
      <c r="F57" s="126" t="s">
        <v>201</v>
      </c>
      <c r="G57" s="129" t="s">
        <v>202</v>
      </c>
      <c r="H57" s="64">
        <v>9983556485</v>
      </c>
      <c r="I57" s="128" t="s">
        <v>309</v>
      </c>
      <c r="J57" s="64" t="s">
        <v>248</v>
      </c>
      <c r="K57" s="127" t="s">
        <v>310</v>
      </c>
      <c r="L57" s="126" t="s">
        <v>76</v>
      </c>
      <c r="M57" s="126" t="s">
        <v>55</v>
      </c>
      <c r="N57" s="126"/>
      <c r="O57" s="130"/>
      <c r="P57" s="131"/>
      <c r="Q57" s="64"/>
      <c r="R57" s="126"/>
    </row>
    <row r="58" spans="1:18" ht="30" customHeight="1">
      <c r="A58" s="122">
        <f t="shared" si="0"/>
        <v>57</v>
      </c>
      <c r="B58" s="123">
        <v>46029</v>
      </c>
      <c r="C58" s="126" t="s">
        <v>263</v>
      </c>
      <c r="D58" s="126"/>
      <c r="E58" s="126" t="s">
        <v>171</v>
      </c>
      <c r="F58" s="126" t="s">
        <v>32</v>
      </c>
      <c r="G58" s="129"/>
      <c r="H58" s="64">
        <v>6379537625</v>
      </c>
      <c r="I58" s="128" t="s">
        <v>311</v>
      </c>
      <c r="J58" s="64" t="s">
        <v>272</v>
      </c>
      <c r="K58" s="129" t="s">
        <v>312</v>
      </c>
      <c r="L58" s="126" t="s">
        <v>76</v>
      </c>
      <c r="M58" s="126" t="s">
        <v>69</v>
      </c>
      <c r="N58" s="126"/>
      <c r="O58" s="130"/>
      <c r="P58" s="131"/>
      <c r="Q58" s="64"/>
      <c r="R58" s="126"/>
    </row>
    <row r="59" spans="1:18">
      <c r="A59" s="122">
        <f t="shared" si="0"/>
        <v>58</v>
      </c>
      <c r="B59" s="123">
        <v>46029</v>
      </c>
      <c r="C59" s="126" t="s">
        <v>313</v>
      </c>
      <c r="D59" s="126" t="s">
        <v>314</v>
      </c>
      <c r="E59" s="126" t="s">
        <v>41</v>
      </c>
      <c r="F59" s="126" t="s">
        <v>71</v>
      </c>
      <c r="G59" s="129" t="s">
        <v>315</v>
      </c>
      <c r="H59" s="64">
        <v>8828326358</v>
      </c>
      <c r="I59" s="126" t="s">
        <v>316</v>
      </c>
      <c r="J59" s="64" t="s">
        <v>34</v>
      </c>
      <c r="K59" s="129" t="s">
        <v>317</v>
      </c>
      <c r="L59" s="126" t="s">
        <v>54</v>
      </c>
      <c r="M59" s="126" t="s">
        <v>77</v>
      </c>
      <c r="N59" s="126" t="s">
        <v>318</v>
      </c>
      <c r="O59" s="130">
        <v>46029</v>
      </c>
      <c r="P59" s="170">
        <v>80520</v>
      </c>
      <c r="Q59" s="64" t="s">
        <v>319</v>
      </c>
      <c r="R59" s="126"/>
    </row>
    <row r="60" spans="1:18" ht="30" customHeight="1">
      <c r="A60" s="122">
        <f t="shared" si="0"/>
        <v>59</v>
      </c>
      <c r="B60" s="123">
        <v>46029</v>
      </c>
      <c r="C60" s="126" t="s">
        <v>79</v>
      </c>
      <c r="D60" s="126" t="s">
        <v>320</v>
      </c>
      <c r="E60" s="126" t="s">
        <v>321</v>
      </c>
      <c r="F60" s="126" t="s">
        <v>32</v>
      </c>
      <c r="G60" s="129" t="s">
        <v>107</v>
      </c>
      <c r="H60" s="64">
        <v>9006006960</v>
      </c>
      <c r="I60" s="128" t="s">
        <v>322</v>
      </c>
      <c r="J60" s="64" t="s">
        <v>81</v>
      </c>
      <c r="K60" s="129" t="s">
        <v>323</v>
      </c>
      <c r="L60" s="126" t="s">
        <v>101</v>
      </c>
      <c r="M60" s="126" t="s">
        <v>69</v>
      </c>
      <c r="N60" s="126"/>
      <c r="O60" s="130"/>
      <c r="P60" s="131"/>
      <c r="Q60" s="64"/>
      <c r="R60" s="126"/>
    </row>
    <row r="61" spans="1:18" ht="15" customHeight="1">
      <c r="A61" s="122">
        <f t="shared" si="0"/>
        <v>60</v>
      </c>
      <c r="B61" s="123">
        <v>46029</v>
      </c>
      <c r="C61" s="126" t="s">
        <v>79</v>
      </c>
      <c r="D61" s="126" t="s">
        <v>324</v>
      </c>
      <c r="E61" s="126" t="s">
        <v>41</v>
      </c>
      <c r="F61" s="126" t="s">
        <v>32</v>
      </c>
      <c r="G61" s="129" t="s">
        <v>107</v>
      </c>
      <c r="H61" s="64">
        <v>9225658662</v>
      </c>
      <c r="I61" s="128"/>
      <c r="J61" s="64" t="s">
        <v>81</v>
      </c>
      <c r="K61" s="129" t="s">
        <v>325</v>
      </c>
      <c r="L61" s="126" t="s">
        <v>101</v>
      </c>
      <c r="M61" s="126" t="s">
        <v>69</v>
      </c>
      <c r="N61" s="126"/>
      <c r="O61" s="130"/>
      <c r="P61" s="131"/>
      <c r="Q61" s="64"/>
      <c r="R61" s="126"/>
    </row>
    <row r="62" spans="1:18" ht="30" customHeight="1">
      <c r="A62" s="122">
        <f t="shared" si="0"/>
        <v>61</v>
      </c>
      <c r="B62" s="123">
        <v>46029</v>
      </c>
      <c r="C62" s="126" t="s">
        <v>79</v>
      </c>
      <c r="D62" s="126" t="s">
        <v>326</v>
      </c>
      <c r="E62" s="126" t="s">
        <v>41</v>
      </c>
      <c r="F62" s="126" t="s">
        <v>117</v>
      </c>
      <c r="G62" s="129" t="s">
        <v>327</v>
      </c>
      <c r="H62" s="64">
        <v>7774044007</v>
      </c>
      <c r="I62" s="128" t="s">
        <v>328</v>
      </c>
      <c r="J62" s="64" t="s">
        <v>81</v>
      </c>
      <c r="K62" s="129" t="s">
        <v>329</v>
      </c>
      <c r="L62" s="126" t="s">
        <v>101</v>
      </c>
      <c r="M62" s="126" t="s">
        <v>55</v>
      </c>
      <c r="N62" s="126"/>
      <c r="O62" s="130"/>
      <c r="P62" s="131"/>
      <c r="Q62" s="64"/>
      <c r="R62" s="126"/>
    </row>
    <row r="63" spans="1:18" ht="30" customHeight="1">
      <c r="A63" s="122">
        <f t="shared" si="0"/>
        <v>62</v>
      </c>
      <c r="B63" s="123">
        <v>46030</v>
      </c>
      <c r="C63" s="126" t="s">
        <v>330</v>
      </c>
      <c r="D63" s="126" t="s">
        <v>331</v>
      </c>
      <c r="E63" s="126" t="s">
        <v>41</v>
      </c>
      <c r="F63" s="126" t="s">
        <v>71</v>
      </c>
      <c r="G63" s="129" t="s">
        <v>332</v>
      </c>
      <c r="H63" s="64" t="s">
        <v>333</v>
      </c>
      <c r="I63" s="126" t="s">
        <v>334</v>
      </c>
      <c r="J63" s="64" t="s">
        <v>34</v>
      </c>
      <c r="K63" s="129" t="s">
        <v>122</v>
      </c>
      <c r="L63" s="126" t="s">
        <v>54</v>
      </c>
      <c r="M63" s="126" t="s">
        <v>37</v>
      </c>
      <c r="N63" s="126" t="s">
        <v>335</v>
      </c>
      <c r="O63" s="130">
        <v>46030</v>
      </c>
      <c r="P63" s="137">
        <v>518221</v>
      </c>
      <c r="Q63" s="126" t="s">
        <v>336</v>
      </c>
      <c r="R63" s="126"/>
    </row>
    <row r="64" spans="1:18" ht="30" customHeight="1">
      <c r="A64" s="122">
        <f t="shared" si="0"/>
        <v>63</v>
      </c>
      <c r="B64" s="123">
        <v>46030</v>
      </c>
      <c r="C64" s="126" t="s">
        <v>79</v>
      </c>
      <c r="D64" s="126" t="s">
        <v>337</v>
      </c>
      <c r="E64" s="126" t="s">
        <v>41</v>
      </c>
      <c r="F64" s="126" t="s">
        <v>32</v>
      </c>
      <c r="G64" s="129" t="s">
        <v>338</v>
      </c>
      <c r="H64" s="64">
        <v>9820007885</v>
      </c>
      <c r="I64" s="128" t="s">
        <v>339</v>
      </c>
      <c r="J64" s="64" t="s">
        <v>81</v>
      </c>
      <c r="K64" s="129" t="s">
        <v>340</v>
      </c>
      <c r="L64" s="126" t="s">
        <v>101</v>
      </c>
      <c r="M64" s="126" t="s">
        <v>55</v>
      </c>
      <c r="N64" s="126"/>
      <c r="O64" s="130"/>
      <c r="P64" s="131"/>
      <c r="Q64" s="64"/>
      <c r="R64" s="126"/>
    </row>
    <row r="65" spans="1:18" ht="30" customHeight="1">
      <c r="A65" s="122">
        <f t="shared" si="0"/>
        <v>64</v>
      </c>
      <c r="B65" s="123">
        <v>46032</v>
      </c>
      <c r="C65" s="126" t="s">
        <v>341</v>
      </c>
      <c r="D65" s="126" t="s">
        <v>342</v>
      </c>
      <c r="E65" s="126" t="s">
        <v>41</v>
      </c>
      <c r="F65" s="126" t="s">
        <v>32</v>
      </c>
      <c r="G65" s="129" t="s">
        <v>343</v>
      </c>
      <c r="H65" s="64">
        <v>9975188155</v>
      </c>
      <c r="I65" s="128" t="s">
        <v>344</v>
      </c>
      <c r="J65" s="64" t="s">
        <v>81</v>
      </c>
      <c r="K65" s="129" t="s">
        <v>345</v>
      </c>
      <c r="L65" s="126" t="s">
        <v>101</v>
      </c>
      <c r="M65" s="126"/>
      <c r="N65" s="126"/>
      <c r="O65" s="130"/>
      <c r="P65" s="131"/>
      <c r="Q65" s="64"/>
      <c r="R65" s="126"/>
    </row>
    <row r="66" spans="1:18" ht="30" customHeight="1">
      <c r="A66" s="122">
        <f t="shared" ref="A66:A129" si="1">ROW()-1</f>
        <v>65</v>
      </c>
      <c r="B66" s="123">
        <v>46032</v>
      </c>
      <c r="C66" s="126" t="s">
        <v>346</v>
      </c>
      <c r="D66" s="126" t="s">
        <v>326</v>
      </c>
      <c r="E66" s="126" t="s">
        <v>41</v>
      </c>
      <c r="F66" s="126" t="s">
        <v>80</v>
      </c>
      <c r="G66" s="129" t="s">
        <v>260</v>
      </c>
      <c r="H66" s="64">
        <v>9372395427</v>
      </c>
      <c r="I66" s="128" t="s">
        <v>347</v>
      </c>
      <c r="J66" s="64" t="s">
        <v>81</v>
      </c>
      <c r="K66" s="129" t="s">
        <v>348</v>
      </c>
      <c r="L66" s="126" t="s">
        <v>101</v>
      </c>
      <c r="M66" s="126" t="s">
        <v>77</v>
      </c>
      <c r="N66" s="126"/>
      <c r="O66" s="130"/>
      <c r="P66" s="131"/>
      <c r="Q66" s="64"/>
      <c r="R66" s="126"/>
    </row>
    <row r="67" spans="1:18" ht="30" customHeight="1">
      <c r="A67" s="122">
        <f t="shared" si="1"/>
        <v>66</v>
      </c>
      <c r="B67" s="138">
        <v>46032</v>
      </c>
      <c r="C67" s="126" t="s">
        <v>349</v>
      </c>
      <c r="D67" s="126" t="s">
        <v>46</v>
      </c>
      <c r="E67" s="126" t="s">
        <v>41</v>
      </c>
      <c r="F67" s="126" t="s">
        <v>80</v>
      </c>
      <c r="G67" s="129" t="s">
        <v>350</v>
      </c>
      <c r="H67" s="64" t="s">
        <v>351</v>
      </c>
      <c r="I67" s="126" t="s">
        <v>352</v>
      </c>
      <c r="J67" s="64" t="s">
        <v>34</v>
      </c>
      <c r="K67" s="126" t="s">
        <v>353</v>
      </c>
      <c r="L67" s="126" t="s">
        <v>54</v>
      </c>
      <c r="M67" s="126" t="s">
        <v>77</v>
      </c>
      <c r="N67" s="126" t="s">
        <v>354</v>
      </c>
      <c r="O67" s="130">
        <v>46032</v>
      </c>
      <c r="P67" s="170">
        <v>322916</v>
      </c>
      <c r="Q67" s="64" t="s">
        <v>124</v>
      </c>
      <c r="R67" s="126"/>
    </row>
    <row r="68" spans="1:18" ht="30" customHeight="1">
      <c r="A68" s="122">
        <f t="shared" si="1"/>
        <v>67</v>
      </c>
      <c r="B68" s="138">
        <v>46032</v>
      </c>
      <c r="C68" s="126" t="s">
        <v>355</v>
      </c>
      <c r="D68" s="126" t="s">
        <v>64</v>
      </c>
      <c r="E68" s="126" t="s">
        <v>65</v>
      </c>
      <c r="F68" s="126" t="s">
        <v>80</v>
      </c>
      <c r="G68" s="129" t="s">
        <v>356</v>
      </c>
      <c r="H68" s="64">
        <v>9494261947</v>
      </c>
      <c r="I68" s="126" t="s">
        <v>67</v>
      </c>
      <c r="J68" s="64" t="s">
        <v>74</v>
      </c>
      <c r="K68" s="126" t="s">
        <v>357</v>
      </c>
      <c r="L68" s="126" t="s">
        <v>54</v>
      </c>
      <c r="M68" s="126" t="s">
        <v>55</v>
      </c>
      <c r="N68" s="126" t="s">
        <v>358</v>
      </c>
      <c r="O68" s="130">
        <v>46032</v>
      </c>
      <c r="P68" s="137">
        <v>1235000</v>
      </c>
      <c r="Q68" s="126" t="s">
        <v>293</v>
      </c>
      <c r="R68" s="126"/>
    </row>
    <row r="69" spans="1:18" ht="30" customHeight="1">
      <c r="A69" s="122">
        <f t="shared" si="1"/>
        <v>68</v>
      </c>
      <c r="B69" s="138">
        <v>46032</v>
      </c>
      <c r="C69" s="126" t="s">
        <v>359</v>
      </c>
      <c r="D69" s="126" t="s">
        <v>46</v>
      </c>
      <c r="E69" s="126" t="s">
        <v>41</v>
      </c>
      <c r="F69" s="126" t="s">
        <v>80</v>
      </c>
      <c r="G69" s="129" t="s">
        <v>360</v>
      </c>
      <c r="H69" s="64">
        <v>8600120115</v>
      </c>
      <c r="I69" s="126" t="s">
        <v>361</v>
      </c>
      <c r="J69" s="64" t="s">
        <v>74</v>
      </c>
      <c r="K69" s="126" t="s">
        <v>362</v>
      </c>
      <c r="L69" s="126" t="s">
        <v>54</v>
      </c>
      <c r="M69" s="126" t="s">
        <v>37</v>
      </c>
      <c r="N69" s="126" t="s">
        <v>363</v>
      </c>
      <c r="O69" s="130">
        <v>46033</v>
      </c>
      <c r="P69" s="170">
        <v>375000</v>
      </c>
      <c r="Q69" s="64" t="s">
        <v>78</v>
      </c>
      <c r="R69" s="126"/>
    </row>
    <row r="70" spans="1:18" ht="45" customHeight="1">
      <c r="A70" s="122">
        <f t="shared" si="1"/>
        <v>69</v>
      </c>
      <c r="B70" s="138">
        <v>46033</v>
      </c>
      <c r="C70" s="126" t="s">
        <v>364</v>
      </c>
      <c r="D70" s="126" t="s">
        <v>331</v>
      </c>
      <c r="E70" s="126" t="s">
        <v>41</v>
      </c>
      <c r="F70" s="126" t="s">
        <v>32</v>
      </c>
      <c r="G70" s="129" t="s">
        <v>365</v>
      </c>
      <c r="H70" s="64">
        <v>9975604234</v>
      </c>
      <c r="I70" s="128" t="s">
        <v>366</v>
      </c>
      <c r="J70" s="64" t="s">
        <v>34</v>
      </c>
      <c r="K70" s="139" t="s">
        <v>367</v>
      </c>
      <c r="L70" s="126" t="s">
        <v>54</v>
      </c>
      <c r="M70" s="126" t="s">
        <v>368</v>
      </c>
      <c r="N70" s="126" t="s">
        <v>369</v>
      </c>
      <c r="O70" s="130">
        <v>46033</v>
      </c>
      <c r="P70" s="170">
        <v>1600000</v>
      </c>
      <c r="Q70" s="64" t="s">
        <v>293</v>
      </c>
      <c r="R70" s="126"/>
    </row>
    <row r="71" spans="1:18" ht="30" customHeight="1">
      <c r="A71" s="122">
        <f t="shared" si="1"/>
        <v>70</v>
      </c>
      <c r="B71" s="123">
        <v>46032</v>
      </c>
      <c r="C71" s="126" t="s">
        <v>370</v>
      </c>
      <c r="D71" s="126" t="s">
        <v>371</v>
      </c>
      <c r="E71" s="126" t="s">
        <v>41</v>
      </c>
      <c r="F71" s="126" t="s">
        <v>71</v>
      </c>
      <c r="G71" s="129" t="s">
        <v>217</v>
      </c>
      <c r="H71" s="64">
        <v>8208307641</v>
      </c>
      <c r="I71" s="128" t="s">
        <v>372</v>
      </c>
      <c r="J71" s="64" t="s">
        <v>81</v>
      </c>
      <c r="K71" s="126" t="s">
        <v>373</v>
      </c>
      <c r="L71" s="126" t="s">
        <v>101</v>
      </c>
      <c r="M71" s="126" t="s">
        <v>77</v>
      </c>
      <c r="N71" s="126"/>
      <c r="O71" s="130"/>
      <c r="P71" s="131"/>
      <c r="Q71" s="64"/>
      <c r="R71" s="126"/>
    </row>
    <row r="72" spans="1:18" ht="30" customHeight="1">
      <c r="A72" s="122">
        <f t="shared" si="1"/>
        <v>71</v>
      </c>
      <c r="B72" s="123">
        <v>46033</v>
      </c>
      <c r="C72" s="126" t="s">
        <v>374</v>
      </c>
      <c r="D72" s="126" t="s">
        <v>375</v>
      </c>
      <c r="E72" s="126" t="s">
        <v>165</v>
      </c>
      <c r="F72" s="126" t="s">
        <v>201</v>
      </c>
      <c r="G72" s="129" t="s">
        <v>376</v>
      </c>
      <c r="H72" s="64">
        <v>9068699113</v>
      </c>
      <c r="I72" s="128" t="s">
        <v>377</v>
      </c>
      <c r="J72" s="64" t="s">
        <v>248</v>
      </c>
      <c r="K72" s="126" t="s">
        <v>378</v>
      </c>
      <c r="L72" s="126" t="s">
        <v>76</v>
      </c>
      <c r="M72" s="126" t="s">
        <v>55</v>
      </c>
      <c r="N72" s="126"/>
      <c r="O72" s="130"/>
      <c r="P72" s="131"/>
      <c r="Q72" s="64"/>
      <c r="R72" s="126"/>
    </row>
    <row r="73" spans="1:18" ht="30" customHeight="1">
      <c r="A73" s="122">
        <f t="shared" si="1"/>
        <v>72</v>
      </c>
      <c r="B73" s="123">
        <v>46033</v>
      </c>
      <c r="C73" s="126" t="s">
        <v>79</v>
      </c>
      <c r="D73" s="126" t="s">
        <v>379</v>
      </c>
      <c r="E73" s="126" t="s">
        <v>84</v>
      </c>
      <c r="F73" s="126" t="s">
        <v>71</v>
      </c>
      <c r="G73" s="129" t="s">
        <v>380</v>
      </c>
      <c r="H73" s="64">
        <v>9574950253</v>
      </c>
      <c r="I73" s="128" t="s">
        <v>381</v>
      </c>
      <c r="J73" s="64" t="s">
        <v>81</v>
      </c>
      <c r="K73" s="126" t="s">
        <v>382</v>
      </c>
      <c r="L73" s="126" t="s">
        <v>76</v>
      </c>
      <c r="M73" s="126" t="s">
        <v>77</v>
      </c>
      <c r="N73" s="126"/>
      <c r="O73" s="130"/>
      <c r="P73" s="131"/>
      <c r="Q73" s="64"/>
      <c r="R73" s="126"/>
    </row>
    <row r="74" spans="1:18" ht="15" customHeight="1">
      <c r="A74" s="122">
        <f t="shared" si="1"/>
        <v>73</v>
      </c>
      <c r="B74" s="123">
        <v>46034</v>
      </c>
      <c r="C74" s="126" t="s">
        <v>383</v>
      </c>
      <c r="D74" s="126" t="s">
        <v>384</v>
      </c>
      <c r="E74" s="126" t="s">
        <v>84</v>
      </c>
      <c r="F74" s="126" t="s">
        <v>80</v>
      </c>
      <c r="G74" s="129"/>
      <c r="H74" s="64">
        <v>9227130762</v>
      </c>
      <c r="I74" s="128" t="s">
        <v>385</v>
      </c>
      <c r="J74" s="64" t="s">
        <v>81</v>
      </c>
      <c r="K74" s="126" t="s">
        <v>386</v>
      </c>
      <c r="L74" s="126" t="s">
        <v>101</v>
      </c>
      <c r="M74" s="126" t="s">
        <v>55</v>
      </c>
      <c r="N74" s="126"/>
      <c r="O74" s="130"/>
      <c r="P74" s="131"/>
      <c r="Q74" s="64"/>
      <c r="R74" s="126"/>
    </row>
    <row r="75" spans="1:18" ht="15" customHeight="1">
      <c r="A75" s="122">
        <f t="shared" si="1"/>
        <v>74</v>
      </c>
      <c r="B75" s="123">
        <v>46034</v>
      </c>
      <c r="C75" s="126" t="s">
        <v>79</v>
      </c>
      <c r="D75" s="126" t="s">
        <v>387</v>
      </c>
      <c r="E75" s="126" t="s">
        <v>131</v>
      </c>
      <c r="F75" s="126" t="s">
        <v>71</v>
      </c>
      <c r="G75" s="129" t="s">
        <v>388</v>
      </c>
      <c r="H75" s="64">
        <v>9952128894</v>
      </c>
      <c r="I75" s="128"/>
      <c r="J75" s="64" t="s">
        <v>81</v>
      </c>
      <c r="K75" s="126" t="s">
        <v>389</v>
      </c>
      <c r="L75" s="126" t="s">
        <v>101</v>
      </c>
      <c r="M75" s="126" t="s">
        <v>77</v>
      </c>
      <c r="N75" s="126"/>
      <c r="O75" s="130"/>
      <c r="P75" s="131"/>
      <c r="Q75" s="64"/>
      <c r="R75" s="126"/>
    </row>
    <row r="76" spans="1:18" ht="30" customHeight="1">
      <c r="A76" s="122">
        <f t="shared" si="1"/>
        <v>75</v>
      </c>
      <c r="B76" s="123">
        <v>46034</v>
      </c>
      <c r="C76" s="126" t="s">
        <v>390</v>
      </c>
      <c r="D76" s="126" t="s">
        <v>264</v>
      </c>
      <c r="E76" s="126" t="s">
        <v>41</v>
      </c>
      <c r="F76" s="126" t="s">
        <v>47</v>
      </c>
      <c r="G76" s="129" t="s">
        <v>391</v>
      </c>
      <c r="H76" s="64">
        <v>8484094521</v>
      </c>
      <c r="I76" s="128" t="s">
        <v>392</v>
      </c>
      <c r="J76" s="64" t="s">
        <v>81</v>
      </c>
      <c r="K76" s="126" t="s">
        <v>393</v>
      </c>
      <c r="L76" s="126" t="s">
        <v>76</v>
      </c>
      <c r="M76" s="126" t="s">
        <v>69</v>
      </c>
      <c r="N76" s="126"/>
      <c r="O76" s="130"/>
      <c r="P76" s="131"/>
      <c r="Q76" s="64"/>
      <c r="R76" s="126"/>
    </row>
    <row r="77" spans="1:18" ht="30" customHeight="1">
      <c r="A77" s="122">
        <f t="shared" si="1"/>
        <v>76</v>
      </c>
      <c r="B77" s="123">
        <v>46034</v>
      </c>
      <c r="C77" s="126" t="s">
        <v>394</v>
      </c>
      <c r="D77" s="126" t="s">
        <v>395</v>
      </c>
      <c r="E77" s="126"/>
      <c r="F77" s="126" t="s">
        <v>71</v>
      </c>
      <c r="G77" s="129" t="s">
        <v>202</v>
      </c>
      <c r="H77" s="64">
        <v>9978445856</v>
      </c>
      <c r="I77" s="128" t="s">
        <v>396</v>
      </c>
      <c r="J77" s="64" t="s">
        <v>86</v>
      </c>
      <c r="K77" s="126" t="s">
        <v>397</v>
      </c>
      <c r="L77" s="126" t="s">
        <v>76</v>
      </c>
      <c r="M77" s="126" t="s">
        <v>69</v>
      </c>
      <c r="N77" s="126"/>
      <c r="O77" s="130"/>
      <c r="P77" s="131"/>
      <c r="Q77" s="64"/>
      <c r="R77" s="126"/>
    </row>
    <row r="78" spans="1:18" ht="30" customHeight="1">
      <c r="A78" s="122">
        <f t="shared" si="1"/>
        <v>77</v>
      </c>
      <c r="B78" s="123">
        <v>46034</v>
      </c>
      <c r="C78" s="126" t="s">
        <v>398</v>
      </c>
      <c r="D78" s="126" t="s">
        <v>399</v>
      </c>
      <c r="E78" s="126" t="s">
        <v>41</v>
      </c>
      <c r="F78" s="126" t="s">
        <v>71</v>
      </c>
      <c r="G78" s="129" t="s">
        <v>212</v>
      </c>
      <c r="H78" s="64">
        <v>9860710813</v>
      </c>
      <c r="I78" s="128" t="s">
        <v>400</v>
      </c>
      <c r="J78" s="64" t="s">
        <v>81</v>
      </c>
      <c r="K78" s="126" t="s">
        <v>401</v>
      </c>
      <c r="L78" s="126" t="s">
        <v>76</v>
      </c>
      <c r="M78" s="126" t="s">
        <v>77</v>
      </c>
      <c r="N78" s="126"/>
      <c r="O78" s="130"/>
      <c r="P78" s="131"/>
      <c r="Q78" s="64"/>
      <c r="R78" s="126"/>
    </row>
    <row r="79" spans="1:18" s="3" customFormat="1" ht="30" customHeight="1">
      <c r="A79" s="122">
        <f t="shared" si="1"/>
        <v>78</v>
      </c>
      <c r="B79" s="123">
        <v>46034</v>
      </c>
      <c r="C79" s="126" t="s">
        <v>402</v>
      </c>
      <c r="D79" s="126" t="s">
        <v>403</v>
      </c>
      <c r="E79" s="126" t="s">
        <v>41</v>
      </c>
      <c r="F79" s="126" t="s">
        <v>71</v>
      </c>
      <c r="G79" s="129"/>
      <c r="H79" s="64">
        <v>9969388306</v>
      </c>
      <c r="I79" s="128" t="s">
        <v>404</v>
      </c>
      <c r="J79" s="64" t="s">
        <v>81</v>
      </c>
      <c r="K79" s="126" t="s">
        <v>405</v>
      </c>
      <c r="L79" s="126" t="s">
        <v>76</v>
      </c>
      <c r="M79" s="126" t="s">
        <v>77</v>
      </c>
      <c r="N79" s="126"/>
      <c r="O79" s="130"/>
      <c r="P79" s="131"/>
      <c r="Q79" s="64"/>
      <c r="R79" s="126"/>
    </row>
    <row r="80" spans="1:18" ht="30" customHeight="1">
      <c r="A80" s="122">
        <f t="shared" si="1"/>
        <v>79</v>
      </c>
      <c r="B80" s="123">
        <v>46035</v>
      </c>
      <c r="C80" s="126" t="s">
        <v>406</v>
      </c>
      <c r="D80" s="126" t="s">
        <v>407</v>
      </c>
      <c r="E80" s="126" t="s">
        <v>84</v>
      </c>
      <c r="F80" s="126" t="s">
        <v>32</v>
      </c>
      <c r="G80" s="129" t="s">
        <v>32</v>
      </c>
      <c r="H80" s="64">
        <v>7622826951</v>
      </c>
      <c r="I80" s="128" t="s">
        <v>408</v>
      </c>
      <c r="J80" s="64" t="s">
        <v>81</v>
      </c>
      <c r="K80" s="126" t="s">
        <v>409</v>
      </c>
      <c r="L80" s="126" t="s">
        <v>101</v>
      </c>
      <c r="M80" s="126" t="s">
        <v>55</v>
      </c>
      <c r="N80" s="126"/>
      <c r="O80" s="130"/>
      <c r="P80" s="131"/>
      <c r="Q80" s="64"/>
      <c r="R80" s="126"/>
    </row>
    <row r="81" spans="1:19" ht="30" customHeight="1">
      <c r="A81" s="122">
        <f t="shared" si="1"/>
        <v>80</v>
      </c>
      <c r="B81" s="123">
        <v>46035</v>
      </c>
      <c r="C81" s="126" t="s">
        <v>410</v>
      </c>
      <c r="D81" s="126" t="s">
        <v>337</v>
      </c>
      <c r="E81" s="126" t="s">
        <v>41</v>
      </c>
      <c r="F81" s="126" t="s">
        <v>32</v>
      </c>
      <c r="G81" s="129" t="s">
        <v>411</v>
      </c>
      <c r="H81" s="64"/>
      <c r="I81" s="128" t="s">
        <v>412</v>
      </c>
      <c r="J81" s="64" t="s">
        <v>81</v>
      </c>
      <c r="K81" s="126" t="s">
        <v>413</v>
      </c>
      <c r="L81" s="126" t="s">
        <v>101</v>
      </c>
      <c r="M81" s="126" t="s">
        <v>55</v>
      </c>
      <c r="N81" s="126"/>
      <c r="O81" s="130"/>
      <c r="P81" s="131"/>
      <c r="Q81" s="64"/>
      <c r="R81" s="126"/>
    </row>
    <row r="82" spans="1:19" ht="15" customHeight="1">
      <c r="A82" s="122">
        <f t="shared" si="1"/>
        <v>81</v>
      </c>
      <c r="B82" s="123">
        <v>46035</v>
      </c>
      <c r="C82" s="126" t="s">
        <v>79</v>
      </c>
      <c r="D82" s="126" t="s">
        <v>414</v>
      </c>
      <c r="E82" s="126" t="s">
        <v>415</v>
      </c>
      <c r="F82" s="126" t="s">
        <v>32</v>
      </c>
      <c r="G82" s="129" t="s">
        <v>107</v>
      </c>
      <c r="H82" s="64">
        <v>7218945619</v>
      </c>
      <c r="I82" s="128"/>
      <c r="J82" s="64" t="s">
        <v>86</v>
      </c>
      <c r="K82" s="126" t="s">
        <v>416</v>
      </c>
      <c r="L82" s="126" t="s">
        <v>101</v>
      </c>
      <c r="M82" s="126" t="s">
        <v>69</v>
      </c>
      <c r="N82" s="126"/>
      <c r="O82" s="130"/>
      <c r="P82" s="131"/>
      <c r="Q82" s="64"/>
      <c r="R82" s="126"/>
    </row>
    <row r="83" spans="1:19" ht="30" customHeight="1">
      <c r="A83" s="122">
        <f t="shared" si="1"/>
        <v>82</v>
      </c>
      <c r="B83" s="123">
        <v>46035</v>
      </c>
      <c r="C83" s="126" t="s">
        <v>417</v>
      </c>
      <c r="D83" s="126" t="s">
        <v>418</v>
      </c>
      <c r="E83" s="126" t="s">
        <v>206</v>
      </c>
      <c r="F83" s="126" t="s">
        <v>201</v>
      </c>
      <c r="G83" s="129" t="s">
        <v>202</v>
      </c>
      <c r="H83" s="64">
        <v>7053827370</v>
      </c>
      <c r="I83" s="128" t="s">
        <v>419</v>
      </c>
      <c r="J83" s="64" t="s">
        <v>86</v>
      </c>
      <c r="K83" s="126" t="s">
        <v>420</v>
      </c>
      <c r="L83" s="126" t="s">
        <v>76</v>
      </c>
      <c r="M83" s="126" t="s">
        <v>55</v>
      </c>
      <c r="N83" s="126"/>
      <c r="O83" s="130"/>
      <c r="P83" s="131"/>
      <c r="Q83" s="64"/>
      <c r="R83" s="126"/>
    </row>
    <row r="84" spans="1:19" ht="15" customHeight="1">
      <c r="A84" s="122">
        <f t="shared" si="1"/>
        <v>83</v>
      </c>
      <c r="B84" s="123">
        <v>46035</v>
      </c>
      <c r="C84" s="126" t="s">
        <v>421</v>
      </c>
      <c r="D84" s="126" t="s">
        <v>422</v>
      </c>
      <c r="E84" s="126" t="s">
        <v>41</v>
      </c>
      <c r="F84" s="126" t="s">
        <v>90</v>
      </c>
      <c r="G84" s="129" t="s">
        <v>423</v>
      </c>
      <c r="H84" s="64">
        <v>8381068403</v>
      </c>
      <c r="I84" s="128"/>
      <c r="J84" s="64" t="s">
        <v>81</v>
      </c>
      <c r="K84" s="126" t="s">
        <v>424</v>
      </c>
      <c r="L84" s="126" t="s">
        <v>76</v>
      </c>
      <c r="M84" s="126" t="s">
        <v>69</v>
      </c>
      <c r="N84" s="126"/>
      <c r="O84" s="130"/>
      <c r="P84" s="131"/>
      <c r="Q84" s="64"/>
      <c r="R84" s="126"/>
    </row>
    <row r="85" spans="1:19" ht="45" customHeight="1">
      <c r="A85" s="122">
        <f t="shared" si="1"/>
        <v>84</v>
      </c>
      <c r="B85" s="138">
        <v>46035</v>
      </c>
      <c r="C85" s="126" t="s">
        <v>425</v>
      </c>
      <c r="D85" s="126" t="s">
        <v>331</v>
      </c>
      <c r="E85" s="126" t="s">
        <v>41</v>
      </c>
      <c r="F85" s="126" t="s">
        <v>201</v>
      </c>
      <c r="G85" s="129" t="s">
        <v>426</v>
      </c>
      <c r="H85" s="64">
        <v>7420910285</v>
      </c>
      <c r="I85" s="128" t="s">
        <v>427</v>
      </c>
      <c r="J85" s="64" t="s">
        <v>74</v>
      </c>
      <c r="K85" s="126" t="s">
        <v>428</v>
      </c>
      <c r="L85" s="126" t="s">
        <v>36</v>
      </c>
      <c r="M85" s="126" t="s">
        <v>55</v>
      </c>
      <c r="N85" s="126" t="s">
        <v>429</v>
      </c>
      <c r="O85" s="130">
        <v>46035</v>
      </c>
      <c r="P85" s="131">
        <v>1350000</v>
      </c>
      <c r="Q85" s="64" t="s">
        <v>78</v>
      </c>
      <c r="R85" s="126"/>
      <c r="S85" t="s">
        <v>430</v>
      </c>
    </row>
    <row r="86" spans="1:19" ht="45" customHeight="1">
      <c r="A86" s="122">
        <f t="shared" si="1"/>
        <v>85</v>
      </c>
      <c r="B86" s="138">
        <v>46035</v>
      </c>
      <c r="C86" s="126" t="s">
        <v>431</v>
      </c>
      <c r="D86" s="126" t="s">
        <v>432</v>
      </c>
      <c r="E86" s="126" t="s">
        <v>41</v>
      </c>
      <c r="F86" s="126" t="s">
        <v>80</v>
      </c>
      <c r="G86" s="129" t="s">
        <v>433</v>
      </c>
      <c r="H86" s="64">
        <v>9096519569</v>
      </c>
      <c r="I86" s="128" t="s">
        <v>434</v>
      </c>
      <c r="J86" s="64" t="s">
        <v>34</v>
      </c>
      <c r="K86" s="126" t="s">
        <v>435</v>
      </c>
      <c r="L86" s="126" t="s">
        <v>54</v>
      </c>
      <c r="M86" s="126" t="s">
        <v>37</v>
      </c>
      <c r="N86" s="126" t="s">
        <v>436</v>
      </c>
      <c r="O86" s="130">
        <v>46035</v>
      </c>
      <c r="P86" s="170">
        <v>1480000</v>
      </c>
      <c r="Q86" s="64" t="s">
        <v>38</v>
      </c>
      <c r="R86" s="126"/>
    </row>
    <row r="87" spans="1:19" ht="15" customHeight="1">
      <c r="A87" s="122">
        <f t="shared" si="1"/>
        <v>86</v>
      </c>
      <c r="B87" s="138">
        <v>46035</v>
      </c>
      <c r="C87" s="126" t="s">
        <v>437</v>
      </c>
      <c r="D87" s="126" t="s">
        <v>46</v>
      </c>
      <c r="E87" s="126" t="s">
        <v>41</v>
      </c>
      <c r="F87" s="126" t="s">
        <v>80</v>
      </c>
      <c r="G87" s="129" t="s">
        <v>433</v>
      </c>
      <c r="H87" s="64">
        <v>9960692754</v>
      </c>
      <c r="I87" s="128" t="s">
        <v>438</v>
      </c>
      <c r="J87" s="64" t="s">
        <v>34</v>
      </c>
      <c r="K87" s="140" t="s">
        <v>439</v>
      </c>
      <c r="L87" s="126" t="s">
        <v>54</v>
      </c>
      <c r="M87" s="126" t="s">
        <v>37</v>
      </c>
      <c r="N87" s="126" t="s">
        <v>440</v>
      </c>
      <c r="O87" s="130">
        <v>46035</v>
      </c>
      <c r="P87" s="170">
        <v>1480000</v>
      </c>
      <c r="Q87" s="64" t="s">
        <v>51</v>
      </c>
      <c r="R87" s="126"/>
      <c r="S87" t="s">
        <v>441</v>
      </c>
    </row>
    <row r="88" spans="1:19" ht="30" customHeight="1">
      <c r="A88" s="122">
        <f t="shared" si="1"/>
        <v>87</v>
      </c>
      <c r="B88" s="138">
        <v>46035</v>
      </c>
      <c r="C88" s="126" t="s">
        <v>442</v>
      </c>
      <c r="D88" s="126" t="s">
        <v>443</v>
      </c>
      <c r="E88" s="126" t="s">
        <v>41</v>
      </c>
      <c r="F88" s="126" t="s">
        <v>71</v>
      </c>
      <c r="G88" s="129" t="s">
        <v>444</v>
      </c>
      <c r="H88" s="64">
        <v>7720050063</v>
      </c>
      <c r="I88" s="128" t="s">
        <v>445</v>
      </c>
      <c r="J88" s="64" t="s">
        <v>74</v>
      </c>
      <c r="K88" s="126" t="s">
        <v>446</v>
      </c>
      <c r="L88" s="126" t="s">
        <v>122</v>
      </c>
      <c r="M88" s="126" t="s">
        <v>37</v>
      </c>
      <c r="N88" s="126" t="s">
        <v>447</v>
      </c>
      <c r="O88" s="130">
        <v>46035</v>
      </c>
      <c r="P88" s="170">
        <v>83500</v>
      </c>
      <c r="Q88" s="64" t="s">
        <v>78</v>
      </c>
      <c r="R88" s="126"/>
    </row>
    <row r="89" spans="1:19" ht="30" customHeight="1">
      <c r="A89" s="122">
        <f t="shared" si="1"/>
        <v>88</v>
      </c>
      <c r="B89" s="123">
        <v>46035</v>
      </c>
      <c r="C89" s="126" t="s">
        <v>448</v>
      </c>
      <c r="D89" s="126" t="s">
        <v>449</v>
      </c>
      <c r="E89" s="126" t="s">
        <v>41</v>
      </c>
      <c r="F89" s="126" t="s">
        <v>42</v>
      </c>
      <c r="G89" s="129" t="s">
        <v>450</v>
      </c>
      <c r="H89" s="64">
        <v>9881929797</v>
      </c>
      <c r="I89" s="128" t="s">
        <v>451</v>
      </c>
      <c r="J89" s="64" t="s">
        <v>81</v>
      </c>
      <c r="K89" s="126" t="s">
        <v>452</v>
      </c>
      <c r="L89" s="126" t="s">
        <v>76</v>
      </c>
      <c r="M89" s="126" t="s">
        <v>69</v>
      </c>
      <c r="N89" s="126"/>
      <c r="O89" s="130"/>
      <c r="P89" s="131"/>
      <c r="Q89" s="64" t="s">
        <v>453</v>
      </c>
      <c r="R89" s="126"/>
    </row>
    <row r="90" spans="1:19" ht="15" customHeight="1">
      <c r="A90" s="122">
        <f t="shared" si="1"/>
        <v>89</v>
      </c>
      <c r="B90" s="138">
        <v>46036</v>
      </c>
      <c r="C90" s="126" t="s">
        <v>29</v>
      </c>
      <c r="D90" s="126" t="s">
        <v>454</v>
      </c>
      <c r="E90" s="125" t="s">
        <v>31</v>
      </c>
      <c r="F90" s="126" t="s">
        <v>42</v>
      </c>
      <c r="G90" s="129" t="s">
        <v>455</v>
      </c>
      <c r="H90" s="64"/>
      <c r="I90" s="128" t="s">
        <v>456</v>
      </c>
      <c r="J90" s="64" t="s">
        <v>74</v>
      </c>
      <c r="K90" s="126" t="s">
        <v>457</v>
      </c>
      <c r="L90" s="126" t="s">
        <v>54</v>
      </c>
      <c r="M90" s="126" t="s">
        <v>37</v>
      </c>
      <c r="N90" s="126" t="s">
        <v>458</v>
      </c>
      <c r="O90" s="130">
        <v>46036</v>
      </c>
      <c r="P90" s="170">
        <f>500*91.69</f>
        <v>45845</v>
      </c>
      <c r="Q90" s="64" t="s">
        <v>78</v>
      </c>
      <c r="R90" s="126"/>
    </row>
    <row r="91" spans="1:19" ht="30" customHeight="1">
      <c r="A91" s="122">
        <f t="shared" si="1"/>
        <v>90</v>
      </c>
      <c r="B91" s="138">
        <v>46036</v>
      </c>
      <c r="C91" s="128" t="s">
        <v>459</v>
      </c>
      <c r="D91" s="126" t="s">
        <v>460</v>
      </c>
      <c r="E91" s="126" t="s">
        <v>41</v>
      </c>
      <c r="F91" s="126" t="s">
        <v>47</v>
      </c>
      <c r="G91" s="129" t="s">
        <v>461</v>
      </c>
      <c r="H91" s="64"/>
      <c r="I91" s="128" t="s">
        <v>462</v>
      </c>
      <c r="J91" s="64" t="s">
        <v>74</v>
      </c>
      <c r="K91" s="126" t="s">
        <v>463</v>
      </c>
      <c r="L91" s="126" t="s">
        <v>36</v>
      </c>
      <c r="M91" s="126" t="s">
        <v>55</v>
      </c>
      <c r="N91" s="126" t="s">
        <v>464</v>
      </c>
      <c r="O91" s="130">
        <v>46036</v>
      </c>
      <c r="P91" s="131">
        <v>120000</v>
      </c>
      <c r="Q91" s="64" t="s">
        <v>78</v>
      </c>
      <c r="R91" s="126"/>
    </row>
    <row r="92" spans="1:19" ht="15" customHeight="1">
      <c r="A92" s="122">
        <f t="shared" si="1"/>
        <v>91</v>
      </c>
      <c r="B92" s="138">
        <v>46036</v>
      </c>
      <c r="C92" s="126" t="s">
        <v>29</v>
      </c>
      <c r="D92" s="126" t="s">
        <v>454</v>
      </c>
      <c r="E92" s="125" t="s">
        <v>31</v>
      </c>
      <c r="F92" s="126" t="s">
        <v>42</v>
      </c>
      <c r="G92" s="129" t="s">
        <v>465</v>
      </c>
      <c r="H92" s="64"/>
      <c r="I92" s="128" t="s">
        <v>456</v>
      </c>
      <c r="J92" s="64" t="s">
        <v>34</v>
      </c>
      <c r="K92" s="126" t="s">
        <v>466</v>
      </c>
      <c r="L92" s="126" t="s">
        <v>54</v>
      </c>
      <c r="M92" s="126" t="s">
        <v>37</v>
      </c>
      <c r="N92" s="126" t="s">
        <v>467</v>
      </c>
      <c r="O92" s="130">
        <v>46036</v>
      </c>
      <c r="P92" s="170">
        <v>12820</v>
      </c>
      <c r="Q92" s="64" t="s">
        <v>51</v>
      </c>
      <c r="R92" s="126"/>
    </row>
    <row r="93" spans="1:19" ht="30" customHeight="1">
      <c r="A93" s="122">
        <f t="shared" si="1"/>
        <v>92</v>
      </c>
      <c r="B93" s="123">
        <v>46037</v>
      </c>
      <c r="C93" s="126" t="s">
        <v>79</v>
      </c>
      <c r="D93" s="126" t="s">
        <v>468</v>
      </c>
      <c r="E93" s="126" t="s">
        <v>65</v>
      </c>
      <c r="F93" s="126" t="s">
        <v>32</v>
      </c>
      <c r="G93" s="129" t="s">
        <v>107</v>
      </c>
      <c r="H93" s="64">
        <v>7874018055</v>
      </c>
      <c r="I93" s="128" t="s">
        <v>469</v>
      </c>
      <c r="J93" s="64" t="s">
        <v>81</v>
      </c>
      <c r="K93" s="126" t="s">
        <v>470</v>
      </c>
      <c r="L93" s="126" t="s">
        <v>101</v>
      </c>
      <c r="M93" s="126" t="s">
        <v>55</v>
      </c>
      <c r="N93" s="126"/>
      <c r="O93" s="130"/>
      <c r="P93" s="131"/>
      <c r="Q93" s="64"/>
      <c r="R93" s="126"/>
    </row>
    <row r="94" spans="1:19" ht="34.5" customHeight="1">
      <c r="A94" s="122">
        <f t="shared" si="1"/>
        <v>93</v>
      </c>
      <c r="B94" s="123">
        <v>46038</v>
      </c>
      <c r="C94" s="126" t="s">
        <v>471</v>
      </c>
      <c r="D94" s="141" t="s">
        <v>326</v>
      </c>
      <c r="E94" s="126" t="s">
        <v>41</v>
      </c>
      <c r="F94" s="126" t="s">
        <v>32</v>
      </c>
      <c r="G94" s="129" t="s">
        <v>472</v>
      </c>
      <c r="H94" s="64">
        <v>9372443264</v>
      </c>
      <c r="I94" s="128" t="s">
        <v>473</v>
      </c>
      <c r="J94" s="64" t="s">
        <v>81</v>
      </c>
      <c r="K94" s="126" t="s">
        <v>474</v>
      </c>
      <c r="L94" s="126" t="s">
        <v>101</v>
      </c>
      <c r="M94" s="126" t="s">
        <v>69</v>
      </c>
      <c r="N94" s="126"/>
      <c r="O94" s="130"/>
      <c r="P94" s="131"/>
      <c r="Q94" s="64"/>
      <c r="R94" s="126"/>
    </row>
    <row r="95" spans="1:19" ht="34.5" customHeight="1">
      <c r="A95" s="122">
        <f t="shared" si="1"/>
        <v>94</v>
      </c>
      <c r="B95" s="123">
        <v>46038</v>
      </c>
      <c r="C95" s="126" t="s">
        <v>475</v>
      </c>
      <c r="D95" s="141" t="s">
        <v>476</v>
      </c>
      <c r="E95" s="126" t="s">
        <v>131</v>
      </c>
      <c r="F95" s="126" t="s">
        <v>32</v>
      </c>
      <c r="G95" s="129" t="s">
        <v>477</v>
      </c>
      <c r="H95" s="64">
        <v>9842358909</v>
      </c>
      <c r="I95" s="128" t="s">
        <v>478</v>
      </c>
      <c r="J95" s="64" t="s">
        <v>272</v>
      </c>
      <c r="K95" s="126" t="s">
        <v>479</v>
      </c>
      <c r="L95" s="126" t="s">
        <v>101</v>
      </c>
      <c r="M95" s="126" t="s">
        <v>69</v>
      </c>
      <c r="N95" s="126"/>
      <c r="O95" s="130"/>
      <c r="P95" s="131"/>
      <c r="Q95" s="64"/>
      <c r="R95" s="126"/>
    </row>
    <row r="96" spans="1:19" ht="19.5" customHeight="1">
      <c r="A96" s="122">
        <f t="shared" si="1"/>
        <v>95</v>
      </c>
      <c r="B96" s="123">
        <v>46038</v>
      </c>
      <c r="C96" s="126" t="s">
        <v>79</v>
      </c>
      <c r="D96" s="141" t="s">
        <v>480</v>
      </c>
      <c r="E96" s="126" t="s">
        <v>65</v>
      </c>
      <c r="F96" s="126" t="s">
        <v>32</v>
      </c>
      <c r="G96" s="129" t="s">
        <v>481</v>
      </c>
      <c r="H96" s="64">
        <v>9945680754</v>
      </c>
      <c r="I96" s="128"/>
      <c r="J96" s="64" t="s">
        <v>81</v>
      </c>
      <c r="K96" s="126" t="s">
        <v>482</v>
      </c>
      <c r="L96" s="126" t="s">
        <v>101</v>
      </c>
      <c r="M96" s="126" t="s">
        <v>69</v>
      </c>
      <c r="N96" s="126"/>
      <c r="O96" s="130"/>
      <c r="P96" s="131"/>
      <c r="Q96" s="64"/>
      <c r="R96" s="126"/>
      <c r="S96" t="s">
        <v>81</v>
      </c>
    </row>
    <row r="97" spans="1:19" ht="30" customHeight="1">
      <c r="A97" s="122">
        <f t="shared" si="1"/>
        <v>96</v>
      </c>
      <c r="B97" s="123">
        <v>46038</v>
      </c>
      <c r="C97" s="126" t="s">
        <v>483</v>
      </c>
      <c r="D97" s="126" t="s">
        <v>484</v>
      </c>
      <c r="E97" s="126" t="s">
        <v>41</v>
      </c>
      <c r="F97" s="126" t="s">
        <v>201</v>
      </c>
      <c r="G97" s="129" t="s">
        <v>485</v>
      </c>
      <c r="H97" s="64">
        <v>7028935010</v>
      </c>
      <c r="I97" s="128" t="s">
        <v>486</v>
      </c>
      <c r="J97" s="64" t="s">
        <v>81</v>
      </c>
      <c r="K97" s="126" t="s">
        <v>487</v>
      </c>
      <c r="L97" s="126" t="s">
        <v>101</v>
      </c>
      <c r="M97" s="126" t="s">
        <v>55</v>
      </c>
      <c r="N97" s="126"/>
      <c r="O97" s="130"/>
      <c r="P97" s="131"/>
      <c r="Q97" s="64"/>
      <c r="R97" s="126"/>
      <c r="S97" t="s">
        <v>488</v>
      </c>
    </row>
    <row r="98" spans="1:19" ht="19.5" customHeight="1">
      <c r="A98" s="122">
        <f t="shared" si="1"/>
        <v>97</v>
      </c>
      <c r="B98" s="123">
        <v>46038</v>
      </c>
      <c r="C98" s="126" t="s">
        <v>489</v>
      </c>
      <c r="D98" s="126" t="s">
        <v>490</v>
      </c>
      <c r="E98" s="126" t="s">
        <v>41</v>
      </c>
      <c r="F98" s="126" t="s">
        <v>71</v>
      </c>
      <c r="G98" s="129" t="s">
        <v>491</v>
      </c>
      <c r="H98" s="142">
        <v>7248929231</v>
      </c>
      <c r="I98" s="128"/>
      <c r="J98" s="64" t="s">
        <v>81</v>
      </c>
      <c r="K98" s="126" t="s">
        <v>492</v>
      </c>
      <c r="L98" s="126" t="s">
        <v>101</v>
      </c>
      <c r="M98" s="126" t="s">
        <v>77</v>
      </c>
      <c r="N98" s="126"/>
      <c r="O98" s="130"/>
      <c r="P98" s="131"/>
      <c r="Q98" s="64"/>
      <c r="R98" s="126"/>
    </row>
    <row r="99" spans="1:19" ht="30" customHeight="1">
      <c r="A99" s="122">
        <f t="shared" si="1"/>
        <v>98</v>
      </c>
      <c r="B99" s="123">
        <v>46038</v>
      </c>
      <c r="C99" s="126" t="s">
        <v>493</v>
      </c>
      <c r="D99" s="126" t="s">
        <v>494</v>
      </c>
      <c r="E99" s="126" t="s">
        <v>131</v>
      </c>
      <c r="F99" s="126" t="s">
        <v>80</v>
      </c>
      <c r="G99" s="129" t="s">
        <v>495</v>
      </c>
      <c r="H99" s="64">
        <v>9025750759</v>
      </c>
      <c r="I99" s="128" t="s">
        <v>496</v>
      </c>
      <c r="J99" s="64" t="s">
        <v>248</v>
      </c>
      <c r="K99" s="126" t="s">
        <v>497</v>
      </c>
      <c r="L99" s="126" t="s">
        <v>76</v>
      </c>
      <c r="M99" s="126" t="s">
        <v>69</v>
      </c>
      <c r="N99" s="126"/>
      <c r="O99" s="130"/>
      <c r="P99" s="131"/>
      <c r="Q99" s="64"/>
      <c r="R99" s="126"/>
    </row>
    <row r="100" spans="1:19" ht="30" customHeight="1">
      <c r="A100" s="122">
        <f t="shared" si="1"/>
        <v>99</v>
      </c>
      <c r="B100" s="123">
        <v>46038</v>
      </c>
      <c r="C100" s="126" t="s">
        <v>498</v>
      </c>
      <c r="D100" s="126" t="s">
        <v>499</v>
      </c>
      <c r="E100" s="126" t="s">
        <v>131</v>
      </c>
      <c r="F100" s="126" t="s">
        <v>90</v>
      </c>
      <c r="G100" s="129" t="s">
        <v>500</v>
      </c>
      <c r="H100" s="64">
        <v>9791681398</v>
      </c>
      <c r="I100" s="128" t="s">
        <v>501</v>
      </c>
      <c r="J100" s="64" t="s">
        <v>81</v>
      </c>
      <c r="K100" s="126" t="s">
        <v>502</v>
      </c>
      <c r="L100" s="126" t="s">
        <v>76</v>
      </c>
      <c r="M100" s="126" t="s">
        <v>69</v>
      </c>
      <c r="N100" s="126"/>
      <c r="O100" s="130"/>
      <c r="P100" s="131"/>
      <c r="Q100" s="64"/>
      <c r="R100" s="126"/>
    </row>
    <row r="101" spans="1:19" ht="30" customHeight="1">
      <c r="A101" s="122">
        <f t="shared" si="1"/>
        <v>100</v>
      </c>
      <c r="B101" s="123">
        <v>46038</v>
      </c>
      <c r="C101" s="126" t="s">
        <v>503</v>
      </c>
      <c r="D101" s="126" t="s">
        <v>504</v>
      </c>
      <c r="E101" s="126" t="s">
        <v>65</v>
      </c>
      <c r="F101" s="126" t="s">
        <v>42</v>
      </c>
      <c r="G101" s="129" t="s">
        <v>505</v>
      </c>
      <c r="H101" s="64">
        <v>9845228486</v>
      </c>
      <c r="I101" s="128" t="s">
        <v>506</v>
      </c>
      <c r="J101" s="64" t="s">
        <v>81</v>
      </c>
      <c r="K101" s="126" t="s">
        <v>507</v>
      </c>
      <c r="L101" s="126" t="s">
        <v>76</v>
      </c>
      <c r="M101" s="126" t="s">
        <v>69</v>
      </c>
      <c r="N101" s="126"/>
      <c r="O101" s="130"/>
      <c r="P101" s="131"/>
      <c r="Q101" s="64"/>
      <c r="R101" s="126"/>
    </row>
    <row r="102" spans="1:19" ht="30" customHeight="1">
      <c r="A102" s="122">
        <f t="shared" si="1"/>
        <v>101</v>
      </c>
      <c r="B102" s="123">
        <v>46038</v>
      </c>
      <c r="C102" s="126" t="s">
        <v>79</v>
      </c>
      <c r="D102" s="126" t="s">
        <v>508</v>
      </c>
      <c r="E102" s="126" t="s">
        <v>58</v>
      </c>
      <c r="F102" s="126" t="s">
        <v>32</v>
      </c>
      <c r="G102" s="129" t="s">
        <v>509</v>
      </c>
      <c r="H102" s="64">
        <v>8849628752</v>
      </c>
      <c r="I102" s="128" t="s">
        <v>510</v>
      </c>
      <c r="J102" s="64" t="s">
        <v>511</v>
      </c>
      <c r="K102" s="126" t="s">
        <v>512</v>
      </c>
      <c r="L102" s="126" t="s">
        <v>76</v>
      </c>
      <c r="M102" s="126" t="s">
        <v>55</v>
      </c>
      <c r="N102" s="126"/>
      <c r="O102" s="130"/>
      <c r="P102" s="131"/>
      <c r="Q102" s="64"/>
      <c r="R102" s="126"/>
    </row>
    <row r="103" spans="1:19" ht="30" customHeight="1">
      <c r="A103" s="122">
        <f t="shared" si="1"/>
        <v>102</v>
      </c>
      <c r="B103" s="123">
        <v>46038</v>
      </c>
      <c r="C103" s="126" t="s">
        <v>513</v>
      </c>
      <c r="D103" s="126"/>
      <c r="E103" s="126"/>
      <c r="F103" s="126" t="s">
        <v>201</v>
      </c>
      <c r="G103" s="129" t="s">
        <v>514</v>
      </c>
      <c r="H103" s="64">
        <v>9850056454</v>
      </c>
      <c r="I103" s="128" t="s">
        <v>515</v>
      </c>
      <c r="J103" s="64" t="s">
        <v>81</v>
      </c>
      <c r="K103" s="126" t="s">
        <v>516</v>
      </c>
      <c r="L103" s="126" t="s">
        <v>76</v>
      </c>
      <c r="M103" s="126" t="s">
        <v>55</v>
      </c>
      <c r="N103" s="126"/>
      <c r="O103" s="130"/>
      <c r="P103" s="131"/>
      <c r="Q103" s="64"/>
      <c r="R103" s="126"/>
    </row>
    <row r="104" spans="1:19" ht="15" customHeight="1">
      <c r="A104" s="122">
        <f t="shared" si="1"/>
        <v>103</v>
      </c>
      <c r="B104" s="123">
        <v>46038</v>
      </c>
      <c r="C104" s="126" t="s">
        <v>517</v>
      </c>
      <c r="D104" s="126" t="s">
        <v>517</v>
      </c>
      <c r="E104" s="126" t="s">
        <v>171</v>
      </c>
      <c r="F104" s="126" t="s">
        <v>90</v>
      </c>
      <c r="G104" s="129" t="s">
        <v>423</v>
      </c>
      <c r="H104" s="64"/>
      <c r="I104" s="128"/>
      <c r="J104" s="64" t="s">
        <v>248</v>
      </c>
      <c r="K104" s="126" t="s">
        <v>518</v>
      </c>
      <c r="L104" s="126" t="s">
        <v>76</v>
      </c>
      <c r="M104" s="126" t="s">
        <v>69</v>
      </c>
      <c r="N104" s="126"/>
      <c r="O104" s="130"/>
      <c r="P104" s="131"/>
      <c r="Q104" s="64"/>
      <c r="R104" s="126"/>
    </row>
    <row r="105" spans="1:19" ht="45" customHeight="1">
      <c r="A105" s="122">
        <f t="shared" si="1"/>
        <v>104</v>
      </c>
      <c r="B105" s="138">
        <v>46038</v>
      </c>
      <c r="C105" s="126" t="s">
        <v>519</v>
      </c>
      <c r="D105" s="126" t="s">
        <v>64</v>
      </c>
      <c r="E105" s="126" t="s">
        <v>41</v>
      </c>
      <c r="F105" s="126" t="s">
        <v>32</v>
      </c>
      <c r="G105" s="129" t="s">
        <v>520</v>
      </c>
      <c r="H105" s="64"/>
      <c r="I105" s="128" t="s">
        <v>521</v>
      </c>
      <c r="J105" s="64" t="s">
        <v>74</v>
      </c>
      <c r="K105" s="126" t="s">
        <v>522</v>
      </c>
      <c r="L105" s="126" t="s">
        <v>36</v>
      </c>
      <c r="M105" s="126" t="s">
        <v>69</v>
      </c>
      <c r="N105" s="126" t="s">
        <v>523</v>
      </c>
      <c r="O105" s="130">
        <v>46038</v>
      </c>
      <c r="P105" s="131">
        <v>3843735</v>
      </c>
      <c r="Q105" s="64" t="s">
        <v>78</v>
      </c>
      <c r="R105" s="126"/>
    </row>
    <row r="106" spans="1:19" ht="60" customHeight="1">
      <c r="A106" s="122">
        <f t="shared" si="1"/>
        <v>105</v>
      </c>
      <c r="B106" s="138">
        <v>46038</v>
      </c>
      <c r="C106" s="126" t="s">
        <v>524</v>
      </c>
      <c r="D106" s="126" t="s">
        <v>46</v>
      </c>
      <c r="E106" s="126" t="s">
        <v>41</v>
      </c>
      <c r="F106" s="126" t="s">
        <v>71</v>
      </c>
      <c r="G106" s="129" t="s">
        <v>525</v>
      </c>
      <c r="H106" s="64"/>
      <c r="I106" s="128" t="s">
        <v>526</v>
      </c>
      <c r="J106" s="64" t="s">
        <v>74</v>
      </c>
      <c r="K106" s="126" t="s">
        <v>527</v>
      </c>
      <c r="L106" s="126" t="s">
        <v>54</v>
      </c>
      <c r="M106" s="126" t="s">
        <v>55</v>
      </c>
      <c r="N106" s="126" t="s">
        <v>528</v>
      </c>
      <c r="O106" s="130">
        <v>46038</v>
      </c>
      <c r="P106" s="131">
        <v>233335</v>
      </c>
      <c r="Q106" s="64" t="s">
        <v>293</v>
      </c>
      <c r="R106" s="126"/>
    </row>
    <row r="107" spans="1:19" ht="15" customHeight="1">
      <c r="A107" s="122">
        <f t="shared" si="1"/>
        <v>106</v>
      </c>
      <c r="B107" s="138">
        <v>46039</v>
      </c>
      <c r="C107" s="126" t="s">
        <v>529</v>
      </c>
      <c r="D107" s="126" t="s">
        <v>530</v>
      </c>
      <c r="E107" s="125" t="s">
        <v>31</v>
      </c>
      <c r="F107" s="126" t="s">
        <v>80</v>
      </c>
      <c r="G107" s="129" t="s">
        <v>531</v>
      </c>
      <c r="H107" s="64"/>
      <c r="I107" s="128" t="s">
        <v>532</v>
      </c>
      <c r="J107" s="64" t="s">
        <v>34</v>
      </c>
      <c r="K107" s="126" t="s">
        <v>533</v>
      </c>
      <c r="L107" s="126" t="s">
        <v>54</v>
      </c>
      <c r="M107" s="126" t="s">
        <v>37</v>
      </c>
      <c r="N107" s="126"/>
      <c r="O107" s="130">
        <v>46039</v>
      </c>
      <c r="P107" s="170">
        <v>1750000</v>
      </c>
      <c r="Q107" s="64" t="s">
        <v>38</v>
      </c>
      <c r="R107" s="126"/>
    </row>
    <row r="108" spans="1:19" ht="30" customHeight="1">
      <c r="A108" s="122">
        <f t="shared" si="1"/>
        <v>107</v>
      </c>
      <c r="B108" s="138">
        <v>46039</v>
      </c>
      <c r="C108" s="126" t="s">
        <v>534</v>
      </c>
      <c r="D108" s="126" t="s">
        <v>40</v>
      </c>
      <c r="E108" s="125" t="s">
        <v>41</v>
      </c>
      <c r="F108" s="126" t="s">
        <v>80</v>
      </c>
      <c r="G108" s="129" t="s">
        <v>535</v>
      </c>
      <c r="H108" s="64">
        <v>9765508455</v>
      </c>
      <c r="I108" s="128" t="s">
        <v>536</v>
      </c>
      <c r="J108" s="64" t="s">
        <v>99</v>
      </c>
      <c r="K108" s="126" t="s">
        <v>537</v>
      </c>
      <c r="L108" s="126" t="s">
        <v>54</v>
      </c>
      <c r="M108" s="126" t="s">
        <v>37</v>
      </c>
      <c r="N108" s="126" t="s">
        <v>538</v>
      </c>
      <c r="O108" s="130">
        <v>46039</v>
      </c>
      <c r="P108" s="137">
        <v>450000</v>
      </c>
      <c r="Q108" s="143" t="s">
        <v>145</v>
      </c>
      <c r="R108" s="126"/>
    </row>
    <row r="109" spans="1:19" ht="45" customHeight="1">
      <c r="A109" s="122">
        <f t="shared" si="1"/>
        <v>108</v>
      </c>
      <c r="B109" s="138">
        <v>46039</v>
      </c>
      <c r="C109" s="126" t="s">
        <v>539</v>
      </c>
      <c r="D109" s="126" t="s">
        <v>540</v>
      </c>
      <c r="E109" s="126" t="s">
        <v>41</v>
      </c>
      <c r="F109" s="126" t="s">
        <v>71</v>
      </c>
      <c r="G109" s="129" t="s">
        <v>535</v>
      </c>
      <c r="H109" s="64">
        <v>8369907546</v>
      </c>
      <c r="I109" s="128" t="s">
        <v>541</v>
      </c>
      <c r="J109" s="64" t="s">
        <v>99</v>
      </c>
      <c r="K109" s="126" t="s">
        <v>542</v>
      </c>
      <c r="L109" s="126" t="s">
        <v>54</v>
      </c>
      <c r="M109" s="126" t="s">
        <v>37</v>
      </c>
      <c r="N109" s="126" t="s">
        <v>543</v>
      </c>
      <c r="O109" s="130">
        <v>46039</v>
      </c>
      <c r="P109" s="131">
        <v>784000</v>
      </c>
      <c r="Q109" s="64" t="s">
        <v>145</v>
      </c>
      <c r="R109" s="126"/>
    </row>
    <row r="110" spans="1:19" ht="15" customHeight="1">
      <c r="A110" s="122">
        <f t="shared" si="1"/>
        <v>109</v>
      </c>
      <c r="B110" s="138">
        <v>46039</v>
      </c>
      <c r="C110" s="126" t="s">
        <v>544</v>
      </c>
      <c r="D110" s="126" t="s">
        <v>545</v>
      </c>
      <c r="E110" s="126" t="s">
        <v>41</v>
      </c>
      <c r="F110" s="126" t="s">
        <v>47</v>
      </c>
      <c r="G110" s="129" t="s">
        <v>546</v>
      </c>
      <c r="H110" s="64">
        <v>9420092224</v>
      </c>
      <c r="I110" s="128"/>
      <c r="J110" s="64" t="s">
        <v>86</v>
      </c>
      <c r="K110" s="126" t="s">
        <v>547</v>
      </c>
      <c r="L110" s="126" t="s">
        <v>101</v>
      </c>
      <c r="M110" s="126" t="s">
        <v>69</v>
      </c>
      <c r="N110" s="126"/>
      <c r="O110" s="130"/>
      <c r="P110" s="131"/>
      <c r="Q110" s="64"/>
      <c r="R110" s="126"/>
    </row>
    <row r="111" spans="1:19" ht="15" customHeight="1">
      <c r="A111" s="122">
        <f t="shared" si="1"/>
        <v>110</v>
      </c>
      <c r="B111" s="138">
        <v>46039</v>
      </c>
      <c r="C111" s="126" t="s">
        <v>79</v>
      </c>
      <c r="D111" s="126"/>
      <c r="E111" s="126"/>
      <c r="F111" s="126" t="s">
        <v>47</v>
      </c>
      <c r="G111" s="129" t="s">
        <v>548</v>
      </c>
      <c r="H111" s="64">
        <v>8905064604</v>
      </c>
      <c r="I111" s="128"/>
      <c r="J111" s="64" t="s">
        <v>511</v>
      </c>
      <c r="K111" s="126" t="s">
        <v>549</v>
      </c>
      <c r="L111" s="126" t="s">
        <v>101</v>
      </c>
      <c r="M111" s="126" t="s">
        <v>55</v>
      </c>
      <c r="N111" s="126"/>
      <c r="O111" s="130"/>
      <c r="P111" s="131"/>
      <c r="Q111" s="64"/>
      <c r="R111" s="126"/>
    </row>
    <row r="112" spans="1:19" ht="30" customHeight="1">
      <c r="A112" s="122">
        <f t="shared" si="1"/>
        <v>111</v>
      </c>
      <c r="B112" s="138">
        <v>46040</v>
      </c>
      <c r="C112" s="126" t="s">
        <v>550</v>
      </c>
      <c r="D112" s="126" t="s">
        <v>551</v>
      </c>
      <c r="E112" s="126" t="s">
        <v>41</v>
      </c>
      <c r="F112" s="126" t="s">
        <v>32</v>
      </c>
      <c r="G112" s="129" t="s">
        <v>552</v>
      </c>
      <c r="H112" s="64">
        <v>7218579304</v>
      </c>
      <c r="I112" s="128" t="s">
        <v>553</v>
      </c>
      <c r="J112" s="64" t="s">
        <v>81</v>
      </c>
      <c r="K112" s="126" t="s">
        <v>554</v>
      </c>
      <c r="L112" s="126" t="s">
        <v>76</v>
      </c>
      <c r="M112" s="126" t="s">
        <v>69</v>
      </c>
      <c r="N112" s="126"/>
      <c r="O112" s="130"/>
      <c r="P112" s="131"/>
      <c r="Q112" s="64"/>
      <c r="R112" s="126"/>
    </row>
    <row r="113" spans="1:19" ht="15" customHeight="1">
      <c r="A113" s="122">
        <f t="shared" si="1"/>
        <v>112</v>
      </c>
      <c r="B113" s="138">
        <v>46040</v>
      </c>
      <c r="C113" s="126" t="s">
        <v>555</v>
      </c>
      <c r="D113" s="126" t="s">
        <v>556</v>
      </c>
      <c r="E113" s="126" t="s">
        <v>131</v>
      </c>
      <c r="F113" s="126" t="s">
        <v>90</v>
      </c>
      <c r="G113" s="129" t="s">
        <v>132</v>
      </c>
      <c r="H113" s="64">
        <v>6374170750</v>
      </c>
      <c r="I113" s="128" t="s">
        <v>557</v>
      </c>
      <c r="J113" s="64" t="s">
        <v>81</v>
      </c>
      <c r="K113" s="126" t="s">
        <v>558</v>
      </c>
      <c r="L113" s="126" t="s">
        <v>76</v>
      </c>
      <c r="M113" s="126" t="s">
        <v>69</v>
      </c>
      <c r="N113" s="126"/>
      <c r="O113" s="130"/>
      <c r="P113" s="131"/>
      <c r="Q113" s="64"/>
      <c r="R113" s="126"/>
    </row>
    <row r="114" spans="1:19" ht="30" customHeight="1">
      <c r="A114" s="122">
        <f t="shared" si="1"/>
        <v>113</v>
      </c>
      <c r="B114" s="138">
        <v>46040</v>
      </c>
      <c r="C114" s="126" t="s">
        <v>559</v>
      </c>
      <c r="D114" s="126" t="s">
        <v>560</v>
      </c>
      <c r="E114" s="126" t="s">
        <v>41</v>
      </c>
      <c r="F114" s="126" t="s">
        <v>201</v>
      </c>
      <c r="G114" s="129" t="s">
        <v>202</v>
      </c>
      <c r="H114" s="64">
        <v>9823560303</v>
      </c>
      <c r="I114" s="128" t="s">
        <v>561</v>
      </c>
      <c r="J114" s="64" t="s">
        <v>86</v>
      </c>
      <c r="K114" s="126" t="s">
        <v>562</v>
      </c>
      <c r="L114" s="126" t="s">
        <v>76</v>
      </c>
      <c r="M114" s="126" t="s">
        <v>55</v>
      </c>
      <c r="N114" s="126"/>
      <c r="O114" s="130"/>
      <c r="P114" s="131"/>
      <c r="Q114" s="64"/>
      <c r="R114" s="126"/>
    </row>
    <row r="115" spans="1:19" ht="30" customHeight="1">
      <c r="A115" s="122">
        <f t="shared" si="1"/>
        <v>114</v>
      </c>
      <c r="B115" s="138">
        <v>46040</v>
      </c>
      <c r="C115" s="126" t="s">
        <v>563</v>
      </c>
      <c r="D115" s="126" t="s">
        <v>176</v>
      </c>
      <c r="E115" s="126" t="s">
        <v>41</v>
      </c>
      <c r="F115" s="126" t="s">
        <v>71</v>
      </c>
      <c r="G115" s="129" t="s">
        <v>212</v>
      </c>
      <c r="H115" s="64">
        <v>9664534662</v>
      </c>
      <c r="I115" s="128" t="s">
        <v>564</v>
      </c>
      <c r="J115" s="64" t="s">
        <v>81</v>
      </c>
      <c r="K115" s="126" t="s">
        <v>565</v>
      </c>
      <c r="L115" s="126" t="s">
        <v>76</v>
      </c>
      <c r="M115" s="126" t="s">
        <v>77</v>
      </c>
      <c r="N115" s="126"/>
      <c r="O115" s="130"/>
      <c r="P115" s="131"/>
      <c r="Q115" s="64"/>
      <c r="R115" s="126"/>
    </row>
    <row r="116" spans="1:19" ht="30" customHeight="1">
      <c r="A116" s="122">
        <f t="shared" si="1"/>
        <v>115</v>
      </c>
      <c r="B116" s="138">
        <v>46040</v>
      </c>
      <c r="C116" s="126" t="s">
        <v>566</v>
      </c>
      <c r="D116" s="126" t="s">
        <v>567</v>
      </c>
      <c r="E116" s="126" t="s">
        <v>206</v>
      </c>
      <c r="F116" s="126" t="s">
        <v>32</v>
      </c>
      <c r="G116" s="129" t="s">
        <v>568</v>
      </c>
      <c r="H116" s="64">
        <v>9452034303</v>
      </c>
      <c r="I116" s="128" t="s">
        <v>569</v>
      </c>
      <c r="J116" s="64" t="s">
        <v>248</v>
      </c>
      <c r="K116" s="126" t="s">
        <v>570</v>
      </c>
      <c r="L116" s="126" t="s">
        <v>76</v>
      </c>
      <c r="M116" s="126" t="s">
        <v>55</v>
      </c>
      <c r="N116" s="126"/>
      <c r="O116" s="130"/>
      <c r="P116" s="131"/>
      <c r="Q116" s="64"/>
      <c r="R116" s="126"/>
    </row>
    <row r="117" spans="1:19" ht="30" customHeight="1">
      <c r="A117" s="122">
        <f t="shared" si="1"/>
        <v>116</v>
      </c>
      <c r="B117" s="138">
        <v>46040</v>
      </c>
      <c r="C117" s="126" t="s">
        <v>571</v>
      </c>
      <c r="D117" s="126" t="s">
        <v>240</v>
      </c>
      <c r="E117" s="126" t="s">
        <v>84</v>
      </c>
      <c r="F117" s="126" t="s">
        <v>90</v>
      </c>
      <c r="G117" s="129" t="s">
        <v>572</v>
      </c>
      <c r="H117" s="64">
        <v>9452034303</v>
      </c>
      <c r="I117" s="128" t="s">
        <v>573</v>
      </c>
      <c r="J117" s="64" t="s">
        <v>511</v>
      </c>
      <c r="K117" s="126" t="s">
        <v>574</v>
      </c>
      <c r="L117" s="126" t="s">
        <v>76</v>
      </c>
      <c r="M117" s="126" t="s">
        <v>55</v>
      </c>
      <c r="N117" s="126"/>
      <c r="O117" s="130"/>
      <c r="P117" s="131"/>
      <c r="Q117" s="64"/>
      <c r="R117" s="126"/>
    </row>
    <row r="118" spans="1:19" ht="30" customHeight="1">
      <c r="A118" s="122">
        <f t="shared" si="1"/>
        <v>117</v>
      </c>
      <c r="B118" s="138">
        <v>46040</v>
      </c>
      <c r="C118" s="126" t="s">
        <v>575</v>
      </c>
      <c r="D118" s="126" t="s">
        <v>576</v>
      </c>
      <c r="E118" s="126" t="s">
        <v>41</v>
      </c>
      <c r="F118" s="126" t="s">
        <v>71</v>
      </c>
      <c r="G118" s="129" t="s">
        <v>126</v>
      </c>
      <c r="H118" s="64">
        <v>9561919235</v>
      </c>
      <c r="I118" s="128" t="s">
        <v>577</v>
      </c>
      <c r="J118" s="64" t="s">
        <v>74</v>
      </c>
      <c r="K118" s="126" t="s">
        <v>578</v>
      </c>
      <c r="L118" s="126" t="s">
        <v>76</v>
      </c>
      <c r="M118" s="126" t="s">
        <v>77</v>
      </c>
      <c r="N118" s="126"/>
      <c r="O118" s="130"/>
      <c r="P118" s="170"/>
      <c r="Q118" s="64"/>
      <c r="R118" s="126"/>
    </row>
    <row r="119" spans="1:19" ht="45" customHeight="1">
      <c r="A119" s="122">
        <f t="shared" si="1"/>
        <v>118</v>
      </c>
      <c r="B119" s="138">
        <v>46040</v>
      </c>
      <c r="C119" s="126" t="s">
        <v>579</v>
      </c>
      <c r="D119" s="128" t="s">
        <v>580</v>
      </c>
      <c r="E119" s="126" t="s">
        <v>41</v>
      </c>
      <c r="F119" s="126" t="s">
        <v>71</v>
      </c>
      <c r="G119" s="129" t="s">
        <v>581</v>
      </c>
      <c r="H119" s="64">
        <v>8459102405</v>
      </c>
      <c r="I119" s="128" t="s">
        <v>582</v>
      </c>
      <c r="J119" s="64" t="s">
        <v>86</v>
      </c>
      <c r="K119" s="126" t="s">
        <v>583</v>
      </c>
      <c r="L119" s="126" t="s">
        <v>76</v>
      </c>
      <c r="M119" s="126" t="s">
        <v>77</v>
      </c>
      <c r="N119" s="126"/>
      <c r="O119" s="130"/>
      <c r="P119" s="131"/>
      <c r="Q119" s="64"/>
      <c r="R119" s="126"/>
    </row>
    <row r="120" spans="1:19" ht="30" customHeight="1">
      <c r="A120" s="122">
        <f t="shared" si="1"/>
        <v>119</v>
      </c>
      <c r="B120" s="138">
        <v>46040</v>
      </c>
      <c r="C120" s="126" t="s">
        <v>79</v>
      </c>
      <c r="D120" s="126" t="s">
        <v>584</v>
      </c>
      <c r="E120" s="126" t="s">
        <v>41</v>
      </c>
      <c r="F120" s="126" t="s">
        <v>71</v>
      </c>
      <c r="G120" s="129" t="s">
        <v>585</v>
      </c>
      <c r="H120" s="64">
        <v>7420846981</v>
      </c>
      <c r="I120" s="128" t="s">
        <v>586</v>
      </c>
      <c r="J120" s="64" t="s">
        <v>86</v>
      </c>
      <c r="K120" s="126" t="s">
        <v>587</v>
      </c>
      <c r="L120" s="126" t="s">
        <v>76</v>
      </c>
      <c r="M120" s="126" t="s">
        <v>77</v>
      </c>
      <c r="N120" s="126"/>
      <c r="O120" s="130"/>
      <c r="P120" s="131"/>
      <c r="Q120" s="64"/>
      <c r="R120" s="126"/>
      <c r="S120" t="s">
        <v>588</v>
      </c>
    </row>
    <row r="121" spans="1:19" ht="30" customHeight="1">
      <c r="A121" s="122">
        <f t="shared" si="1"/>
        <v>120</v>
      </c>
      <c r="B121" s="138">
        <v>46040</v>
      </c>
      <c r="C121" s="126" t="s">
        <v>589</v>
      </c>
      <c r="D121" s="126" t="s">
        <v>590</v>
      </c>
      <c r="E121" s="126" t="s">
        <v>84</v>
      </c>
      <c r="F121" s="126" t="s">
        <v>80</v>
      </c>
      <c r="G121" s="129" t="s">
        <v>591</v>
      </c>
      <c r="H121" s="144">
        <v>7069059712</v>
      </c>
      <c r="I121" s="145" t="s">
        <v>592</v>
      </c>
      <c r="J121" s="64" t="s">
        <v>74</v>
      </c>
      <c r="K121" s="146" t="s">
        <v>593</v>
      </c>
      <c r="L121" s="126" t="s">
        <v>54</v>
      </c>
      <c r="M121" s="126" t="s">
        <v>55</v>
      </c>
      <c r="N121" s="126" t="s">
        <v>594</v>
      </c>
      <c r="O121" s="130">
        <v>46040</v>
      </c>
      <c r="P121" s="131">
        <v>350000</v>
      </c>
      <c r="Q121" s="64" t="s">
        <v>78</v>
      </c>
      <c r="R121" s="126"/>
    </row>
    <row r="122" spans="1:19" ht="30" customHeight="1">
      <c r="A122" s="122">
        <f t="shared" si="1"/>
        <v>121</v>
      </c>
      <c r="B122" s="138">
        <v>46040</v>
      </c>
      <c r="C122" s="126" t="s">
        <v>595</v>
      </c>
      <c r="D122" s="126" t="s">
        <v>596</v>
      </c>
      <c r="E122" s="126" t="s">
        <v>41</v>
      </c>
      <c r="F122" s="126" t="s">
        <v>80</v>
      </c>
      <c r="G122" s="129" t="s">
        <v>591</v>
      </c>
      <c r="H122" s="144">
        <v>9922424143</v>
      </c>
      <c r="I122" s="145" t="s">
        <v>597</v>
      </c>
      <c r="J122" s="64" t="s">
        <v>34</v>
      </c>
      <c r="K122" s="126" t="s">
        <v>598</v>
      </c>
      <c r="L122" s="126" t="s">
        <v>54</v>
      </c>
      <c r="M122" s="126" t="s">
        <v>37</v>
      </c>
      <c r="N122" s="126" t="s">
        <v>594</v>
      </c>
      <c r="O122" s="130">
        <v>46040</v>
      </c>
      <c r="P122" s="170">
        <v>420000</v>
      </c>
      <c r="Q122" s="64" t="s">
        <v>51</v>
      </c>
      <c r="R122" s="126"/>
    </row>
    <row r="123" spans="1:19" ht="30" customHeight="1">
      <c r="A123" s="122">
        <f t="shared" si="1"/>
        <v>122</v>
      </c>
      <c r="B123" s="138">
        <v>46040</v>
      </c>
      <c r="C123" s="126" t="s">
        <v>599</v>
      </c>
      <c r="D123" s="126" t="s">
        <v>600</v>
      </c>
      <c r="E123" s="126" t="s">
        <v>41</v>
      </c>
      <c r="F123" s="126" t="s">
        <v>47</v>
      </c>
      <c r="G123" s="129" t="s">
        <v>601</v>
      </c>
      <c r="H123" s="64"/>
      <c r="I123" s="145" t="s">
        <v>602</v>
      </c>
      <c r="J123" s="64" t="s">
        <v>34</v>
      </c>
      <c r="K123" s="126" t="s">
        <v>603</v>
      </c>
      <c r="L123" s="126" t="s">
        <v>36</v>
      </c>
      <c r="M123" s="126" t="s">
        <v>55</v>
      </c>
      <c r="N123" s="126" t="s">
        <v>604</v>
      </c>
      <c r="O123" s="130">
        <v>46040</v>
      </c>
      <c r="P123" s="131">
        <v>650000</v>
      </c>
      <c r="Q123" s="64" t="s">
        <v>51</v>
      </c>
      <c r="R123" s="126"/>
    </row>
    <row r="124" spans="1:19" ht="30" customHeight="1">
      <c r="A124" s="122">
        <f t="shared" si="1"/>
        <v>123</v>
      </c>
      <c r="B124" s="138">
        <v>46040</v>
      </c>
      <c r="C124" s="126" t="s">
        <v>605</v>
      </c>
      <c r="D124" s="126" t="s">
        <v>460</v>
      </c>
      <c r="E124" s="126" t="s">
        <v>41</v>
      </c>
      <c r="F124" s="126" t="s">
        <v>47</v>
      </c>
      <c r="G124" s="147" t="s">
        <v>201</v>
      </c>
      <c r="H124" s="64"/>
      <c r="I124" s="145" t="s">
        <v>606</v>
      </c>
      <c r="J124" s="64" t="s">
        <v>34</v>
      </c>
      <c r="K124" s="126" t="s">
        <v>607</v>
      </c>
      <c r="L124" s="126" t="s">
        <v>36</v>
      </c>
      <c r="M124" s="126" t="s">
        <v>55</v>
      </c>
      <c r="N124" s="126" t="s">
        <v>608</v>
      </c>
      <c r="O124" s="130">
        <v>46040</v>
      </c>
      <c r="P124" s="131">
        <v>1310000</v>
      </c>
      <c r="Q124" s="64" t="s">
        <v>51</v>
      </c>
      <c r="R124" s="126"/>
    </row>
    <row r="125" spans="1:19" ht="30" customHeight="1">
      <c r="A125" s="122">
        <f t="shared" si="1"/>
        <v>124</v>
      </c>
      <c r="B125" s="138">
        <v>46041</v>
      </c>
      <c r="C125" s="126" t="s">
        <v>359</v>
      </c>
      <c r="D125" s="126" t="s">
        <v>264</v>
      </c>
      <c r="E125" s="126" t="s">
        <v>41</v>
      </c>
      <c r="F125" s="126" t="s">
        <v>80</v>
      </c>
      <c r="G125" s="147" t="s">
        <v>609</v>
      </c>
      <c r="H125" s="148">
        <v>8600120115</v>
      </c>
      <c r="I125" s="145" t="s">
        <v>610</v>
      </c>
      <c r="J125" s="64" t="s">
        <v>74</v>
      </c>
      <c r="K125" s="126" t="s">
        <v>611</v>
      </c>
      <c r="L125" s="128" t="s">
        <v>36</v>
      </c>
      <c r="M125" s="126" t="s">
        <v>37</v>
      </c>
      <c r="N125" s="126" t="s">
        <v>612</v>
      </c>
      <c r="O125" s="130">
        <v>46041</v>
      </c>
      <c r="P125" s="170">
        <v>2599300</v>
      </c>
      <c r="Q125" s="64" t="s">
        <v>78</v>
      </c>
      <c r="R125" s="126"/>
    </row>
    <row r="126" spans="1:19" ht="30" customHeight="1">
      <c r="A126" s="122">
        <f t="shared" si="1"/>
        <v>125</v>
      </c>
      <c r="B126" s="138">
        <v>46041</v>
      </c>
      <c r="C126" s="126" t="s">
        <v>613</v>
      </c>
      <c r="D126" s="126" t="s">
        <v>614</v>
      </c>
      <c r="E126" s="126" t="s">
        <v>41</v>
      </c>
      <c r="F126" s="126" t="s">
        <v>32</v>
      </c>
      <c r="G126" s="129" t="s">
        <v>613</v>
      </c>
      <c r="H126" s="64">
        <v>9767754195</v>
      </c>
      <c r="I126" s="128" t="s">
        <v>615</v>
      </c>
      <c r="J126" s="64" t="s">
        <v>81</v>
      </c>
      <c r="K126" s="126" t="s">
        <v>616</v>
      </c>
      <c r="L126" s="126" t="s">
        <v>76</v>
      </c>
      <c r="M126" s="126" t="s">
        <v>69</v>
      </c>
      <c r="N126" s="126"/>
      <c r="O126" s="130"/>
      <c r="P126" s="131"/>
      <c r="Q126" s="64"/>
      <c r="R126" s="126"/>
    </row>
    <row r="127" spans="1:19" ht="15" customHeight="1">
      <c r="A127" s="122">
        <f t="shared" si="1"/>
        <v>126</v>
      </c>
      <c r="B127" s="138">
        <v>46041</v>
      </c>
      <c r="C127" s="126" t="s">
        <v>79</v>
      </c>
      <c r="D127" s="126" t="s">
        <v>617</v>
      </c>
      <c r="E127" s="126" t="s">
        <v>171</v>
      </c>
      <c r="F127" s="126" t="s">
        <v>80</v>
      </c>
      <c r="G127" s="129" t="s">
        <v>300</v>
      </c>
      <c r="H127" s="64">
        <v>8700997852</v>
      </c>
      <c r="I127" s="128"/>
      <c r="J127" s="64" t="s">
        <v>86</v>
      </c>
      <c r="K127" s="126" t="s">
        <v>618</v>
      </c>
      <c r="L127" s="126" t="s">
        <v>76</v>
      </c>
      <c r="M127" s="126" t="s">
        <v>55</v>
      </c>
      <c r="N127" s="126"/>
      <c r="O127" s="130"/>
      <c r="P127" s="131"/>
      <c r="Q127" s="64"/>
      <c r="R127" s="126"/>
    </row>
    <row r="128" spans="1:19" ht="30" customHeight="1">
      <c r="A128" s="122">
        <f t="shared" si="1"/>
        <v>127</v>
      </c>
      <c r="B128" s="138">
        <v>46041</v>
      </c>
      <c r="C128" s="126" t="s">
        <v>619</v>
      </c>
      <c r="D128" s="126" t="s">
        <v>620</v>
      </c>
      <c r="E128" s="126" t="s">
        <v>84</v>
      </c>
      <c r="F128" s="126" t="s">
        <v>71</v>
      </c>
      <c r="G128" s="129" t="s">
        <v>72</v>
      </c>
      <c r="H128" s="64">
        <v>9316178028</v>
      </c>
      <c r="I128" s="128" t="s">
        <v>621</v>
      </c>
      <c r="J128" s="64" t="s">
        <v>81</v>
      </c>
      <c r="K128" s="126" t="s">
        <v>622</v>
      </c>
      <c r="L128" s="126" t="s">
        <v>76</v>
      </c>
      <c r="M128" s="126" t="s">
        <v>77</v>
      </c>
      <c r="N128" s="126"/>
      <c r="O128" s="130"/>
      <c r="P128" s="131"/>
      <c r="Q128" s="64"/>
      <c r="R128" s="126"/>
    </row>
    <row r="129" spans="1:18" ht="30" customHeight="1">
      <c r="A129" s="122">
        <f t="shared" si="1"/>
        <v>128</v>
      </c>
      <c r="B129" s="138">
        <v>46041</v>
      </c>
      <c r="C129" s="126" t="s">
        <v>135</v>
      </c>
      <c r="D129" s="126" t="s">
        <v>136</v>
      </c>
      <c r="E129" s="126"/>
      <c r="F129" s="126" t="s">
        <v>90</v>
      </c>
      <c r="G129" s="129" t="s">
        <v>623</v>
      </c>
      <c r="H129" s="64">
        <v>9820444150</v>
      </c>
      <c r="I129" s="128" t="s">
        <v>137</v>
      </c>
      <c r="J129" s="64" t="s">
        <v>511</v>
      </c>
      <c r="K129" s="126" t="s">
        <v>138</v>
      </c>
      <c r="L129" s="126" t="s">
        <v>76</v>
      </c>
      <c r="M129" s="126" t="s">
        <v>55</v>
      </c>
      <c r="N129" s="126"/>
      <c r="O129" s="130"/>
      <c r="P129" s="131"/>
      <c r="Q129" s="64"/>
      <c r="R129" s="126"/>
    </row>
    <row r="130" spans="1:18" ht="30" customHeight="1">
      <c r="A130" s="122">
        <f t="shared" ref="A130:A193" si="2">ROW()-1</f>
        <v>129</v>
      </c>
      <c r="B130" s="138">
        <v>46041</v>
      </c>
      <c r="C130" s="126" t="s">
        <v>79</v>
      </c>
      <c r="D130" s="126" t="s">
        <v>624</v>
      </c>
      <c r="E130" s="126" t="s">
        <v>41</v>
      </c>
      <c r="F130" s="126" t="s">
        <v>71</v>
      </c>
      <c r="G130" s="129" t="s">
        <v>217</v>
      </c>
      <c r="H130" s="64">
        <v>7972317474</v>
      </c>
      <c r="I130" s="128" t="s">
        <v>625</v>
      </c>
      <c r="J130" s="64" t="s">
        <v>81</v>
      </c>
      <c r="K130" s="126" t="s">
        <v>626</v>
      </c>
      <c r="L130" s="126" t="s">
        <v>76</v>
      </c>
      <c r="M130" s="126" t="s">
        <v>77</v>
      </c>
      <c r="N130" s="126"/>
      <c r="O130" s="130"/>
      <c r="P130" s="131"/>
      <c r="Q130" s="64"/>
      <c r="R130" s="126"/>
    </row>
    <row r="131" spans="1:18" ht="30" customHeight="1">
      <c r="A131" s="122">
        <f t="shared" si="2"/>
        <v>130</v>
      </c>
      <c r="B131" s="138">
        <v>46041</v>
      </c>
      <c r="C131" s="126" t="s">
        <v>627</v>
      </c>
      <c r="D131" s="126" t="s">
        <v>628</v>
      </c>
      <c r="E131" s="126" t="s">
        <v>65</v>
      </c>
      <c r="F131" s="126" t="s">
        <v>32</v>
      </c>
      <c r="G131" s="129" t="s">
        <v>172</v>
      </c>
      <c r="H131" s="64">
        <v>9964464435</v>
      </c>
      <c r="I131" s="128" t="s">
        <v>629</v>
      </c>
      <c r="J131" s="64" t="s">
        <v>86</v>
      </c>
      <c r="K131" s="126" t="s">
        <v>630</v>
      </c>
      <c r="L131" s="126" t="s">
        <v>76</v>
      </c>
      <c r="M131" s="126" t="s">
        <v>69</v>
      </c>
      <c r="N131" s="126"/>
      <c r="O131" s="130"/>
      <c r="P131" s="131"/>
      <c r="Q131" s="64"/>
      <c r="R131" s="126"/>
    </row>
    <row r="132" spans="1:18" ht="30" customHeight="1">
      <c r="A132" s="122">
        <f t="shared" si="2"/>
        <v>131</v>
      </c>
      <c r="B132" s="138">
        <v>46041</v>
      </c>
      <c r="C132" s="126" t="s">
        <v>631</v>
      </c>
      <c r="D132" s="126" t="s">
        <v>632</v>
      </c>
      <c r="E132" s="126"/>
      <c r="F132" s="126" t="s">
        <v>71</v>
      </c>
      <c r="G132" s="129" t="s">
        <v>633</v>
      </c>
      <c r="H132" s="64">
        <v>9879093293</v>
      </c>
      <c r="I132" s="128" t="s">
        <v>634</v>
      </c>
      <c r="J132" s="64" t="s">
        <v>81</v>
      </c>
      <c r="K132" s="126" t="s">
        <v>635</v>
      </c>
      <c r="L132" s="126" t="s">
        <v>76</v>
      </c>
      <c r="M132" s="126" t="s">
        <v>77</v>
      </c>
      <c r="N132" s="126"/>
      <c r="O132" s="130"/>
      <c r="P132" s="131"/>
      <c r="Q132" s="64"/>
      <c r="R132" s="126"/>
    </row>
    <row r="133" spans="1:18" ht="30" customHeight="1">
      <c r="A133" s="122">
        <f t="shared" si="2"/>
        <v>132</v>
      </c>
      <c r="B133" s="138">
        <v>46041</v>
      </c>
      <c r="C133" s="128" t="s">
        <v>636</v>
      </c>
      <c r="D133" s="126" t="s">
        <v>637</v>
      </c>
      <c r="E133" s="126" t="s">
        <v>41</v>
      </c>
      <c r="F133" s="126" t="s">
        <v>71</v>
      </c>
      <c r="G133" s="147" t="s">
        <v>638</v>
      </c>
      <c r="H133" s="64">
        <v>9594298766</v>
      </c>
      <c r="I133" s="128" t="s">
        <v>639</v>
      </c>
      <c r="J133" s="64" t="s">
        <v>99</v>
      </c>
      <c r="K133" s="126" t="s">
        <v>640</v>
      </c>
      <c r="L133" s="126" t="s">
        <v>76</v>
      </c>
      <c r="M133" s="126" t="s">
        <v>77</v>
      </c>
      <c r="N133" s="126" t="s">
        <v>641</v>
      </c>
      <c r="O133" s="130">
        <v>46042</v>
      </c>
      <c r="P133" s="131">
        <v>169740</v>
      </c>
      <c r="Q133" s="64" t="s">
        <v>145</v>
      </c>
      <c r="R133" s="126" t="s">
        <v>642</v>
      </c>
    </row>
    <row r="134" spans="1:18" ht="30" customHeight="1">
      <c r="A134" s="122">
        <f t="shared" si="2"/>
        <v>133</v>
      </c>
      <c r="B134" s="138">
        <v>46041</v>
      </c>
      <c r="C134" s="126" t="s">
        <v>79</v>
      </c>
      <c r="D134" s="126" t="s">
        <v>264</v>
      </c>
      <c r="E134" s="126" t="s">
        <v>41</v>
      </c>
      <c r="F134" s="126" t="s">
        <v>32</v>
      </c>
      <c r="G134" s="129" t="s">
        <v>643</v>
      </c>
      <c r="H134" s="64">
        <v>7304427373</v>
      </c>
      <c r="I134" s="128" t="s">
        <v>644</v>
      </c>
      <c r="J134" s="64" t="s">
        <v>81</v>
      </c>
      <c r="K134" s="126" t="s">
        <v>645</v>
      </c>
      <c r="L134" s="126" t="s">
        <v>76</v>
      </c>
      <c r="M134" s="126" t="s">
        <v>69</v>
      </c>
      <c r="N134" s="126"/>
      <c r="O134" s="130"/>
      <c r="P134" s="131"/>
      <c r="Q134" s="64"/>
      <c r="R134" s="126"/>
    </row>
    <row r="135" spans="1:18" ht="30" customHeight="1">
      <c r="A135" s="122">
        <f t="shared" si="2"/>
        <v>134</v>
      </c>
      <c r="B135" s="138">
        <v>46041</v>
      </c>
      <c r="C135" s="126" t="s">
        <v>646</v>
      </c>
      <c r="D135" s="126" t="s">
        <v>647</v>
      </c>
      <c r="E135" s="126" t="s">
        <v>131</v>
      </c>
      <c r="F135" s="126" t="s">
        <v>71</v>
      </c>
      <c r="G135" s="129" t="s">
        <v>648</v>
      </c>
      <c r="H135" s="64">
        <v>9629361933</v>
      </c>
      <c r="I135" s="128" t="s">
        <v>649</v>
      </c>
      <c r="J135" s="64" t="s">
        <v>99</v>
      </c>
      <c r="K135" s="126" t="s">
        <v>650</v>
      </c>
      <c r="L135" s="126" t="s">
        <v>76</v>
      </c>
      <c r="M135" s="126" t="s">
        <v>77</v>
      </c>
      <c r="N135" s="126"/>
      <c r="O135" s="130"/>
      <c r="P135" s="131"/>
      <c r="Q135" s="64"/>
      <c r="R135" s="126"/>
    </row>
    <row r="136" spans="1:18" ht="30" customHeight="1">
      <c r="A136" s="122">
        <f t="shared" si="2"/>
        <v>135</v>
      </c>
      <c r="B136" s="138">
        <v>46041</v>
      </c>
      <c r="C136" s="126" t="s">
        <v>651</v>
      </c>
      <c r="D136" s="126" t="s">
        <v>652</v>
      </c>
      <c r="E136" s="126" t="s">
        <v>41</v>
      </c>
      <c r="F136" s="126" t="s">
        <v>71</v>
      </c>
      <c r="G136" s="129" t="s">
        <v>212</v>
      </c>
      <c r="H136" s="64">
        <v>7709455453</v>
      </c>
      <c r="I136" s="128" t="s">
        <v>653</v>
      </c>
      <c r="J136" s="64" t="s">
        <v>272</v>
      </c>
      <c r="K136" s="126" t="s">
        <v>654</v>
      </c>
      <c r="L136" s="126" t="s">
        <v>76</v>
      </c>
      <c r="M136" s="126" t="s">
        <v>77</v>
      </c>
      <c r="N136" s="126"/>
      <c r="O136" s="130"/>
      <c r="P136" s="131"/>
      <c r="Q136" s="64"/>
      <c r="R136" s="126"/>
    </row>
    <row r="137" spans="1:18" ht="34.5" customHeight="1">
      <c r="A137" s="122">
        <f t="shared" si="2"/>
        <v>136</v>
      </c>
      <c r="B137" s="138">
        <v>46041</v>
      </c>
      <c r="C137" s="126" t="s">
        <v>655</v>
      </c>
      <c r="D137" s="149" t="s">
        <v>656</v>
      </c>
      <c r="E137" s="126" t="s">
        <v>657</v>
      </c>
      <c r="F137" s="126" t="s">
        <v>80</v>
      </c>
      <c r="G137" s="129" t="s">
        <v>80</v>
      </c>
      <c r="H137" s="64">
        <v>7047440066</v>
      </c>
      <c r="I137" s="128" t="s">
        <v>658</v>
      </c>
      <c r="J137" s="64" t="s">
        <v>86</v>
      </c>
      <c r="K137" s="126" t="s">
        <v>659</v>
      </c>
      <c r="L137" s="126" t="s">
        <v>101</v>
      </c>
      <c r="M137" s="126" t="s">
        <v>55</v>
      </c>
      <c r="N137" s="126"/>
      <c r="O137" s="130"/>
      <c r="P137" s="131"/>
      <c r="Q137" s="64"/>
      <c r="R137" s="126"/>
    </row>
    <row r="138" spans="1:18" ht="30" customHeight="1">
      <c r="A138" s="122">
        <f t="shared" si="2"/>
        <v>137</v>
      </c>
      <c r="B138" s="138">
        <v>46041</v>
      </c>
      <c r="C138" s="126" t="s">
        <v>660</v>
      </c>
      <c r="D138" s="150" t="s">
        <v>661</v>
      </c>
      <c r="E138" s="126" t="s">
        <v>41</v>
      </c>
      <c r="F138" s="126" t="s">
        <v>42</v>
      </c>
      <c r="G138" s="129" t="s">
        <v>662</v>
      </c>
      <c r="H138" s="64">
        <v>7038154119</v>
      </c>
      <c r="I138" s="128" t="s">
        <v>663</v>
      </c>
      <c r="J138" s="64" t="s">
        <v>99</v>
      </c>
      <c r="K138" s="126"/>
      <c r="L138" s="126" t="s">
        <v>122</v>
      </c>
      <c r="M138" s="126" t="s">
        <v>77</v>
      </c>
      <c r="N138" s="126" t="s">
        <v>664</v>
      </c>
      <c r="O138" s="130">
        <v>46041</v>
      </c>
      <c r="P138" s="131">
        <v>13500</v>
      </c>
      <c r="Q138" s="64" t="s">
        <v>145</v>
      </c>
      <c r="R138" s="126" t="s">
        <v>665</v>
      </c>
    </row>
    <row r="139" spans="1:18" ht="30" customHeight="1">
      <c r="A139" s="122">
        <f t="shared" si="2"/>
        <v>138</v>
      </c>
      <c r="B139" s="138">
        <v>46041</v>
      </c>
      <c r="C139" s="126" t="s">
        <v>666</v>
      </c>
      <c r="D139" s="126" t="s">
        <v>667</v>
      </c>
      <c r="E139" s="126" t="s">
        <v>41</v>
      </c>
      <c r="F139" s="126" t="s">
        <v>42</v>
      </c>
      <c r="G139" s="151" t="s">
        <v>668</v>
      </c>
      <c r="H139" s="64"/>
      <c r="I139" s="128" t="s">
        <v>669</v>
      </c>
      <c r="J139" s="64" t="s">
        <v>99</v>
      </c>
      <c r="K139" s="126" t="s">
        <v>670</v>
      </c>
      <c r="L139" s="128" t="s">
        <v>54</v>
      </c>
      <c r="M139" s="126" t="s">
        <v>37</v>
      </c>
      <c r="N139" s="126" t="s">
        <v>671</v>
      </c>
      <c r="O139" s="130">
        <v>46041</v>
      </c>
      <c r="P139" s="131">
        <v>25000</v>
      </c>
      <c r="Q139" s="64" t="s">
        <v>145</v>
      </c>
      <c r="R139" s="126"/>
    </row>
    <row r="140" spans="1:18" ht="30" customHeight="1">
      <c r="A140" s="122">
        <f t="shared" si="2"/>
        <v>139</v>
      </c>
      <c r="B140" s="138">
        <v>46042</v>
      </c>
      <c r="C140" s="126" t="s">
        <v>672</v>
      </c>
      <c r="D140" s="126" t="s">
        <v>673</v>
      </c>
      <c r="E140" s="126" t="s">
        <v>41</v>
      </c>
      <c r="F140" s="126" t="s">
        <v>71</v>
      </c>
      <c r="G140" s="147" t="s">
        <v>674</v>
      </c>
      <c r="H140" s="64">
        <v>7888025013</v>
      </c>
      <c r="I140" s="128" t="s">
        <v>675</v>
      </c>
      <c r="J140" s="64" t="s">
        <v>34</v>
      </c>
      <c r="K140" s="126" t="s">
        <v>676</v>
      </c>
      <c r="L140" s="128" t="s">
        <v>36</v>
      </c>
      <c r="M140" s="126" t="s">
        <v>69</v>
      </c>
      <c r="N140" s="126" t="s">
        <v>677</v>
      </c>
      <c r="O140" s="130">
        <v>46042</v>
      </c>
      <c r="P140" s="131">
        <v>627222</v>
      </c>
      <c r="Q140" s="64" t="s">
        <v>38</v>
      </c>
      <c r="R140" s="126"/>
    </row>
    <row r="141" spans="1:18" ht="15" customHeight="1">
      <c r="A141" s="122">
        <f t="shared" si="2"/>
        <v>140</v>
      </c>
      <c r="B141" s="138">
        <v>46042</v>
      </c>
      <c r="C141" s="126"/>
      <c r="D141" s="126" t="s">
        <v>678</v>
      </c>
      <c r="E141" s="126" t="s">
        <v>58</v>
      </c>
      <c r="F141" s="126" t="s">
        <v>32</v>
      </c>
      <c r="G141" s="147" t="s">
        <v>679</v>
      </c>
      <c r="H141" s="64">
        <v>9039045324</v>
      </c>
      <c r="I141" s="128"/>
      <c r="J141" s="64" t="s">
        <v>86</v>
      </c>
      <c r="K141" s="126" t="s">
        <v>680</v>
      </c>
      <c r="L141" s="126" t="s">
        <v>76</v>
      </c>
      <c r="M141" s="126" t="s">
        <v>69</v>
      </c>
      <c r="N141" s="126"/>
      <c r="O141" s="130"/>
      <c r="P141" s="131"/>
      <c r="Q141" s="64"/>
      <c r="R141" s="126"/>
    </row>
    <row r="142" spans="1:18" ht="15" customHeight="1">
      <c r="A142" s="122">
        <f t="shared" si="2"/>
        <v>141</v>
      </c>
      <c r="B142" s="138">
        <v>46042</v>
      </c>
      <c r="C142" s="126" t="s">
        <v>681</v>
      </c>
      <c r="D142" s="126" t="s">
        <v>264</v>
      </c>
      <c r="E142" s="126" t="s">
        <v>41</v>
      </c>
      <c r="F142" s="126" t="s">
        <v>117</v>
      </c>
      <c r="G142" s="147" t="s">
        <v>682</v>
      </c>
      <c r="H142" s="64">
        <v>6354405154</v>
      </c>
      <c r="I142" s="128" t="s">
        <v>683</v>
      </c>
      <c r="J142" s="64" t="s">
        <v>86</v>
      </c>
      <c r="K142" s="126" t="s">
        <v>684</v>
      </c>
      <c r="L142" s="126" t="s">
        <v>76</v>
      </c>
      <c r="M142" s="126" t="s">
        <v>55</v>
      </c>
      <c r="N142" s="126"/>
      <c r="O142" s="130"/>
      <c r="P142" s="131"/>
      <c r="Q142" s="64"/>
      <c r="R142" s="126"/>
    </row>
    <row r="143" spans="1:18" ht="30" customHeight="1">
      <c r="A143" s="122">
        <f t="shared" si="2"/>
        <v>142</v>
      </c>
      <c r="B143" s="138">
        <v>46042</v>
      </c>
      <c r="C143" s="126" t="s">
        <v>685</v>
      </c>
      <c r="D143" s="126" t="s">
        <v>686</v>
      </c>
      <c r="E143" s="126" t="s">
        <v>41</v>
      </c>
      <c r="F143" s="126" t="s">
        <v>117</v>
      </c>
      <c r="G143" s="147" t="s">
        <v>682</v>
      </c>
      <c r="H143" s="64"/>
      <c r="I143" s="128" t="s">
        <v>687</v>
      </c>
      <c r="J143" s="64" t="s">
        <v>34</v>
      </c>
      <c r="K143" s="126" t="s">
        <v>688</v>
      </c>
      <c r="L143" s="126" t="s">
        <v>76</v>
      </c>
      <c r="M143" s="126" t="s">
        <v>77</v>
      </c>
      <c r="N143" s="126" t="s">
        <v>689</v>
      </c>
      <c r="O143" s="130">
        <v>46042</v>
      </c>
      <c r="P143" s="170">
        <v>378983</v>
      </c>
      <c r="Q143" s="64" t="s">
        <v>38</v>
      </c>
      <c r="R143" s="126"/>
    </row>
    <row r="144" spans="1:18" ht="15" customHeight="1">
      <c r="A144" s="122">
        <f t="shared" si="2"/>
        <v>143</v>
      </c>
      <c r="B144" s="138">
        <v>46042</v>
      </c>
      <c r="C144" s="126" t="s">
        <v>690</v>
      </c>
      <c r="D144" s="126" t="s">
        <v>691</v>
      </c>
      <c r="E144" s="126" t="s">
        <v>65</v>
      </c>
      <c r="F144" s="126" t="s">
        <v>201</v>
      </c>
      <c r="G144" s="147" t="s">
        <v>692</v>
      </c>
      <c r="H144" s="64">
        <v>8618798982</v>
      </c>
      <c r="I144" s="128" t="s">
        <v>693</v>
      </c>
      <c r="J144" s="64" t="s">
        <v>74</v>
      </c>
      <c r="K144" s="126" t="s">
        <v>694</v>
      </c>
      <c r="L144" s="126" t="s">
        <v>76</v>
      </c>
      <c r="M144" s="126" t="s">
        <v>55</v>
      </c>
      <c r="N144" s="126" t="s">
        <v>695</v>
      </c>
      <c r="O144" s="130">
        <v>46066</v>
      </c>
      <c r="P144" s="131">
        <v>950000</v>
      </c>
      <c r="Q144" s="64" t="s">
        <v>78</v>
      </c>
      <c r="R144" s="126"/>
    </row>
    <row r="145" spans="1:18" ht="30" customHeight="1">
      <c r="A145" s="122">
        <f t="shared" si="2"/>
        <v>144</v>
      </c>
      <c r="B145" s="138">
        <v>46042</v>
      </c>
      <c r="C145" s="126" t="s">
        <v>696</v>
      </c>
      <c r="D145" s="126" t="s">
        <v>337</v>
      </c>
      <c r="E145" s="126" t="s">
        <v>41</v>
      </c>
      <c r="F145" s="126" t="s">
        <v>32</v>
      </c>
      <c r="G145" s="129" t="s">
        <v>697</v>
      </c>
      <c r="H145" s="64">
        <v>9867428860</v>
      </c>
      <c r="I145" s="128" t="s">
        <v>698</v>
      </c>
      <c r="J145" s="64" t="s">
        <v>81</v>
      </c>
      <c r="K145" s="126" t="s">
        <v>699</v>
      </c>
      <c r="L145" s="126" t="s">
        <v>101</v>
      </c>
      <c r="M145" s="126" t="s">
        <v>69</v>
      </c>
      <c r="N145" s="126"/>
      <c r="O145" s="130"/>
      <c r="P145" s="131"/>
      <c r="Q145" s="64"/>
      <c r="R145" s="126"/>
    </row>
    <row r="146" spans="1:18" ht="15" customHeight="1">
      <c r="A146" s="122">
        <f t="shared" si="2"/>
        <v>145</v>
      </c>
      <c r="B146" s="138">
        <v>46042</v>
      </c>
      <c r="C146" s="126" t="s">
        <v>700</v>
      </c>
      <c r="D146" s="126" t="s">
        <v>324</v>
      </c>
      <c r="E146" s="126" t="s">
        <v>41</v>
      </c>
      <c r="F146" s="126" t="s">
        <v>32</v>
      </c>
      <c r="G146" s="129" t="s">
        <v>697</v>
      </c>
      <c r="H146" s="64">
        <v>8420011253</v>
      </c>
      <c r="I146" s="128"/>
      <c r="J146" s="64" t="s">
        <v>99</v>
      </c>
      <c r="K146" s="126" t="s">
        <v>700</v>
      </c>
      <c r="L146" s="126" t="s">
        <v>101</v>
      </c>
      <c r="M146" s="126" t="s">
        <v>55</v>
      </c>
      <c r="N146" s="126"/>
      <c r="O146" s="130"/>
      <c r="P146" s="131"/>
      <c r="Q146" s="64"/>
      <c r="R146" s="126"/>
    </row>
    <row r="147" spans="1:18" ht="19.5" customHeight="1">
      <c r="A147" s="122">
        <f t="shared" si="2"/>
        <v>146</v>
      </c>
      <c r="B147" s="138">
        <v>46043</v>
      </c>
      <c r="C147" s="152" t="s">
        <v>79</v>
      </c>
      <c r="D147" s="126" t="s">
        <v>701</v>
      </c>
      <c r="E147" s="126" t="s">
        <v>206</v>
      </c>
      <c r="F147" s="126" t="s">
        <v>32</v>
      </c>
      <c r="G147" s="129" t="s">
        <v>697</v>
      </c>
      <c r="H147" s="64">
        <v>7668076319</v>
      </c>
      <c r="I147" s="128"/>
      <c r="J147" s="64" t="s">
        <v>272</v>
      </c>
      <c r="K147" s="126" t="s">
        <v>702</v>
      </c>
      <c r="L147" s="126" t="s">
        <v>101</v>
      </c>
      <c r="M147" s="126" t="s">
        <v>69</v>
      </c>
      <c r="N147" s="126"/>
      <c r="O147" s="130"/>
      <c r="P147" s="131"/>
      <c r="Q147" s="64"/>
      <c r="R147" s="126"/>
    </row>
    <row r="148" spans="1:18" ht="30" customHeight="1">
      <c r="A148" s="122">
        <f t="shared" si="2"/>
        <v>147</v>
      </c>
      <c r="B148" s="138">
        <v>46043</v>
      </c>
      <c r="C148" s="126" t="s">
        <v>680</v>
      </c>
      <c r="D148" s="126" t="s">
        <v>326</v>
      </c>
      <c r="E148" s="126" t="s">
        <v>41</v>
      </c>
      <c r="F148" s="126" t="s">
        <v>32</v>
      </c>
      <c r="G148" s="129" t="s">
        <v>703</v>
      </c>
      <c r="H148" s="64">
        <v>9822640471</v>
      </c>
      <c r="I148" s="128" t="s">
        <v>704</v>
      </c>
      <c r="J148" s="64" t="s">
        <v>81</v>
      </c>
      <c r="K148" s="126"/>
      <c r="L148" s="126" t="s">
        <v>101</v>
      </c>
      <c r="M148" s="126" t="s">
        <v>69</v>
      </c>
      <c r="N148" s="126"/>
      <c r="O148" s="130"/>
      <c r="P148" s="131"/>
      <c r="Q148" s="64"/>
      <c r="R148" s="126"/>
    </row>
    <row r="149" spans="1:18" ht="45" customHeight="1">
      <c r="A149" s="122">
        <f t="shared" si="2"/>
        <v>148</v>
      </c>
      <c r="B149" s="138">
        <v>46043</v>
      </c>
      <c r="C149" s="126" t="s">
        <v>39</v>
      </c>
      <c r="D149" s="126" t="s">
        <v>40</v>
      </c>
      <c r="E149" s="126" t="s">
        <v>41</v>
      </c>
      <c r="F149" s="126" t="s">
        <v>90</v>
      </c>
      <c r="G149" s="147" t="s">
        <v>705</v>
      </c>
      <c r="H149" s="64">
        <v>7389904846</v>
      </c>
      <c r="I149" s="128" t="s">
        <v>706</v>
      </c>
      <c r="J149" s="64" t="s">
        <v>74</v>
      </c>
      <c r="K149" s="126" t="s">
        <v>707</v>
      </c>
      <c r="L149" s="126" t="s">
        <v>54</v>
      </c>
      <c r="M149" s="126" t="s">
        <v>37</v>
      </c>
      <c r="N149" s="126" t="s">
        <v>708</v>
      </c>
      <c r="O149" s="130">
        <v>46043</v>
      </c>
      <c r="P149" s="170">
        <v>2155000</v>
      </c>
      <c r="Q149" s="64" t="s">
        <v>124</v>
      </c>
      <c r="R149" s="126"/>
    </row>
    <row r="150" spans="1:18" ht="30" customHeight="1">
      <c r="A150" s="122">
        <f t="shared" si="2"/>
        <v>149</v>
      </c>
      <c r="B150" s="138">
        <v>46043</v>
      </c>
      <c r="C150" s="126" t="s">
        <v>709</v>
      </c>
      <c r="D150" s="126" t="s">
        <v>710</v>
      </c>
      <c r="E150" s="126" t="s">
        <v>711</v>
      </c>
      <c r="F150" s="126" t="s">
        <v>80</v>
      </c>
      <c r="G150" s="147" t="s">
        <v>712</v>
      </c>
      <c r="H150" s="64">
        <v>9449022574</v>
      </c>
      <c r="I150" s="128" t="s">
        <v>713</v>
      </c>
      <c r="J150" s="64" t="s">
        <v>86</v>
      </c>
      <c r="K150" s="126" t="s">
        <v>714</v>
      </c>
      <c r="L150" s="126" t="s">
        <v>76</v>
      </c>
      <c r="M150" s="126" t="s">
        <v>69</v>
      </c>
      <c r="N150" s="126"/>
      <c r="O150" s="130"/>
      <c r="P150" s="131"/>
      <c r="Q150" s="64"/>
      <c r="R150" s="126"/>
    </row>
    <row r="151" spans="1:18" ht="15" customHeight="1">
      <c r="A151" s="122">
        <f t="shared" si="2"/>
        <v>150</v>
      </c>
      <c r="B151" s="138">
        <v>46043</v>
      </c>
      <c r="C151" s="126"/>
      <c r="D151" s="126" t="s">
        <v>264</v>
      </c>
      <c r="E151" s="126" t="s">
        <v>41</v>
      </c>
      <c r="F151" s="126" t="s">
        <v>117</v>
      </c>
      <c r="G151" s="147" t="s">
        <v>715</v>
      </c>
      <c r="H151" s="64">
        <v>9684003608</v>
      </c>
      <c r="I151" s="128"/>
      <c r="J151" s="64" t="s">
        <v>81</v>
      </c>
      <c r="K151" s="126" t="s">
        <v>716</v>
      </c>
      <c r="L151" s="126" t="s">
        <v>76</v>
      </c>
      <c r="M151" s="126" t="s">
        <v>69</v>
      </c>
      <c r="N151" s="126"/>
      <c r="O151" s="130"/>
      <c r="P151" s="131"/>
      <c r="Q151" s="64"/>
      <c r="R151" s="126"/>
    </row>
    <row r="152" spans="1:18" ht="30" customHeight="1">
      <c r="A152" s="122">
        <f t="shared" si="2"/>
        <v>151</v>
      </c>
      <c r="B152" s="138">
        <v>46043</v>
      </c>
      <c r="C152" s="128" t="s">
        <v>717</v>
      </c>
      <c r="D152" s="126" t="s">
        <v>718</v>
      </c>
      <c r="E152" s="126" t="s">
        <v>41</v>
      </c>
      <c r="F152" s="126" t="s">
        <v>71</v>
      </c>
      <c r="G152" s="147" t="s">
        <v>212</v>
      </c>
      <c r="H152" s="64">
        <v>9359646764</v>
      </c>
      <c r="I152" s="128" t="s">
        <v>719</v>
      </c>
      <c r="J152" s="64" t="s">
        <v>34</v>
      </c>
      <c r="K152" s="126" t="s">
        <v>720</v>
      </c>
      <c r="L152" s="126" t="s">
        <v>76</v>
      </c>
      <c r="M152" s="126" t="s">
        <v>77</v>
      </c>
      <c r="N152" s="126"/>
      <c r="O152" s="130"/>
      <c r="P152" s="170"/>
      <c r="Q152" s="64"/>
      <c r="R152" s="126"/>
    </row>
    <row r="153" spans="1:18" ht="30" customHeight="1">
      <c r="A153" s="122">
        <f t="shared" si="2"/>
        <v>152</v>
      </c>
      <c r="B153" s="138">
        <v>46043</v>
      </c>
      <c r="C153" s="126" t="s">
        <v>721</v>
      </c>
      <c r="D153" s="126" t="s">
        <v>722</v>
      </c>
      <c r="E153" s="126" t="s">
        <v>171</v>
      </c>
      <c r="F153" s="126" t="s">
        <v>90</v>
      </c>
      <c r="G153" s="147" t="s">
        <v>723</v>
      </c>
      <c r="H153" s="64">
        <v>9991090744</v>
      </c>
      <c r="I153" s="128" t="s">
        <v>724</v>
      </c>
      <c r="J153" s="64" t="s">
        <v>272</v>
      </c>
      <c r="K153" s="126" t="s">
        <v>725</v>
      </c>
      <c r="L153" s="126" t="s">
        <v>76</v>
      </c>
      <c r="M153" s="126" t="s">
        <v>55</v>
      </c>
      <c r="N153" s="126"/>
      <c r="O153" s="130"/>
      <c r="P153" s="131"/>
      <c r="Q153" s="64"/>
      <c r="R153" s="126"/>
    </row>
    <row r="154" spans="1:18" ht="45" customHeight="1">
      <c r="A154" s="122">
        <f t="shared" si="2"/>
        <v>153</v>
      </c>
      <c r="B154" s="138">
        <v>46043</v>
      </c>
      <c r="C154" s="126" t="s">
        <v>726</v>
      </c>
      <c r="D154" s="126" t="s">
        <v>727</v>
      </c>
      <c r="E154" s="126" t="s">
        <v>41</v>
      </c>
      <c r="F154" s="126" t="s">
        <v>71</v>
      </c>
      <c r="G154" s="147" t="s">
        <v>93</v>
      </c>
      <c r="H154" s="64">
        <v>9511818504</v>
      </c>
      <c r="I154" s="126" t="s">
        <v>728</v>
      </c>
      <c r="J154" s="64" t="s">
        <v>34</v>
      </c>
      <c r="K154" s="126"/>
      <c r="L154" s="126" t="s">
        <v>54</v>
      </c>
      <c r="M154" s="126" t="s">
        <v>77</v>
      </c>
      <c r="N154" s="126" t="s">
        <v>729</v>
      </c>
      <c r="O154" s="130">
        <v>46043</v>
      </c>
      <c r="P154" s="170">
        <v>254730</v>
      </c>
      <c r="Q154" s="64" t="s">
        <v>38</v>
      </c>
      <c r="R154" s="126"/>
    </row>
    <row r="155" spans="1:18" ht="15" customHeight="1">
      <c r="A155" s="122">
        <f t="shared" si="2"/>
        <v>154</v>
      </c>
      <c r="B155" s="138">
        <v>46043</v>
      </c>
      <c r="C155" s="126"/>
      <c r="D155" s="126" t="s">
        <v>730</v>
      </c>
      <c r="E155" s="126" t="s">
        <v>41</v>
      </c>
      <c r="F155" s="126" t="s">
        <v>71</v>
      </c>
      <c r="G155" s="147" t="s">
        <v>93</v>
      </c>
      <c r="H155" s="64">
        <v>6294978169</v>
      </c>
      <c r="I155" s="128"/>
      <c r="J155" s="64" t="s">
        <v>81</v>
      </c>
      <c r="K155" s="129" t="s">
        <v>731</v>
      </c>
      <c r="L155" s="126" t="s">
        <v>101</v>
      </c>
      <c r="M155" s="126" t="s">
        <v>77</v>
      </c>
      <c r="N155" s="126"/>
      <c r="O155" s="130"/>
      <c r="P155" s="131"/>
      <c r="Q155" s="64"/>
      <c r="R155" s="126"/>
    </row>
    <row r="156" spans="1:18" ht="15" customHeight="1">
      <c r="A156" s="122">
        <f t="shared" si="2"/>
        <v>155</v>
      </c>
      <c r="B156" s="138">
        <v>46043</v>
      </c>
      <c r="C156" s="126"/>
      <c r="D156" s="126"/>
      <c r="E156" s="126"/>
      <c r="F156" s="126" t="s">
        <v>80</v>
      </c>
      <c r="G156" s="147" t="s">
        <v>732</v>
      </c>
      <c r="H156" s="64">
        <v>9449859126</v>
      </c>
      <c r="I156" s="128"/>
      <c r="J156" s="64" t="s">
        <v>81</v>
      </c>
      <c r="K156" s="126"/>
      <c r="L156" s="126" t="s">
        <v>101</v>
      </c>
      <c r="M156" s="126" t="s">
        <v>69</v>
      </c>
      <c r="N156" s="126"/>
      <c r="O156" s="130"/>
      <c r="P156" s="131"/>
      <c r="Q156" s="64"/>
      <c r="R156" s="126"/>
    </row>
    <row r="157" spans="1:18" ht="30" customHeight="1">
      <c r="A157" s="122">
        <f t="shared" si="2"/>
        <v>156</v>
      </c>
      <c r="B157" s="138">
        <v>46044</v>
      </c>
      <c r="C157" s="126" t="s">
        <v>733</v>
      </c>
      <c r="D157" s="126" t="s">
        <v>734</v>
      </c>
      <c r="E157" s="126" t="s">
        <v>41</v>
      </c>
      <c r="F157" s="126" t="s">
        <v>71</v>
      </c>
      <c r="G157" s="147" t="s">
        <v>735</v>
      </c>
      <c r="H157" s="64">
        <v>9422029652</v>
      </c>
      <c r="I157" s="128" t="s">
        <v>736</v>
      </c>
      <c r="J157" s="64" t="s">
        <v>34</v>
      </c>
      <c r="K157" s="126" t="s">
        <v>737</v>
      </c>
      <c r="L157" s="126" t="s">
        <v>76</v>
      </c>
      <c r="M157" s="126" t="s">
        <v>77</v>
      </c>
      <c r="N157" s="126"/>
      <c r="O157" s="130"/>
      <c r="P157" s="170"/>
      <c r="Q157" s="64"/>
      <c r="R157" s="126"/>
    </row>
    <row r="158" spans="1:18" ht="15" customHeight="1">
      <c r="A158" s="122">
        <f t="shared" si="2"/>
        <v>157</v>
      </c>
      <c r="B158" s="138">
        <v>46044</v>
      </c>
      <c r="C158" s="126"/>
      <c r="D158" s="126" t="s">
        <v>738</v>
      </c>
      <c r="E158" s="126" t="s">
        <v>206</v>
      </c>
      <c r="F158" s="126" t="s">
        <v>71</v>
      </c>
      <c r="G158" s="129" t="s">
        <v>71</v>
      </c>
      <c r="H158" s="64">
        <v>6391010372</v>
      </c>
      <c r="I158" s="128"/>
      <c r="J158" s="64" t="s">
        <v>99</v>
      </c>
      <c r="K158" s="126" t="s">
        <v>739</v>
      </c>
      <c r="L158" s="126" t="s">
        <v>76</v>
      </c>
      <c r="M158" s="126" t="s">
        <v>77</v>
      </c>
      <c r="N158" s="126"/>
      <c r="O158" s="130"/>
      <c r="P158" s="131"/>
      <c r="Q158" s="64"/>
      <c r="R158" s="126"/>
    </row>
    <row r="159" spans="1:18" ht="30" customHeight="1">
      <c r="A159" s="122">
        <f t="shared" si="2"/>
        <v>158</v>
      </c>
      <c r="B159" s="138">
        <v>46044</v>
      </c>
      <c r="C159" s="126" t="s">
        <v>740</v>
      </c>
      <c r="D159" s="126" t="s">
        <v>741</v>
      </c>
      <c r="E159" s="126" t="s">
        <v>41</v>
      </c>
      <c r="F159" s="126" t="s">
        <v>71</v>
      </c>
      <c r="G159" s="129" t="s">
        <v>740</v>
      </c>
      <c r="H159" s="64">
        <v>9975719171</v>
      </c>
      <c r="I159" s="128" t="s">
        <v>742</v>
      </c>
      <c r="J159" s="64" t="s">
        <v>34</v>
      </c>
      <c r="K159" s="153" t="s">
        <v>743</v>
      </c>
      <c r="L159" s="126" t="s">
        <v>76</v>
      </c>
      <c r="M159" s="126" t="s">
        <v>77</v>
      </c>
      <c r="N159" s="126"/>
      <c r="O159" s="130"/>
      <c r="P159" s="217"/>
      <c r="Q159" s="154"/>
      <c r="R159" s="126"/>
    </row>
    <row r="160" spans="1:18" ht="15" customHeight="1">
      <c r="A160" s="122">
        <f t="shared" si="2"/>
        <v>159</v>
      </c>
      <c r="B160" s="138">
        <v>46044</v>
      </c>
      <c r="C160" s="126" t="s">
        <v>744</v>
      </c>
      <c r="D160" s="126" t="s">
        <v>264</v>
      </c>
      <c r="E160" s="126" t="s">
        <v>41</v>
      </c>
      <c r="F160" s="126" t="s">
        <v>71</v>
      </c>
      <c r="G160" s="129" t="s">
        <v>745</v>
      </c>
      <c r="H160" s="64">
        <v>9730668938</v>
      </c>
      <c r="I160" s="128"/>
      <c r="J160" s="64" t="s">
        <v>99</v>
      </c>
      <c r="K160" s="126" t="s">
        <v>746</v>
      </c>
      <c r="L160" s="126" t="s">
        <v>76</v>
      </c>
      <c r="M160" s="126" t="s">
        <v>77</v>
      </c>
      <c r="N160" s="126"/>
      <c r="O160" s="130"/>
      <c r="P160" s="155"/>
      <c r="Q160" s="64"/>
      <c r="R160" s="126"/>
    </row>
    <row r="161" spans="1:19" ht="30" customHeight="1">
      <c r="A161" s="122">
        <f t="shared" si="2"/>
        <v>160</v>
      </c>
      <c r="B161" s="138">
        <v>46044</v>
      </c>
      <c r="C161" s="126" t="s">
        <v>747</v>
      </c>
      <c r="D161" s="126" t="s">
        <v>748</v>
      </c>
      <c r="E161" s="126" t="s">
        <v>41</v>
      </c>
      <c r="F161" s="126" t="s">
        <v>32</v>
      </c>
      <c r="G161" s="129" t="s">
        <v>749</v>
      </c>
      <c r="H161" s="64">
        <v>7021005110</v>
      </c>
      <c r="I161" s="128" t="s">
        <v>750</v>
      </c>
      <c r="J161" s="64" t="s">
        <v>272</v>
      </c>
      <c r="K161" s="126" t="s">
        <v>747</v>
      </c>
      <c r="L161" s="126" t="s">
        <v>76</v>
      </c>
      <c r="M161" s="126" t="s">
        <v>69</v>
      </c>
      <c r="N161" s="126"/>
      <c r="O161" s="130"/>
      <c r="P161" s="131"/>
      <c r="Q161" s="64"/>
      <c r="R161" s="126"/>
    </row>
    <row r="162" spans="1:19" ht="15" customHeight="1">
      <c r="A162" s="122">
        <f t="shared" si="2"/>
        <v>161</v>
      </c>
      <c r="B162" s="138">
        <v>46044</v>
      </c>
      <c r="C162" s="126"/>
      <c r="D162" s="126" t="s">
        <v>710</v>
      </c>
      <c r="E162" s="126" t="s">
        <v>65</v>
      </c>
      <c r="F162" s="126" t="s">
        <v>201</v>
      </c>
      <c r="G162" s="129" t="s">
        <v>202</v>
      </c>
      <c r="H162" s="64"/>
      <c r="I162" s="128"/>
      <c r="J162" s="64" t="s">
        <v>511</v>
      </c>
      <c r="K162" s="126" t="s">
        <v>751</v>
      </c>
      <c r="L162" s="126" t="s">
        <v>76</v>
      </c>
      <c r="M162" s="126" t="s">
        <v>55</v>
      </c>
      <c r="N162" s="126"/>
      <c r="O162" s="130"/>
      <c r="P162" s="131"/>
      <c r="Q162" s="64"/>
      <c r="R162" s="126"/>
    </row>
    <row r="163" spans="1:19" ht="30" customHeight="1">
      <c r="A163" s="122">
        <f t="shared" si="2"/>
        <v>162</v>
      </c>
      <c r="B163" s="138">
        <v>46044</v>
      </c>
      <c r="C163" s="126" t="s">
        <v>752</v>
      </c>
      <c r="D163" s="126" t="s">
        <v>753</v>
      </c>
      <c r="E163" s="126" t="s">
        <v>41</v>
      </c>
      <c r="F163" s="126" t="s">
        <v>32</v>
      </c>
      <c r="G163" s="129" t="s">
        <v>749</v>
      </c>
      <c r="H163" s="64">
        <v>8879112973</v>
      </c>
      <c r="I163" s="128" t="s">
        <v>754</v>
      </c>
      <c r="J163" s="64" t="s">
        <v>81</v>
      </c>
      <c r="K163" s="126" t="s">
        <v>737</v>
      </c>
      <c r="L163" s="126" t="s">
        <v>101</v>
      </c>
      <c r="M163" s="126" t="s">
        <v>55</v>
      </c>
      <c r="N163" s="126"/>
      <c r="O163" s="130"/>
      <c r="P163" s="131"/>
      <c r="Q163" s="64"/>
      <c r="R163" s="126"/>
    </row>
    <row r="164" spans="1:19" ht="30" customHeight="1">
      <c r="A164" s="122">
        <f t="shared" si="2"/>
        <v>163</v>
      </c>
      <c r="B164" s="138">
        <v>46044</v>
      </c>
      <c r="C164" s="126" t="s">
        <v>755</v>
      </c>
      <c r="D164" s="126" t="s">
        <v>756</v>
      </c>
      <c r="E164" s="126" t="s">
        <v>191</v>
      </c>
      <c r="F164" s="126" t="s">
        <v>32</v>
      </c>
      <c r="G164" s="129" t="s">
        <v>107</v>
      </c>
      <c r="H164" s="64">
        <v>8917669847</v>
      </c>
      <c r="I164" s="128" t="s">
        <v>757</v>
      </c>
      <c r="J164" s="64" t="s">
        <v>81</v>
      </c>
      <c r="K164" s="126" t="s">
        <v>758</v>
      </c>
      <c r="L164" s="126" t="s">
        <v>101</v>
      </c>
      <c r="M164" s="126" t="s">
        <v>69</v>
      </c>
      <c r="N164" s="126"/>
      <c r="O164" s="130"/>
      <c r="P164" s="131"/>
      <c r="Q164" s="64"/>
      <c r="R164" s="126"/>
    </row>
    <row r="165" spans="1:19" ht="15" customHeight="1">
      <c r="A165" s="122">
        <f t="shared" si="2"/>
        <v>164</v>
      </c>
      <c r="B165" s="138">
        <v>46044</v>
      </c>
      <c r="C165" s="126"/>
      <c r="D165" s="126" t="s">
        <v>759</v>
      </c>
      <c r="E165" s="126" t="s">
        <v>711</v>
      </c>
      <c r="F165" s="126" t="s">
        <v>32</v>
      </c>
      <c r="G165" s="129" t="s">
        <v>107</v>
      </c>
      <c r="H165" s="64">
        <v>9321587292</v>
      </c>
      <c r="I165" s="128"/>
      <c r="J165" s="64" t="s">
        <v>248</v>
      </c>
      <c r="K165" s="126" t="s">
        <v>760</v>
      </c>
      <c r="L165" s="126" t="s">
        <v>101</v>
      </c>
      <c r="M165" s="126"/>
      <c r="N165" s="126"/>
      <c r="O165" s="130"/>
      <c r="P165" s="131"/>
      <c r="Q165" s="64"/>
      <c r="R165" s="126"/>
    </row>
    <row r="166" spans="1:19" ht="30" customHeight="1">
      <c r="A166" s="122">
        <f t="shared" si="2"/>
        <v>165</v>
      </c>
      <c r="B166" s="138">
        <v>46045</v>
      </c>
      <c r="C166" s="126" t="s">
        <v>761</v>
      </c>
      <c r="D166" s="126" t="s">
        <v>762</v>
      </c>
      <c r="E166" s="126" t="s">
        <v>131</v>
      </c>
      <c r="F166" s="126" t="s">
        <v>90</v>
      </c>
      <c r="G166" s="129" t="s">
        <v>423</v>
      </c>
      <c r="H166" s="64">
        <v>8296594080</v>
      </c>
      <c r="I166" s="128" t="s">
        <v>763</v>
      </c>
      <c r="J166" s="64" t="s">
        <v>86</v>
      </c>
      <c r="K166" s="129" t="s">
        <v>764</v>
      </c>
      <c r="L166" s="126" t="s">
        <v>76</v>
      </c>
      <c r="M166" s="126" t="s">
        <v>69</v>
      </c>
      <c r="N166" s="126"/>
      <c r="O166" s="130"/>
      <c r="P166" s="131"/>
      <c r="Q166" s="64"/>
      <c r="R166" s="126"/>
    </row>
    <row r="167" spans="1:19" ht="30" customHeight="1">
      <c r="A167" s="122">
        <f t="shared" si="2"/>
        <v>166</v>
      </c>
      <c r="B167" s="138">
        <v>46045</v>
      </c>
      <c r="C167" s="126"/>
      <c r="D167" s="126" t="s">
        <v>765</v>
      </c>
      <c r="E167" s="126" t="s">
        <v>41</v>
      </c>
      <c r="F167" s="126" t="s">
        <v>71</v>
      </c>
      <c r="G167" s="129" t="s">
        <v>766</v>
      </c>
      <c r="H167" s="64">
        <v>7420857829</v>
      </c>
      <c r="I167" s="128" t="s">
        <v>767</v>
      </c>
      <c r="J167" s="64" t="s">
        <v>81</v>
      </c>
      <c r="K167" s="126" t="s">
        <v>768</v>
      </c>
      <c r="L167" s="126" t="s">
        <v>76</v>
      </c>
      <c r="M167" s="126" t="s">
        <v>77</v>
      </c>
      <c r="N167" s="126"/>
      <c r="O167" s="130"/>
      <c r="P167" s="131"/>
      <c r="Q167" s="64"/>
      <c r="R167" s="126"/>
    </row>
    <row r="168" spans="1:19" ht="30" customHeight="1">
      <c r="A168" s="122">
        <f t="shared" si="2"/>
        <v>167</v>
      </c>
      <c r="B168" s="138">
        <v>46046</v>
      </c>
      <c r="C168" s="126" t="s">
        <v>769</v>
      </c>
      <c r="D168" s="126" t="s">
        <v>770</v>
      </c>
      <c r="E168" s="126" t="s">
        <v>771</v>
      </c>
      <c r="F168" s="126" t="s">
        <v>201</v>
      </c>
      <c r="G168" s="129" t="s">
        <v>772</v>
      </c>
      <c r="H168" s="64">
        <v>9416062416</v>
      </c>
      <c r="I168" s="128" t="s">
        <v>773</v>
      </c>
      <c r="J168" s="64" t="s">
        <v>86</v>
      </c>
      <c r="K168" s="129" t="s">
        <v>774</v>
      </c>
      <c r="L168" s="126" t="s">
        <v>76</v>
      </c>
      <c r="M168" s="126" t="s">
        <v>55</v>
      </c>
      <c r="N168" s="126"/>
      <c r="O168" s="130"/>
      <c r="P168" s="131"/>
      <c r="Q168" s="64"/>
      <c r="R168" s="126"/>
    </row>
    <row r="169" spans="1:19" ht="15" customHeight="1">
      <c r="A169" s="122">
        <f t="shared" si="2"/>
        <v>168</v>
      </c>
      <c r="B169" s="138">
        <v>46046</v>
      </c>
      <c r="C169" s="126" t="s">
        <v>775</v>
      </c>
      <c r="D169" s="126" t="s">
        <v>776</v>
      </c>
      <c r="E169" s="126" t="s">
        <v>191</v>
      </c>
      <c r="F169" s="126" t="s">
        <v>80</v>
      </c>
      <c r="G169" s="129" t="s">
        <v>777</v>
      </c>
      <c r="H169" s="64">
        <v>8895425110</v>
      </c>
      <c r="I169" s="128"/>
      <c r="J169" s="64" t="s">
        <v>81</v>
      </c>
      <c r="K169" s="126" t="s">
        <v>778</v>
      </c>
      <c r="L169" s="126" t="s">
        <v>76</v>
      </c>
      <c r="M169" s="126" t="s">
        <v>69</v>
      </c>
      <c r="N169" s="126"/>
      <c r="O169" s="130"/>
      <c r="P169" s="131"/>
      <c r="Q169" s="64"/>
      <c r="R169" s="126"/>
    </row>
    <row r="170" spans="1:19" ht="15" customHeight="1">
      <c r="A170" s="122">
        <f t="shared" si="2"/>
        <v>169</v>
      </c>
      <c r="B170" s="138">
        <v>46046</v>
      </c>
      <c r="C170" s="126" t="s">
        <v>779</v>
      </c>
      <c r="D170" s="126" t="s">
        <v>780</v>
      </c>
      <c r="E170" s="126"/>
      <c r="F170" s="126" t="s">
        <v>32</v>
      </c>
      <c r="G170" s="129" t="s">
        <v>781</v>
      </c>
      <c r="H170" s="64">
        <v>9993411766</v>
      </c>
      <c r="I170" s="128"/>
      <c r="J170" s="64" t="s">
        <v>81</v>
      </c>
      <c r="K170" s="129" t="s">
        <v>779</v>
      </c>
      <c r="L170" s="126" t="s">
        <v>76</v>
      </c>
      <c r="M170" s="126" t="s">
        <v>69</v>
      </c>
      <c r="N170" s="126"/>
      <c r="O170" s="130"/>
      <c r="P170" s="131"/>
      <c r="Q170" s="64"/>
      <c r="R170" s="126"/>
    </row>
    <row r="171" spans="1:19" ht="15" customHeight="1">
      <c r="A171" s="122">
        <f t="shared" si="2"/>
        <v>170</v>
      </c>
      <c r="B171" s="138">
        <v>46046</v>
      </c>
      <c r="C171" s="126" t="s">
        <v>782</v>
      </c>
      <c r="D171" s="126" t="s">
        <v>710</v>
      </c>
      <c r="E171" s="126" t="s">
        <v>711</v>
      </c>
      <c r="F171" s="126" t="s">
        <v>71</v>
      </c>
      <c r="G171" s="129" t="s">
        <v>783</v>
      </c>
      <c r="H171" s="64">
        <v>9900350723</v>
      </c>
      <c r="I171" s="128"/>
      <c r="J171" s="64" t="s">
        <v>248</v>
      </c>
      <c r="K171" s="126" t="s">
        <v>784</v>
      </c>
      <c r="L171" s="126" t="s">
        <v>76</v>
      </c>
      <c r="M171" s="126" t="s">
        <v>77</v>
      </c>
      <c r="N171" s="126"/>
      <c r="O171" s="130"/>
      <c r="P171" s="131"/>
      <c r="Q171" s="64"/>
      <c r="R171" s="126"/>
    </row>
    <row r="172" spans="1:19" ht="21.75" customHeight="1">
      <c r="A172" s="122">
        <f t="shared" si="2"/>
        <v>171</v>
      </c>
      <c r="B172" s="138">
        <v>46047</v>
      </c>
      <c r="C172" s="126"/>
      <c r="D172" s="126" t="s">
        <v>264</v>
      </c>
      <c r="E172" s="126" t="s">
        <v>41</v>
      </c>
      <c r="F172" s="126" t="s">
        <v>90</v>
      </c>
      <c r="G172" s="129" t="s">
        <v>423</v>
      </c>
      <c r="H172" s="64">
        <v>9370137887</v>
      </c>
      <c r="I172" s="128" t="s">
        <v>785</v>
      </c>
      <c r="J172" s="64" t="s">
        <v>81</v>
      </c>
      <c r="K172" s="129" t="s">
        <v>786</v>
      </c>
      <c r="L172" s="126" t="s">
        <v>76</v>
      </c>
      <c r="M172" s="126" t="s">
        <v>69</v>
      </c>
      <c r="N172" s="126"/>
      <c r="O172" s="130"/>
      <c r="P172" s="131"/>
      <c r="Q172" s="64"/>
      <c r="R172" s="126"/>
    </row>
    <row r="173" spans="1:19" ht="15" customHeight="1">
      <c r="A173" s="122">
        <f t="shared" si="2"/>
        <v>172</v>
      </c>
      <c r="B173" s="138">
        <v>46046</v>
      </c>
      <c r="C173" s="126"/>
      <c r="D173" s="126" t="s">
        <v>787</v>
      </c>
      <c r="E173" s="126" t="s">
        <v>65</v>
      </c>
      <c r="F173" s="126" t="s">
        <v>71</v>
      </c>
      <c r="G173" s="129" t="s">
        <v>788</v>
      </c>
      <c r="H173" s="64">
        <v>9599027223</v>
      </c>
      <c r="I173" s="128"/>
      <c r="J173" s="64" t="s">
        <v>86</v>
      </c>
      <c r="K173" s="126" t="s">
        <v>789</v>
      </c>
      <c r="L173" s="126" t="s">
        <v>76</v>
      </c>
      <c r="M173" s="126" t="s">
        <v>77</v>
      </c>
      <c r="N173" s="126"/>
      <c r="O173" s="130"/>
      <c r="P173" s="131"/>
      <c r="Q173" s="64"/>
      <c r="R173" s="126"/>
      <c r="S173" s="64"/>
    </row>
    <row r="174" spans="1:19" ht="15" customHeight="1">
      <c r="A174" s="122">
        <f t="shared" si="2"/>
        <v>173</v>
      </c>
      <c r="B174" s="138">
        <v>46046</v>
      </c>
      <c r="C174" s="126" t="s">
        <v>790</v>
      </c>
      <c r="D174" s="126" t="s">
        <v>791</v>
      </c>
      <c r="E174" s="126" t="s">
        <v>41</v>
      </c>
      <c r="F174" s="126" t="s">
        <v>32</v>
      </c>
      <c r="G174" s="129" t="s">
        <v>792</v>
      </c>
      <c r="H174" s="64">
        <v>8421001141</v>
      </c>
      <c r="I174" s="128" t="s">
        <v>793</v>
      </c>
      <c r="J174" s="64" t="s">
        <v>34</v>
      </c>
      <c r="K174" s="129" t="s">
        <v>794</v>
      </c>
      <c r="L174" s="126" t="s">
        <v>36</v>
      </c>
      <c r="M174" s="126" t="s">
        <v>37</v>
      </c>
      <c r="N174" s="126" t="s">
        <v>795</v>
      </c>
      <c r="O174" s="130">
        <v>46046</v>
      </c>
      <c r="P174" s="217">
        <v>626660</v>
      </c>
      <c r="Q174" s="154" t="s">
        <v>38</v>
      </c>
      <c r="R174" s="126" t="s">
        <v>796</v>
      </c>
      <c r="S174" s="1"/>
    </row>
    <row r="175" spans="1:19" ht="15" customHeight="1">
      <c r="A175" s="122">
        <f t="shared" si="2"/>
        <v>174</v>
      </c>
      <c r="B175" s="138">
        <v>46046</v>
      </c>
      <c r="C175" s="126" t="s">
        <v>797</v>
      </c>
      <c r="D175" s="126" t="s">
        <v>798</v>
      </c>
      <c r="E175" s="126" t="s">
        <v>41</v>
      </c>
      <c r="F175" s="126" t="s">
        <v>80</v>
      </c>
      <c r="G175" s="129" t="s">
        <v>350</v>
      </c>
      <c r="H175" s="64"/>
      <c r="I175" s="128" t="s">
        <v>799</v>
      </c>
      <c r="J175" s="64" t="s">
        <v>34</v>
      </c>
      <c r="K175" s="126" t="s">
        <v>800</v>
      </c>
      <c r="L175" s="126" t="s">
        <v>54</v>
      </c>
      <c r="M175" s="126" t="s">
        <v>69</v>
      </c>
      <c r="N175" s="126" t="s">
        <v>801</v>
      </c>
      <c r="O175" s="130">
        <v>46046</v>
      </c>
      <c r="P175" s="156">
        <v>2120000</v>
      </c>
      <c r="Q175" s="154" t="s">
        <v>124</v>
      </c>
      <c r="R175" s="126"/>
      <c r="S175" s="1"/>
    </row>
    <row r="176" spans="1:19" ht="15" customHeight="1">
      <c r="A176" s="122">
        <f t="shared" si="2"/>
        <v>175</v>
      </c>
      <c r="B176" s="138">
        <v>46046</v>
      </c>
      <c r="C176" s="126" t="s">
        <v>39</v>
      </c>
      <c r="D176" s="126" t="s">
        <v>802</v>
      </c>
      <c r="E176" s="126" t="s">
        <v>41</v>
      </c>
      <c r="F176" s="126" t="s">
        <v>80</v>
      </c>
      <c r="G176" s="129" t="s">
        <v>803</v>
      </c>
      <c r="H176" s="64"/>
      <c r="I176" s="128" t="s">
        <v>804</v>
      </c>
      <c r="J176" s="64" t="s">
        <v>34</v>
      </c>
      <c r="K176" s="129" t="s">
        <v>805</v>
      </c>
      <c r="L176" s="126" t="s">
        <v>36</v>
      </c>
      <c r="M176" s="126" t="s">
        <v>37</v>
      </c>
      <c r="N176" s="126" t="s">
        <v>806</v>
      </c>
      <c r="O176" s="130">
        <v>46046</v>
      </c>
      <c r="P176" s="217">
        <v>3540000</v>
      </c>
      <c r="Q176" s="154" t="s">
        <v>124</v>
      </c>
      <c r="R176" s="126"/>
      <c r="S176" s="1"/>
    </row>
    <row r="177" spans="1:19" ht="15" customHeight="1">
      <c r="A177" s="122">
        <f t="shared" si="2"/>
        <v>176</v>
      </c>
      <c r="B177" s="138">
        <v>46046</v>
      </c>
      <c r="C177" s="126" t="s">
        <v>39</v>
      </c>
      <c r="D177" s="126" t="s">
        <v>802</v>
      </c>
      <c r="E177" s="126" t="s">
        <v>41</v>
      </c>
      <c r="F177" s="126" t="s">
        <v>47</v>
      </c>
      <c r="G177" s="129" t="s">
        <v>807</v>
      </c>
      <c r="H177" s="64"/>
      <c r="I177" s="128" t="s">
        <v>804</v>
      </c>
      <c r="J177" s="64" t="s">
        <v>34</v>
      </c>
      <c r="K177" s="126" t="s">
        <v>805</v>
      </c>
      <c r="L177" s="126" t="s">
        <v>36</v>
      </c>
      <c r="M177" s="126" t="s">
        <v>37</v>
      </c>
      <c r="N177" s="126" t="s">
        <v>808</v>
      </c>
      <c r="O177" s="130">
        <v>46046</v>
      </c>
      <c r="P177" s="217">
        <v>3031903</v>
      </c>
      <c r="Q177" s="154" t="s">
        <v>124</v>
      </c>
      <c r="R177" s="126"/>
      <c r="S177" s="1"/>
    </row>
    <row r="178" spans="1:19" ht="15" customHeight="1">
      <c r="A178" s="122">
        <f t="shared" si="2"/>
        <v>177</v>
      </c>
      <c r="B178" s="138">
        <v>46046</v>
      </c>
      <c r="C178" s="126" t="s">
        <v>809</v>
      </c>
      <c r="D178" s="126" t="s">
        <v>810</v>
      </c>
      <c r="E178" s="126" t="s">
        <v>41</v>
      </c>
      <c r="F178" s="126" t="s">
        <v>32</v>
      </c>
      <c r="G178" s="129" t="s">
        <v>811</v>
      </c>
      <c r="H178" s="64">
        <v>9962317389</v>
      </c>
      <c r="I178" s="128" t="s">
        <v>812</v>
      </c>
      <c r="J178" s="64" t="s">
        <v>34</v>
      </c>
      <c r="K178" s="129" t="s">
        <v>813</v>
      </c>
      <c r="L178" s="126" t="s">
        <v>54</v>
      </c>
      <c r="M178" s="126" t="s">
        <v>55</v>
      </c>
      <c r="N178" s="126" t="s">
        <v>814</v>
      </c>
      <c r="O178" s="130">
        <v>46047</v>
      </c>
      <c r="P178" s="156">
        <v>461709</v>
      </c>
      <c r="Q178" s="154" t="s">
        <v>124</v>
      </c>
      <c r="R178" s="126"/>
      <c r="S178" s="1"/>
    </row>
    <row r="179" spans="1:19" ht="15" customHeight="1">
      <c r="A179" s="122">
        <f t="shared" si="2"/>
        <v>178</v>
      </c>
      <c r="B179" s="138">
        <v>46047</v>
      </c>
      <c r="C179" s="126" t="s">
        <v>815</v>
      </c>
      <c r="D179" s="126" t="s">
        <v>816</v>
      </c>
      <c r="E179" s="126" t="s">
        <v>308</v>
      </c>
      <c r="F179" s="126" t="s">
        <v>32</v>
      </c>
      <c r="G179" s="129" t="s">
        <v>817</v>
      </c>
      <c r="H179" s="64">
        <v>9717169450</v>
      </c>
      <c r="I179" s="128" t="s">
        <v>818</v>
      </c>
      <c r="J179" s="64" t="s">
        <v>99</v>
      </c>
      <c r="K179" s="126" t="s">
        <v>819</v>
      </c>
      <c r="L179" s="126" t="s">
        <v>54</v>
      </c>
      <c r="M179" s="126" t="s">
        <v>37</v>
      </c>
      <c r="N179" s="126" t="s">
        <v>820</v>
      </c>
      <c r="O179" s="130">
        <v>46047</v>
      </c>
      <c r="P179" s="156">
        <v>6300000</v>
      </c>
      <c r="Q179" s="154" t="s">
        <v>145</v>
      </c>
      <c r="R179" s="126" t="s">
        <v>821</v>
      </c>
      <c r="S179" s="1"/>
    </row>
    <row r="180" spans="1:19" ht="15" customHeight="1">
      <c r="A180" s="122">
        <f t="shared" si="2"/>
        <v>179</v>
      </c>
      <c r="B180" s="138">
        <v>46047</v>
      </c>
      <c r="C180" s="126" t="s">
        <v>822</v>
      </c>
      <c r="D180" s="126" t="s">
        <v>46</v>
      </c>
      <c r="E180" s="126" t="s">
        <v>41</v>
      </c>
      <c r="F180" s="126" t="s">
        <v>32</v>
      </c>
      <c r="G180" s="129" t="s">
        <v>817</v>
      </c>
      <c r="H180" s="64">
        <v>8550998499</v>
      </c>
      <c r="I180" s="128" t="s">
        <v>823</v>
      </c>
      <c r="J180" s="64" t="s">
        <v>34</v>
      </c>
      <c r="K180" s="129" t="s">
        <v>824</v>
      </c>
      <c r="L180" s="126" t="s">
        <v>54</v>
      </c>
      <c r="M180" s="126" t="s">
        <v>37</v>
      </c>
      <c r="N180" s="126" t="s">
        <v>825</v>
      </c>
      <c r="O180" s="130">
        <v>46047</v>
      </c>
      <c r="P180" s="217">
        <v>4486414</v>
      </c>
      <c r="Q180" s="154" t="s">
        <v>319</v>
      </c>
      <c r="R180" s="126"/>
    </row>
    <row r="181" spans="1:19">
      <c r="A181" s="122">
        <f t="shared" si="2"/>
        <v>180</v>
      </c>
      <c r="B181" s="138">
        <v>46047</v>
      </c>
      <c r="C181" s="126" t="s">
        <v>826</v>
      </c>
      <c r="D181" s="126" t="s">
        <v>827</v>
      </c>
      <c r="E181" s="126" t="s">
        <v>711</v>
      </c>
      <c r="F181" s="126" t="s">
        <v>32</v>
      </c>
      <c r="G181" s="129" t="s">
        <v>172</v>
      </c>
      <c r="H181" s="64">
        <v>9599027223</v>
      </c>
      <c r="I181" s="128" t="s">
        <v>828</v>
      </c>
      <c r="J181" s="64" t="s">
        <v>34</v>
      </c>
      <c r="K181" s="126" t="s">
        <v>829</v>
      </c>
      <c r="L181" s="126" t="s">
        <v>76</v>
      </c>
      <c r="M181" s="126" t="s">
        <v>55</v>
      </c>
      <c r="N181" s="126" t="s">
        <v>830</v>
      </c>
      <c r="O181" s="130">
        <v>46055</v>
      </c>
      <c r="P181" s="156">
        <v>35074740</v>
      </c>
      <c r="Q181" s="154" t="s">
        <v>38</v>
      </c>
      <c r="R181" s="126"/>
      <c r="S181" s="64"/>
    </row>
    <row r="182" spans="1:19" ht="30">
      <c r="A182" s="122">
        <f t="shared" si="2"/>
        <v>181</v>
      </c>
      <c r="B182" s="138">
        <v>46047</v>
      </c>
      <c r="C182" s="126" t="s">
        <v>831</v>
      </c>
      <c r="D182" s="126" t="s">
        <v>832</v>
      </c>
      <c r="E182" s="126" t="s">
        <v>41</v>
      </c>
      <c r="F182" s="126" t="s">
        <v>201</v>
      </c>
      <c r="G182" s="129" t="s">
        <v>833</v>
      </c>
      <c r="H182" s="64">
        <v>8097442480</v>
      </c>
      <c r="I182" s="128" t="s">
        <v>834</v>
      </c>
      <c r="J182" s="64" t="s">
        <v>248</v>
      </c>
      <c r="K182" s="129" t="s">
        <v>835</v>
      </c>
      <c r="L182" s="126" t="s">
        <v>76</v>
      </c>
      <c r="M182" s="126" t="s">
        <v>55</v>
      </c>
      <c r="N182" s="126"/>
      <c r="O182" s="130"/>
      <c r="P182" s="155"/>
      <c r="Q182" s="64"/>
      <c r="R182" s="126"/>
    </row>
    <row r="183" spans="1:19" ht="15" customHeight="1">
      <c r="A183" s="122">
        <f t="shared" si="2"/>
        <v>182</v>
      </c>
      <c r="B183" s="138">
        <v>46047</v>
      </c>
      <c r="C183" s="126" t="s">
        <v>836</v>
      </c>
      <c r="D183" s="126" t="s">
        <v>837</v>
      </c>
      <c r="E183" s="126" t="s">
        <v>89</v>
      </c>
      <c r="F183" s="126" t="s">
        <v>47</v>
      </c>
      <c r="G183" s="129" t="s">
        <v>838</v>
      </c>
      <c r="H183" s="64">
        <v>7465958911</v>
      </c>
      <c r="I183" s="128" t="s">
        <v>839</v>
      </c>
      <c r="J183" s="64" t="s">
        <v>86</v>
      </c>
      <c r="K183" s="126" t="s">
        <v>840</v>
      </c>
      <c r="L183" s="126" t="s">
        <v>76</v>
      </c>
      <c r="M183" s="126" t="s">
        <v>55</v>
      </c>
      <c r="N183" s="126"/>
      <c r="O183" s="130"/>
      <c r="P183" s="131"/>
      <c r="Q183" s="64"/>
      <c r="R183" s="126"/>
    </row>
    <row r="184" spans="1:19" ht="15" customHeight="1">
      <c r="A184" s="122">
        <f t="shared" si="2"/>
        <v>183</v>
      </c>
      <c r="B184" s="138">
        <v>46047</v>
      </c>
      <c r="C184" s="126"/>
      <c r="D184" s="126" t="s">
        <v>841</v>
      </c>
      <c r="E184" s="126" t="s">
        <v>131</v>
      </c>
      <c r="F184" s="126" t="s">
        <v>71</v>
      </c>
      <c r="G184" s="129" t="s">
        <v>241</v>
      </c>
      <c r="H184" s="64">
        <v>7812814381</v>
      </c>
      <c r="I184" s="128" t="s">
        <v>842</v>
      </c>
      <c r="J184" s="64" t="s">
        <v>81</v>
      </c>
      <c r="K184" s="126" t="s">
        <v>843</v>
      </c>
      <c r="L184" s="126" t="s">
        <v>76</v>
      </c>
      <c r="M184" s="126" t="s">
        <v>77</v>
      </c>
      <c r="N184" s="126"/>
      <c r="O184" s="130"/>
      <c r="P184" s="131"/>
      <c r="Q184" s="64"/>
      <c r="R184" s="126"/>
      <c r="S184" s="64"/>
    </row>
    <row r="185" spans="1:19" ht="15" customHeight="1">
      <c r="A185" s="122">
        <f t="shared" si="2"/>
        <v>184</v>
      </c>
      <c r="B185" s="138">
        <v>46047</v>
      </c>
      <c r="C185" s="126" t="s">
        <v>844</v>
      </c>
      <c r="D185" s="126" t="s">
        <v>845</v>
      </c>
      <c r="E185" s="126" t="s">
        <v>84</v>
      </c>
      <c r="F185" s="126" t="s">
        <v>71</v>
      </c>
      <c r="G185" s="129" t="s">
        <v>72</v>
      </c>
      <c r="H185" s="64">
        <v>9824660185</v>
      </c>
      <c r="I185" s="128" t="s">
        <v>846</v>
      </c>
      <c r="J185" s="64" t="s">
        <v>81</v>
      </c>
      <c r="K185" s="129" t="s">
        <v>847</v>
      </c>
      <c r="L185" s="126" t="s">
        <v>76</v>
      </c>
      <c r="M185" s="126" t="s">
        <v>77</v>
      </c>
      <c r="N185" s="126"/>
      <c r="O185" s="130"/>
      <c r="P185" s="131"/>
      <c r="Q185" s="64"/>
      <c r="R185" s="126"/>
    </row>
    <row r="186" spans="1:19" ht="15" customHeight="1">
      <c r="A186" s="122">
        <f t="shared" si="2"/>
        <v>185</v>
      </c>
      <c r="B186" s="138">
        <v>46047</v>
      </c>
      <c r="C186" s="126" t="s">
        <v>848</v>
      </c>
      <c r="D186" s="126" t="s">
        <v>849</v>
      </c>
      <c r="E186" s="126" t="s">
        <v>41</v>
      </c>
      <c r="F186" s="126" t="s">
        <v>71</v>
      </c>
      <c r="G186" s="129" t="s">
        <v>72</v>
      </c>
      <c r="H186" s="64">
        <v>9860728494</v>
      </c>
      <c r="I186" s="128" t="s">
        <v>850</v>
      </c>
      <c r="J186" s="64" t="s">
        <v>86</v>
      </c>
      <c r="K186" s="126" t="s">
        <v>851</v>
      </c>
      <c r="L186" s="126" t="s">
        <v>76</v>
      </c>
      <c r="M186" s="126" t="s">
        <v>77</v>
      </c>
      <c r="N186" s="126"/>
      <c r="O186" s="130"/>
      <c r="P186" s="131"/>
      <c r="Q186" s="64"/>
      <c r="R186" s="126"/>
      <c r="S186" s="64"/>
    </row>
    <row r="187" spans="1:19" ht="15" customHeight="1">
      <c r="A187" s="122">
        <f t="shared" si="2"/>
        <v>186</v>
      </c>
      <c r="B187" s="138">
        <v>46047</v>
      </c>
      <c r="C187" s="126"/>
      <c r="D187" s="126" t="s">
        <v>264</v>
      </c>
      <c r="E187" s="126" t="s">
        <v>41</v>
      </c>
      <c r="F187" s="126" t="s">
        <v>71</v>
      </c>
      <c r="G187" s="129" t="s">
        <v>852</v>
      </c>
      <c r="H187" s="64">
        <v>8726884671</v>
      </c>
      <c r="I187" s="128"/>
      <c r="J187" s="64" t="s">
        <v>248</v>
      </c>
      <c r="K187" s="129" t="s">
        <v>853</v>
      </c>
      <c r="L187" s="126" t="s">
        <v>76</v>
      </c>
      <c r="M187" s="126" t="s">
        <v>77</v>
      </c>
      <c r="N187" s="126"/>
      <c r="O187" s="130"/>
      <c r="P187" s="131"/>
      <c r="Q187" s="64"/>
      <c r="R187" s="126"/>
    </row>
    <row r="188" spans="1:19" ht="15" customHeight="1">
      <c r="A188" s="122">
        <f t="shared" si="2"/>
        <v>187</v>
      </c>
      <c r="B188" s="138">
        <v>46047</v>
      </c>
      <c r="C188" s="126"/>
      <c r="D188" s="126" t="s">
        <v>854</v>
      </c>
      <c r="E188" s="126" t="s">
        <v>206</v>
      </c>
      <c r="F188" s="126" t="s">
        <v>71</v>
      </c>
      <c r="G188" s="129" t="s">
        <v>855</v>
      </c>
      <c r="H188" s="64">
        <v>9580961464</v>
      </c>
      <c r="I188" s="128" t="s">
        <v>856</v>
      </c>
      <c r="J188" s="64" t="s">
        <v>272</v>
      </c>
      <c r="K188" s="126" t="s">
        <v>857</v>
      </c>
      <c r="L188" s="126" t="s">
        <v>76</v>
      </c>
      <c r="M188" s="126" t="s">
        <v>77</v>
      </c>
      <c r="N188" s="126"/>
      <c r="O188" s="130"/>
      <c r="P188" s="131"/>
      <c r="Q188" s="64"/>
      <c r="R188" s="126"/>
      <c r="S188" s="64"/>
    </row>
    <row r="189" spans="1:19" ht="15" customHeight="1">
      <c r="A189" s="122">
        <f t="shared" si="2"/>
        <v>188</v>
      </c>
      <c r="B189" s="138">
        <v>46047</v>
      </c>
      <c r="C189" s="126" t="s">
        <v>858</v>
      </c>
      <c r="D189" s="126" t="s">
        <v>859</v>
      </c>
      <c r="E189" s="126" t="s">
        <v>206</v>
      </c>
      <c r="F189" s="126" t="s">
        <v>32</v>
      </c>
      <c r="G189" s="129" t="s">
        <v>280</v>
      </c>
      <c r="H189" s="64">
        <v>8115362332</v>
      </c>
      <c r="I189" s="128" t="s">
        <v>860</v>
      </c>
      <c r="J189" s="64" t="s">
        <v>81</v>
      </c>
      <c r="K189" s="129" t="s">
        <v>861</v>
      </c>
      <c r="L189" s="126" t="s">
        <v>76</v>
      </c>
      <c r="M189" s="126" t="s">
        <v>69</v>
      </c>
      <c r="N189" s="126"/>
      <c r="O189" s="130"/>
      <c r="P189" s="131"/>
      <c r="Q189" s="64"/>
      <c r="R189" s="126"/>
    </row>
    <row r="190" spans="1:19" ht="15" customHeight="1">
      <c r="A190" s="122">
        <f t="shared" si="2"/>
        <v>189</v>
      </c>
      <c r="B190" s="138">
        <v>46047</v>
      </c>
      <c r="C190" s="126" t="s">
        <v>862</v>
      </c>
      <c r="D190" s="126" t="s">
        <v>863</v>
      </c>
      <c r="E190" s="126" t="s">
        <v>41</v>
      </c>
      <c r="F190" s="126" t="s">
        <v>32</v>
      </c>
      <c r="G190" s="129" t="s">
        <v>864</v>
      </c>
      <c r="H190" s="64">
        <v>8329843987</v>
      </c>
      <c r="I190" s="128" t="s">
        <v>865</v>
      </c>
      <c r="J190" s="64" t="s">
        <v>81</v>
      </c>
      <c r="K190" s="126" t="s">
        <v>866</v>
      </c>
      <c r="L190" s="126" t="s">
        <v>76</v>
      </c>
      <c r="M190" s="126" t="s">
        <v>55</v>
      </c>
      <c r="N190" s="126"/>
      <c r="O190" s="130"/>
      <c r="P190" s="131"/>
      <c r="Q190" s="64"/>
      <c r="R190" s="126"/>
      <c r="S190" s="64"/>
    </row>
    <row r="191" spans="1:19" ht="15" customHeight="1">
      <c r="A191" s="122">
        <f t="shared" si="2"/>
        <v>190</v>
      </c>
      <c r="B191" s="138">
        <v>46048</v>
      </c>
      <c r="C191" s="126"/>
      <c r="D191" s="126" t="s">
        <v>264</v>
      </c>
      <c r="E191" s="126" t="s">
        <v>41</v>
      </c>
      <c r="F191" s="126" t="s">
        <v>71</v>
      </c>
      <c r="G191" s="129" t="s">
        <v>867</v>
      </c>
      <c r="H191" s="64">
        <v>7709296482</v>
      </c>
      <c r="I191" s="128" t="s">
        <v>868</v>
      </c>
      <c r="J191" s="64" t="s">
        <v>99</v>
      </c>
      <c r="K191" s="129" t="s">
        <v>869</v>
      </c>
      <c r="L191" s="126" t="s">
        <v>76</v>
      </c>
      <c r="M191" s="126" t="s">
        <v>77</v>
      </c>
      <c r="N191" s="126"/>
      <c r="O191" s="130"/>
      <c r="P191" s="131"/>
      <c r="Q191" s="64"/>
      <c r="R191" s="126"/>
    </row>
    <row r="192" spans="1:19" ht="15" customHeight="1">
      <c r="A192" s="122">
        <f t="shared" si="2"/>
        <v>191</v>
      </c>
      <c r="B192" s="138">
        <v>46048</v>
      </c>
      <c r="C192" s="126" t="s">
        <v>870</v>
      </c>
      <c r="D192" s="126" t="s">
        <v>871</v>
      </c>
      <c r="E192" s="126" t="s">
        <v>131</v>
      </c>
      <c r="F192" s="126" t="s">
        <v>80</v>
      </c>
      <c r="G192" s="129" t="s">
        <v>300</v>
      </c>
      <c r="H192" s="64">
        <v>8973515704</v>
      </c>
      <c r="I192" s="128"/>
      <c r="J192" s="64" t="s">
        <v>272</v>
      </c>
      <c r="K192" s="126" t="s">
        <v>872</v>
      </c>
      <c r="L192" s="126" t="s">
        <v>76</v>
      </c>
      <c r="M192" s="126" t="s">
        <v>69</v>
      </c>
      <c r="N192" s="126"/>
      <c r="O192" s="130"/>
      <c r="P192" s="131"/>
      <c r="Q192" s="64"/>
      <c r="R192" s="126"/>
      <c r="S192" s="64"/>
    </row>
    <row r="193" spans="1:19" ht="15" customHeight="1">
      <c r="A193" s="122">
        <f t="shared" si="2"/>
        <v>192</v>
      </c>
      <c r="B193" s="138">
        <v>46048</v>
      </c>
      <c r="C193" s="126"/>
      <c r="D193" s="126" t="s">
        <v>873</v>
      </c>
      <c r="E193" s="126"/>
      <c r="F193" s="126" t="s">
        <v>32</v>
      </c>
      <c r="G193" s="129" t="s">
        <v>874</v>
      </c>
      <c r="H193" s="64">
        <v>9822772160</v>
      </c>
      <c r="I193" s="128" t="s">
        <v>875</v>
      </c>
      <c r="J193" s="64" t="s">
        <v>81</v>
      </c>
      <c r="K193" s="129" t="s">
        <v>876</v>
      </c>
      <c r="L193" s="126" t="s">
        <v>101</v>
      </c>
      <c r="M193" s="126" t="s">
        <v>55</v>
      </c>
      <c r="N193" s="126"/>
      <c r="O193" s="130"/>
      <c r="P193" s="131"/>
      <c r="Q193" s="64"/>
      <c r="R193" s="126"/>
    </row>
    <row r="194" spans="1:19" ht="15" customHeight="1">
      <c r="A194" s="122">
        <f t="shared" ref="A194:A257" si="3">ROW()-1</f>
        <v>193</v>
      </c>
      <c r="B194" s="138">
        <v>46048</v>
      </c>
      <c r="C194" s="126" t="s">
        <v>877</v>
      </c>
      <c r="D194" s="126" t="s">
        <v>878</v>
      </c>
      <c r="E194" s="126"/>
      <c r="F194" s="126" t="s">
        <v>32</v>
      </c>
      <c r="G194" s="129" t="s">
        <v>874</v>
      </c>
      <c r="H194" s="157">
        <v>9234385101</v>
      </c>
      <c r="I194" s="128" t="s">
        <v>879</v>
      </c>
      <c r="J194" s="64" t="s">
        <v>81</v>
      </c>
      <c r="K194" s="129" t="s">
        <v>880</v>
      </c>
      <c r="L194" s="126" t="s">
        <v>101</v>
      </c>
      <c r="M194" s="126" t="s">
        <v>55</v>
      </c>
      <c r="N194" s="126"/>
      <c r="O194" s="130"/>
      <c r="P194" s="131"/>
      <c r="Q194" s="64"/>
      <c r="R194" s="126"/>
      <c r="S194" s="64"/>
    </row>
    <row r="195" spans="1:19" ht="15" customHeight="1">
      <c r="A195" s="158">
        <f t="shared" si="3"/>
        <v>194</v>
      </c>
      <c r="B195" s="138">
        <v>46048</v>
      </c>
      <c r="C195" s="159"/>
      <c r="D195" s="126" t="s">
        <v>407</v>
      </c>
      <c r="E195" s="126" t="s">
        <v>84</v>
      </c>
      <c r="F195" s="126" t="s">
        <v>71</v>
      </c>
      <c r="G195" s="129" t="s">
        <v>867</v>
      </c>
      <c r="H195" s="157">
        <v>7487903754</v>
      </c>
      <c r="I195" s="128"/>
      <c r="J195" s="154" t="s">
        <v>272</v>
      </c>
      <c r="K195" s="129" t="s">
        <v>881</v>
      </c>
      <c r="L195" s="126" t="s">
        <v>101</v>
      </c>
      <c r="M195" s="126" t="s">
        <v>77</v>
      </c>
      <c r="N195" s="126"/>
      <c r="O195" s="161"/>
      <c r="P195" s="131"/>
      <c r="Q195" s="154"/>
      <c r="R195" s="126"/>
      <c r="S195" s="1"/>
    </row>
    <row r="196" spans="1:19" ht="15" customHeight="1">
      <c r="A196" s="122">
        <f t="shared" si="3"/>
        <v>195</v>
      </c>
      <c r="B196" s="138">
        <v>46048</v>
      </c>
      <c r="C196" s="126"/>
      <c r="D196" s="126" t="s">
        <v>882</v>
      </c>
      <c r="E196" s="126" t="s">
        <v>131</v>
      </c>
      <c r="F196" s="126" t="s">
        <v>117</v>
      </c>
      <c r="G196" s="129" t="s">
        <v>275</v>
      </c>
      <c r="H196" s="64">
        <v>9629945417</v>
      </c>
      <c r="I196" s="128" t="s">
        <v>883</v>
      </c>
      <c r="J196" s="64" t="s">
        <v>81</v>
      </c>
      <c r="K196" s="129" t="s">
        <v>884</v>
      </c>
      <c r="L196" s="126" t="s">
        <v>76</v>
      </c>
      <c r="M196" s="126" t="s">
        <v>55</v>
      </c>
      <c r="N196" s="126"/>
      <c r="O196" s="130"/>
      <c r="P196" s="131"/>
      <c r="Q196" s="64"/>
      <c r="R196" s="126"/>
    </row>
    <row r="197" spans="1:19" ht="15" customHeight="1">
      <c r="A197" s="122">
        <f t="shared" si="3"/>
        <v>196</v>
      </c>
      <c r="B197" s="138">
        <v>46049</v>
      </c>
      <c r="C197" s="126" t="s">
        <v>885</v>
      </c>
      <c r="D197" s="126" t="s">
        <v>886</v>
      </c>
      <c r="E197" s="126" t="s">
        <v>84</v>
      </c>
      <c r="F197" s="126" t="s">
        <v>80</v>
      </c>
      <c r="G197" s="129" t="s">
        <v>887</v>
      </c>
      <c r="H197" s="64">
        <v>9924262082</v>
      </c>
      <c r="I197" s="128"/>
      <c r="J197" s="64" t="s">
        <v>99</v>
      </c>
      <c r="K197" s="126" t="s">
        <v>888</v>
      </c>
      <c r="L197" s="126" t="s">
        <v>76</v>
      </c>
      <c r="M197" s="126" t="s">
        <v>55</v>
      </c>
      <c r="N197" s="126"/>
      <c r="O197" s="130"/>
      <c r="P197" s="131"/>
      <c r="Q197" s="64"/>
      <c r="R197" s="126"/>
      <c r="S197" s="64"/>
    </row>
    <row r="198" spans="1:19" ht="15" customHeight="1">
      <c r="A198" s="122">
        <f t="shared" si="3"/>
        <v>197</v>
      </c>
      <c r="B198" s="138">
        <v>46049</v>
      </c>
      <c r="C198" s="126" t="s">
        <v>889</v>
      </c>
      <c r="D198" s="126" t="s">
        <v>889</v>
      </c>
      <c r="E198" s="126" t="s">
        <v>84</v>
      </c>
      <c r="F198" s="126" t="s">
        <v>90</v>
      </c>
      <c r="G198" s="129" t="s">
        <v>890</v>
      </c>
      <c r="H198" s="64">
        <v>8551096523</v>
      </c>
      <c r="I198" s="128" t="s">
        <v>891</v>
      </c>
      <c r="J198" s="64" t="s">
        <v>81</v>
      </c>
      <c r="K198" s="129" t="s">
        <v>892</v>
      </c>
      <c r="L198" s="126" t="s">
        <v>76</v>
      </c>
      <c r="M198" s="126" t="s">
        <v>55</v>
      </c>
      <c r="N198" s="126"/>
      <c r="O198" s="130"/>
      <c r="P198" s="131"/>
      <c r="Q198" s="64"/>
      <c r="R198" s="126"/>
    </row>
    <row r="199" spans="1:19" ht="15" customHeight="1">
      <c r="A199" s="122">
        <f t="shared" si="3"/>
        <v>198</v>
      </c>
      <c r="B199" s="138">
        <v>46049</v>
      </c>
      <c r="C199" s="126" t="s">
        <v>893</v>
      </c>
      <c r="D199" s="126" t="s">
        <v>894</v>
      </c>
      <c r="E199" s="126" t="s">
        <v>41</v>
      </c>
      <c r="F199" s="126" t="s">
        <v>80</v>
      </c>
      <c r="G199" s="129" t="s">
        <v>895</v>
      </c>
      <c r="H199" s="64">
        <v>9860832025</v>
      </c>
      <c r="I199" s="128" t="s">
        <v>896</v>
      </c>
      <c r="J199" s="64" t="s">
        <v>34</v>
      </c>
      <c r="K199" s="129" t="s">
        <v>897</v>
      </c>
      <c r="L199" s="126" t="s">
        <v>36</v>
      </c>
      <c r="M199" s="126" t="s">
        <v>37</v>
      </c>
      <c r="N199" s="126" t="s">
        <v>898</v>
      </c>
      <c r="O199" s="130">
        <v>46049</v>
      </c>
      <c r="P199" s="217"/>
      <c r="Q199" s="154" t="s">
        <v>124</v>
      </c>
      <c r="R199" s="126"/>
    </row>
    <row r="200" spans="1:19" ht="15" customHeight="1">
      <c r="A200" s="122">
        <f t="shared" si="3"/>
        <v>199</v>
      </c>
      <c r="B200" s="138">
        <v>46049</v>
      </c>
      <c r="C200" s="126" t="s">
        <v>899</v>
      </c>
      <c r="D200" s="126" t="s">
        <v>900</v>
      </c>
      <c r="E200" s="126"/>
      <c r="F200" s="126" t="s">
        <v>90</v>
      </c>
      <c r="G200" s="129" t="s">
        <v>899</v>
      </c>
      <c r="H200" s="64">
        <v>9012103048</v>
      </c>
      <c r="I200" s="128" t="s">
        <v>901</v>
      </c>
      <c r="J200" s="64" t="s">
        <v>81</v>
      </c>
      <c r="K200" s="126"/>
      <c r="L200" s="126" t="s">
        <v>76</v>
      </c>
      <c r="M200" s="126" t="s">
        <v>69</v>
      </c>
      <c r="N200" s="126"/>
      <c r="O200" s="130"/>
      <c r="P200" s="155"/>
      <c r="Q200" s="64"/>
      <c r="R200" s="126"/>
      <c r="S200" s="64"/>
    </row>
    <row r="201" spans="1:19" ht="15" customHeight="1">
      <c r="A201" s="122">
        <f t="shared" si="3"/>
        <v>200</v>
      </c>
      <c r="B201" s="138">
        <v>46049</v>
      </c>
      <c r="C201" s="126" t="s">
        <v>902</v>
      </c>
      <c r="D201" s="126" t="s">
        <v>903</v>
      </c>
      <c r="E201" s="126" t="s">
        <v>41</v>
      </c>
      <c r="F201" s="126" t="s">
        <v>80</v>
      </c>
      <c r="G201" s="129" t="s">
        <v>260</v>
      </c>
      <c r="H201" s="64">
        <v>8855803220</v>
      </c>
      <c r="I201" s="128" t="s">
        <v>904</v>
      </c>
      <c r="J201" s="64" t="s">
        <v>86</v>
      </c>
      <c r="K201" s="129" t="s">
        <v>905</v>
      </c>
      <c r="L201" s="126" t="s">
        <v>76</v>
      </c>
      <c r="M201" s="126" t="s">
        <v>69</v>
      </c>
      <c r="N201" s="126"/>
      <c r="O201" s="130"/>
      <c r="P201" s="131"/>
      <c r="Q201" s="64"/>
      <c r="R201" s="126"/>
    </row>
    <row r="202" spans="1:19" ht="15" customHeight="1">
      <c r="A202" s="122">
        <f t="shared" si="3"/>
        <v>201</v>
      </c>
      <c r="B202" s="138">
        <v>46049</v>
      </c>
      <c r="C202" s="126"/>
      <c r="D202" s="126" t="s">
        <v>264</v>
      </c>
      <c r="E202" s="126" t="s">
        <v>41</v>
      </c>
      <c r="F202" s="126" t="s">
        <v>32</v>
      </c>
      <c r="G202" s="129" t="s">
        <v>906</v>
      </c>
      <c r="H202" s="64">
        <v>7391098384</v>
      </c>
      <c r="I202" s="128"/>
      <c r="J202" s="64" t="s">
        <v>99</v>
      </c>
      <c r="K202" s="126" t="s">
        <v>907</v>
      </c>
      <c r="L202" s="126" t="s">
        <v>76</v>
      </c>
      <c r="M202" s="126" t="s">
        <v>69</v>
      </c>
      <c r="N202" s="126"/>
      <c r="O202" s="130"/>
      <c r="P202" s="131"/>
      <c r="Q202" s="64"/>
      <c r="R202" s="126"/>
      <c r="S202" s="64"/>
    </row>
    <row r="203" spans="1:19" ht="15" customHeight="1">
      <c r="A203" s="122">
        <f t="shared" si="3"/>
        <v>202</v>
      </c>
      <c r="B203" s="138">
        <v>46049</v>
      </c>
      <c r="C203" s="126" t="s">
        <v>908</v>
      </c>
      <c r="D203" s="126" t="s">
        <v>909</v>
      </c>
      <c r="E203" s="126" t="s">
        <v>65</v>
      </c>
      <c r="F203" s="126" t="s">
        <v>201</v>
      </c>
      <c r="G203" s="129" t="s">
        <v>833</v>
      </c>
      <c r="H203" s="64">
        <v>9866987303</v>
      </c>
      <c r="I203" s="128" t="s">
        <v>910</v>
      </c>
      <c r="J203" s="64" t="s">
        <v>86</v>
      </c>
      <c r="K203" s="129" t="s">
        <v>911</v>
      </c>
      <c r="L203" s="126" t="s">
        <v>76</v>
      </c>
      <c r="M203" s="126" t="s">
        <v>55</v>
      </c>
      <c r="N203" s="126"/>
      <c r="O203" s="130"/>
      <c r="P203" s="131"/>
      <c r="Q203" s="64"/>
      <c r="R203" s="126"/>
    </row>
    <row r="204" spans="1:19" ht="15" customHeight="1">
      <c r="A204" s="122">
        <f t="shared" si="3"/>
        <v>203</v>
      </c>
      <c r="B204" s="138">
        <v>46049</v>
      </c>
      <c r="C204" s="126" t="s">
        <v>912</v>
      </c>
      <c r="D204" s="126" t="s">
        <v>240</v>
      </c>
      <c r="E204" s="126" t="s">
        <v>84</v>
      </c>
      <c r="F204" s="126" t="s">
        <v>32</v>
      </c>
      <c r="G204" s="129" t="s">
        <v>697</v>
      </c>
      <c r="H204" s="64">
        <v>7228017197</v>
      </c>
      <c r="I204" s="128" t="s">
        <v>913</v>
      </c>
      <c r="J204" s="64" t="s">
        <v>81</v>
      </c>
      <c r="K204" s="126"/>
      <c r="L204" s="126" t="s">
        <v>76</v>
      </c>
      <c r="M204" s="126" t="s">
        <v>55</v>
      </c>
      <c r="N204" s="126"/>
      <c r="O204" s="130"/>
      <c r="P204" s="131"/>
      <c r="Q204" s="64"/>
      <c r="R204" s="126"/>
      <c r="S204" s="64"/>
    </row>
    <row r="205" spans="1:19" ht="15" customHeight="1">
      <c r="A205" s="122">
        <f t="shared" si="3"/>
        <v>204</v>
      </c>
      <c r="B205" s="138">
        <v>46049</v>
      </c>
      <c r="C205" s="126" t="s">
        <v>914</v>
      </c>
      <c r="D205" s="126" t="s">
        <v>915</v>
      </c>
      <c r="E205" s="126" t="s">
        <v>84</v>
      </c>
      <c r="F205" s="126" t="s">
        <v>32</v>
      </c>
      <c r="G205" s="129" t="s">
        <v>916</v>
      </c>
      <c r="H205" s="64">
        <v>9408120406</v>
      </c>
      <c r="I205" s="128"/>
      <c r="J205" s="64" t="s">
        <v>272</v>
      </c>
      <c r="K205" s="129" t="s">
        <v>917</v>
      </c>
      <c r="L205" s="126" t="s">
        <v>101</v>
      </c>
      <c r="M205" s="126" t="s">
        <v>55</v>
      </c>
      <c r="N205" s="126"/>
      <c r="O205" s="130"/>
      <c r="P205" s="131"/>
      <c r="Q205" s="64"/>
      <c r="R205" s="126"/>
    </row>
    <row r="206" spans="1:19" ht="15" customHeight="1">
      <c r="A206" s="158">
        <f t="shared" si="3"/>
        <v>205</v>
      </c>
      <c r="B206" s="138">
        <v>46049</v>
      </c>
      <c r="C206" s="159"/>
      <c r="D206" s="126" t="s">
        <v>918</v>
      </c>
      <c r="E206" s="126" t="s">
        <v>131</v>
      </c>
      <c r="F206" s="126" t="s">
        <v>32</v>
      </c>
      <c r="G206" s="129" t="s">
        <v>481</v>
      </c>
      <c r="H206" s="64">
        <v>9600625292</v>
      </c>
      <c r="I206" s="129"/>
      <c r="J206" s="154" t="s">
        <v>272</v>
      </c>
      <c r="K206" s="126" t="s">
        <v>919</v>
      </c>
      <c r="L206" s="126" t="s">
        <v>101</v>
      </c>
      <c r="M206" s="126" t="s">
        <v>69</v>
      </c>
      <c r="N206" s="126"/>
      <c r="O206" s="161"/>
      <c r="P206" s="131"/>
      <c r="Q206" s="154"/>
      <c r="R206" s="126"/>
    </row>
    <row r="207" spans="1:19" ht="15" customHeight="1">
      <c r="A207" s="158">
        <f t="shared" si="3"/>
        <v>206</v>
      </c>
      <c r="B207" s="138">
        <v>46049</v>
      </c>
      <c r="C207" s="129" t="s">
        <v>920</v>
      </c>
      <c r="D207" s="126" t="s">
        <v>921</v>
      </c>
      <c r="E207" s="126" t="s">
        <v>41</v>
      </c>
      <c r="F207" s="126" t="s">
        <v>32</v>
      </c>
      <c r="G207" s="129" t="s">
        <v>899</v>
      </c>
      <c r="H207" s="64">
        <v>7021961520</v>
      </c>
      <c r="I207" s="129" t="s">
        <v>922</v>
      </c>
      <c r="J207" s="154" t="s">
        <v>272</v>
      </c>
      <c r="K207" s="129" t="s">
        <v>923</v>
      </c>
      <c r="L207" s="126" t="s">
        <v>101</v>
      </c>
      <c r="M207" s="126" t="s">
        <v>55</v>
      </c>
      <c r="N207" s="126"/>
      <c r="O207" s="161"/>
      <c r="P207" s="131"/>
      <c r="Q207" s="154"/>
      <c r="R207" s="126"/>
    </row>
    <row r="208" spans="1:19" ht="15" customHeight="1">
      <c r="A208" s="158">
        <f t="shared" si="3"/>
        <v>207</v>
      </c>
      <c r="B208" s="138">
        <v>46050</v>
      </c>
      <c r="C208" s="129" t="s">
        <v>924</v>
      </c>
      <c r="D208" s="126" t="s">
        <v>730</v>
      </c>
      <c r="E208" s="126" t="s">
        <v>657</v>
      </c>
      <c r="F208" s="126" t="s">
        <v>32</v>
      </c>
      <c r="G208" s="129" t="s">
        <v>899</v>
      </c>
      <c r="H208" s="64">
        <v>8247791534</v>
      </c>
      <c r="I208" s="129" t="s">
        <v>925</v>
      </c>
      <c r="J208" s="154" t="s">
        <v>81</v>
      </c>
      <c r="K208" s="129" t="s">
        <v>926</v>
      </c>
      <c r="L208" s="126" t="s">
        <v>101</v>
      </c>
      <c r="M208" s="126" t="s">
        <v>69</v>
      </c>
      <c r="N208" s="126"/>
      <c r="O208" s="161"/>
      <c r="P208" s="131"/>
      <c r="Q208" s="154"/>
      <c r="R208" s="126"/>
    </row>
    <row r="209" spans="1:18" ht="15" customHeight="1">
      <c r="A209" s="158">
        <f t="shared" si="3"/>
        <v>208</v>
      </c>
      <c r="B209" s="138">
        <v>46050</v>
      </c>
      <c r="C209" s="159"/>
      <c r="D209" s="159" t="s">
        <v>927</v>
      </c>
      <c r="E209" s="126" t="s">
        <v>58</v>
      </c>
      <c r="F209" s="126" t="s">
        <v>71</v>
      </c>
      <c r="G209" s="129" t="s">
        <v>928</v>
      </c>
      <c r="H209" s="64">
        <v>9644699562</v>
      </c>
      <c r="I209" s="129" t="s">
        <v>929</v>
      </c>
      <c r="J209" s="154" t="s">
        <v>81</v>
      </c>
      <c r="K209" s="129" t="s">
        <v>930</v>
      </c>
      <c r="L209" s="126" t="s">
        <v>76</v>
      </c>
      <c r="M209" s="126" t="s">
        <v>77</v>
      </c>
      <c r="N209" s="126"/>
      <c r="O209" s="161"/>
      <c r="P209" s="131"/>
      <c r="Q209" s="154"/>
      <c r="R209" s="126"/>
    </row>
    <row r="210" spans="1:18" ht="15" customHeight="1">
      <c r="A210" s="158">
        <f t="shared" si="3"/>
        <v>209</v>
      </c>
      <c r="B210" s="138">
        <v>46050</v>
      </c>
      <c r="C210" s="159" t="s">
        <v>931</v>
      </c>
      <c r="D210" s="126" t="s">
        <v>932</v>
      </c>
      <c r="E210" s="126" t="s">
        <v>84</v>
      </c>
      <c r="F210" s="126" t="s">
        <v>90</v>
      </c>
      <c r="G210" s="129" t="s">
        <v>423</v>
      </c>
      <c r="H210" s="64">
        <v>8866231939</v>
      </c>
      <c r="I210" s="129" t="s">
        <v>933</v>
      </c>
      <c r="J210" s="154" t="s">
        <v>81</v>
      </c>
      <c r="K210" s="129" t="s">
        <v>934</v>
      </c>
      <c r="L210" s="126" t="s">
        <v>76</v>
      </c>
      <c r="M210" s="126" t="s">
        <v>55</v>
      </c>
      <c r="N210" s="126"/>
      <c r="O210" s="161"/>
      <c r="P210" s="131"/>
      <c r="Q210" s="154"/>
      <c r="R210" s="126"/>
    </row>
    <row r="211" spans="1:18" ht="15" customHeight="1">
      <c r="A211" s="158">
        <f t="shared" si="3"/>
        <v>210</v>
      </c>
      <c r="B211" s="138">
        <v>46050</v>
      </c>
      <c r="C211" s="159" t="s">
        <v>935</v>
      </c>
      <c r="D211" s="126" t="s">
        <v>240</v>
      </c>
      <c r="E211" s="126" t="s">
        <v>84</v>
      </c>
      <c r="F211" s="126" t="s">
        <v>71</v>
      </c>
      <c r="G211" s="129" t="s">
        <v>936</v>
      </c>
      <c r="H211" s="64">
        <v>7984621326</v>
      </c>
      <c r="I211" s="129" t="s">
        <v>240</v>
      </c>
      <c r="J211" s="154" t="s">
        <v>81</v>
      </c>
      <c r="K211" s="2" t="s">
        <v>937</v>
      </c>
      <c r="L211" s="126" t="s">
        <v>76</v>
      </c>
      <c r="M211" s="126" t="s">
        <v>77</v>
      </c>
      <c r="N211" s="126"/>
      <c r="O211" s="130"/>
      <c r="P211" s="217"/>
      <c r="Q211" s="154"/>
      <c r="R211" s="126"/>
    </row>
    <row r="212" spans="1:18" ht="15" customHeight="1">
      <c r="A212" s="158">
        <f t="shared" si="3"/>
        <v>211</v>
      </c>
      <c r="B212" s="138">
        <v>46050</v>
      </c>
      <c r="C212" s="159"/>
      <c r="D212" s="126" t="s">
        <v>938</v>
      </c>
      <c r="E212" s="126" t="s">
        <v>771</v>
      </c>
      <c r="F212" s="126" t="s">
        <v>71</v>
      </c>
      <c r="G212" s="129" t="s">
        <v>939</v>
      </c>
      <c r="H212" s="64">
        <v>9781641208</v>
      </c>
      <c r="I212" s="129" t="s">
        <v>940</v>
      </c>
      <c r="J212" s="154" t="s">
        <v>248</v>
      </c>
      <c r="K212" s="159" t="s">
        <v>941</v>
      </c>
      <c r="L212" s="126" t="s">
        <v>76</v>
      </c>
      <c r="M212" s="126" t="s">
        <v>77</v>
      </c>
      <c r="N212" s="126"/>
      <c r="O212" s="161"/>
      <c r="P212" s="155"/>
      <c r="Q212" s="154"/>
      <c r="R212" s="126"/>
    </row>
    <row r="213" spans="1:18" ht="15" customHeight="1">
      <c r="A213" s="158">
        <f t="shared" si="3"/>
        <v>212</v>
      </c>
      <c r="B213" s="138">
        <v>46050</v>
      </c>
      <c r="C213" s="159" t="s">
        <v>942</v>
      </c>
      <c r="D213" s="126" t="s">
        <v>943</v>
      </c>
      <c r="E213" s="126" t="s">
        <v>308</v>
      </c>
      <c r="F213" s="126" t="s">
        <v>32</v>
      </c>
      <c r="G213" s="129" t="s">
        <v>944</v>
      </c>
      <c r="H213" s="64">
        <v>7014917957</v>
      </c>
      <c r="I213" s="129"/>
      <c r="J213" s="154" t="s">
        <v>81</v>
      </c>
      <c r="K213" s="159" t="s">
        <v>945</v>
      </c>
      <c r="L213" s="126" t="s">
        <v>76</v>
      </c>
      <c r="M213" s="126" t="s">
        <v>69</v>
      </c>
      <c r="N213" s="126"/>
      <c r="O213" s="161"/>
      <c r="P213" s="131"/>
      <c r="Q213" s="154"/>
      <c r="R213" s="126"/>
    </row>
    <row r="214" spans="1:18" ht="15" customHeight="1">
      <c r="A214" s="158">
        <f t="shared" si="3"/>
        <v>213</v>
      </c>
      <c r="B214" s="138">
        <v>46050</v>
      </c>
      <c r="C214" s="159" t="s">
        <v>355</v>
      </c>
      <c r="D214" s="126" t="s">
        <v>946</v>
      </c>
      <c r="E214" s="126" t="s">
        <v>65</v>
      </c>
      <c r="F214" s="126" t="s">
        <v>80</v>
      </c>
      <c r="G214" s="129" t="s">
        <v>947</v>
      </c>
      <c r="H214" s="64"/>
      <c r="I214" s="129" t="s">
        <v>948</v>
      </c>
      <c r="J214" s="154" t="s">
        <v>74</v>
      </c>
      <c r="K214" s="2" t="s">
        <v>949</v>
      </c>
      <c r="L214" s="126" t="s">
        <v>54</v>
      </c>
      <c r="M214" s="126" t="s">
        <v>368</v>
      </c>
      <c r="N214" s="126" t="s">
        <v>950</v>
      </c>
      <c r="O214" s="130">
        <v>46050</v>
      </c>
      <c r="P214" s="217">
        <v>395000</v>
      </c>
      <c r="Q214" s="154" t="s">
        <v>124</v>
      </c>
      <c r="R214" s="126"/>
    </row>
    <row r="215" spans="1:18" ht="15" customHeight="1">
      <c r="A215" s="158">
        <f t="shared" si="3"/>
        <v>214</v>
      </c>
      <c r="B215" s="138">
        <v>46050</v>
      </c>
      <c r="C215" s="159" t="s">
        <v>815</v>
      </c>
      <c r="D215" s="126" t="s">
        <v>46</v>
      </c>
      <c r="E215" s="126" t="s">
        <v>41</v>
      </c>
      <c r="F215" s="126" t="s">
        <v>42</v>
      </c>
      <c r="G215" s="129" t="s">
        <v>951</v>
      </c>
      <c r="H215" s="64"/>
      <c r="I215" s="129" t="s">
        <v>952</v>
      </c>
      <c r="J215" s="154" t="s">
        <v>34</v>
      </c>
      <c r="K215" s="162" t="s">
        <v>953</v>
      </c>
      <c r="L215" s="126" t="s">
        <v>54</v>
      </c>
      <c r="M215" s="126" t="s">
        <v>37</v>
      </c>
      <c r="N215" s="126" t="s">
        <v>954</v>
      </c>
      <c r="O215" s="130">
        <v>46050</v>
      </c>
      <c r="P215" s="137">
        <v>225000</v>
      </c>
      <c r="Q215" s="143" t="s">
        <v>336</v>
      </c>
      <c r="R215" s="126"/>
    </row>
    <row r="216" spans="1:18" ht="15" customHeight="1">
      <c r="A216" s="158">
        <f t="shared" si="3"/>
        <v>215</v>
      </c>
      <c r="B216" s="138">
        <v>46050</v>
      </c>
      <c r="C216" s="159" t="s">
        <v>815</v>
      </c>
      <c r="D216" s="126" t="s">
        <v>46</v>
      </c>
      <c r="E216" s="126" t="s">
        <v>41</v>
      </c>
      <c r="F216" s="126" t="s">
        <v>71</v>
      </c>
      <c r="G216" s="129" t="s">
        <v>955</v>
      </c>
      <c r="H216" s="1"/>
      <c r="I216" s="129" t="s">
        <v>956</v>
      </c>
      <c r="J216" s="154" t="s">
        <v>34</v>
      </c>
      <c r="K216" s="162" t="s">
        <v>957</v>
      </c>
      <c r="L216" s="126" t="s">
        <v>54</v>
      </c>
      <c r="M216" s="126" t="s">
        <v>37</v>
      </c>
      <c r="N216" s="126" t="s">
        <v>958</v>
      </c>
      <c r="O216" s="130">
        <v>46050</v>
      </c>
      <c r="P216" s="137"/>
      <c r="Q216" s="143" t="s">
        <v>336</v>
      </c>
      <c r="R216" s="126"/>
    </row>
    <row r="217" spans="1:18" ht="15" customHeight="1">
      <c r="A217" s="158">
        <f t="shared" si="3"/>
        <v>216</v>
      </c>
      <c r="B217" s="138">
        <v>46052</v>
      </c>
      <c r="C217" s="159" t="s">
        <v>959</v>
      </c>
      <c r="D217" s="126" t="s">
        <v>324</v>
      </c>
      <c r="E217" s="126" t="s">
        <v>41</v>
      </c>
      <c r="F217" s="126" t="s">
        <v>117</v>
      </c>
      <c r="G217" s="129" t="s">
        <v>960</v>
      </c>
      <c r="H217" s="64"/>
      <c r="I217" s="129" t="s">
        <v>961</v>
      </c>
      <c r="J217" s="154" t="s">
        <v>74</v>
      </c>
      <c r="K217" s="129" t="s">
        <v>962</v>
      </c>
      <c r="L217" s="126" t="s">
        <v>54</v>
      </c>
      <c r="M217" s="126" t="s">
        <v>37</v>
      </c>
      <c r="N217" s="126" t="s">
        <v>689</v>
      </c>
      <c r="O217" s="130">
        <v>46050</v>
      </c>
      <c r="P217" s="217" t="s">
        <v>963</v>
      </c>
      <c r="Q217" s="154" t="s">
        <v>78</v>
      </c>
      <c r="R217" s="126"/>
    </row>
    <row r="218" spans="1:18" ht="15" customHeight="1">
      <c r="A218" s="158">
        <f t="shared" si="3"/>
        <v>217</v>
      </c>
      <c r="B218" s="138">
        <v>46051</v>
      </c>
      <c r="C218" s="159" t="s">
        <v>964</v>
      </c>
      <c r="D218" s="126" t="s">
        <v>965</v>
      </c>
      <c r="E218" s="126" t="s">
        <v>41</v>
      </c>
      <c r="F218" s="126" t="s">
        <v>71</v>
      </c>
      <c r="G218" s="129" t="s">
        <v>745</v>
      </c>
      <c r="H218" s="64">
        <v>9527780008</v>
      </c>
      <c r="I218" s="129" t="s">
        <v>966</v>
      </c>
      <c r="J218" s="154" t="s">
        <v>34</v>
      </c>
      <c r="K218" s="129" t="s">
        <v>967</v>
      </c>
      <c r="L218" s="126" t="s">
        <v>76</v>
      </c>
      <c r="M218" s="126" t="s">
        <v>77</v>
      </c>
      <c r="N218" s="126"/>
      <c r="O218" s="161"/>
      <c r="P218" s="218"/>
      <c r="Q218" s="154"/>
      <c r="R218" s="126"/>
    </row>
    <row r="219" spans="1:18" ht="15" customHeight="1">
      <c r="A219" s="158">
        <f t="shared" si="3"/>
        <v>218</v>
      </c>
      <c r="B219" s="138">
        <v>46051</v>
      </c>
      <c r="C219" s="159"/>
      <c r="D219" s="126" t="s">
        <v>968</v>
      </c>
      <c r="E219" s="126" t="s">
        <v>84</v>
      </c>
      <c r="F219" s="126" t="s">
        <v>80</v>
      </c>
      <c r="G219" s="129" t="s">
        <v>260</v>
      </c>
      <c r="H219" s="64">
        <v>9825086570</v>
      </c>
      <c r="I219" s="129" t="s">
        <v>969</v>
      </c>
      <c r="J219" s="154" t="s">
        <v>81</v>
      </c>
      <c r="K219" s="129" t="s">
        <v>970</v>
      </c>
      <c r="L219" s="126" t="s">
        <v>76</v>
      </c>
      <c r="M219" s="126" t="s">
        <v>55</v>
      </c>
      <c r="N219" s="126"/>
      <c r="O219" s="161"/>
      <c r="P219" s="131"/>
      <c r="Q219" s="154"/>
      <c r="R219" s="126"/>
    </row>
    <row r="220" spans="1:18" ht="15" customHeight="1">
      <c r="A220" s="158">
        <f t="shared" si="3"/>
        <v>219</v>
      </c>
      <c r="B220" s="138">
        <v>46052</v>
      </c>
      <c r="C220" s="159" t="s">
        <v>971</v>
      </c>
      <c r="D220" s="126" t="s">
        <v>765</v>
      </c>
      <c r="E220" s="126" t="s">
        <v>41</v>
      </c>
      <c r="F220" s="126" t="s">
        <v>71</v>
      </c>
      <c r="G220" s="129" t="s">
        <v>72</v>
      </c>
      <c r="H220" s="64">
        <v>9689999245</v>
      </c>
      <c r="I220" s="129" t="s">
        <v>972</v>
      </c>
      <c r="J220" s="154" t="s">
        <v>272</v>
      </c>
      <c r="K220" s="129" t="s">
        <v>973</v>
      </c>
      <c r="L220" s="126" t="s">
        <v>76</v>
      </c>
      <c r="M220" s="126" t="s">
        <v>77</v>
      </c>
      <c r="N220" s="126"/>
      <c r="O220" s="161"/>
      <c r="P220" s="131"/>
      <c r="Q220" s="154"/>
      <c r="R220" s="126"/>
    </row>
    <row r="221" spans="1:18" ht="15" customHeight="1">
      <c r="A221" s="158">
        <f t="shared" si="3"/>
        <v>220</v>
      </c>
      <c r="B221" s="138">
        <v>46052</v>
      </c>
      <c r="C221" s="159"/>
      <c r="D221" s="126" t="s">
        <v>274</v>
      </c>
      <c r="E221" s="126" t="s">
        <v>84</v>
      </c>
      <c r="F221" s="126" t="s">
        <v>80</v>
      </c>
      <c r="G221" s="129" t="s">
        <v>974</v>
      </c>
      <c r="H221" s="64">
        <v>8460626074</v>
      </c>
      <c r="I221" s="129" t="s">
        <v>975</v>
      </c>
      <c r="J221" s="154" t="s">
        <v>81</v>
      </c>
      <c r="K221" s="129" t="s">
        <v>976</v>
      </c>
      <c r="L221" s="126" t="s">
        <v>76</v>
      </c>
      <c r="M221" s="126" t="s">
        <v>55</v>
      </c>
      <c r="N221" s="126"/>
      <c r="O221" s="161"/>
      <c r="P221" s="131"/>
      <c r="Q221" s="154"/>
      <c r="R221" s="126"/>
    </row>
    <row r="222" spans="1:18" ht="15" customHeight="1">
      <c r="A222" s="158">
        <f t="shared" si="3"/>
        <v>221</v>
      </c>
      <c r="B222" s="138">
        <v>46052</v>
      </c>
      <c r="C222" s="159" t="s">
        <v>977</v>
      </c>
      <c r="D222" s="128" t="s">
        <v>978</v>
      </c>
      <c r="E222" s="126" t="s">
        <v>41</v>
      </c>
      <c r="F222" s="126" t="s">
        <v>71</v>
      </c>
      <c r="G222" s="129" t="s">
        <v>979</v>
      </c>
      <c r="H222" s="64">
        <v>9822096642</v>
      </c>
      <c r="I222" s="129" t="s">
        <v>980</v>
      </c>
      <c r="J222" s="64" t="s">
        <v>99</v>
      </c>
      <c r="K222" s="129" t="s">
        <v>981</v>
      </c>
      <c r="L222" s="126" t="s">
        <v>76</v>
      </c>
      <c r="M222" s="126" t="s">
        <v>77</v>
      </c>
      <c r="N222" s="126"/>
      <c r="O222" s="161"/>
      <c r="P222" s="131"/>
      <c r="Q222" s="154"/>
      <c r="R222" s="126"/>
    </row>
    <row r="223" spans="1:18" ht="15" customHeight="1">
      <c r="A223" s="158">
        <f t="shared" si="3"/>
        <v>222</v>
      </c>
      <c r="B223" s="138">
        <v>46052</v>
      </c>
      <c r="C223" s="159"/>
      <c r="D223" s="126" t="s">
        <v>982</v>
      </c>
      <c r="E223" s="126"/>
      <c r="F223" s="126" t="s">
        <v>90</v>
      </c>
      <c r="G223" s="129" t="s">
        <v>247</v>
      </c>
      <c r="H223" s="64">
        <v>9696493564</v>
      </c>
      <c r="I223" s="129"/>
      <c r="J223" s="64" t="s">
        <v>81</v>
      </c>
      <c r="K223" s="129" t="s">
        <v>983</v>
      </c>
      <c r="L223" s="126" t="s">
        <v>76</v>
      </c>
      <c r="M223" s="126" t="s">
        <v>69</v>
      </c>
      <c r="N223" s="126"/>
      <c r="O223" s="161"/>
      <c r="P223" s="131"/>
      <c r="Q223" s="154"/>
      <c r="R223" s="126"/>
    </row>
    <row r="224" spans="1:18" ht="15" customHeight="1">
      <c r="A224" s="158">
        <f t="shared" si="3"/>
        <v>223</v>
      </c>
      <c r="B224" s="138">
        <v>46052</v>
      </c>
      <c r="C224" s="159"/>
      <c r="D224" s="126" t="s">
        <v>264</v>
      </c>
      <c r="E224" s="126" t="s">
        <v>41</v>
      </c>
      <c r="F224" s="126" t="s">
        <v>71</v>
      </c>
      <c r="G224" s="129" t="s">
        <v>212</v>
      </c>
      <c r="H224" s="64">
        <v>8484823554</v>
      </c>
      <c r="I224" s="129"/>
      <c r="J224" s="64" t="s">
        <v>81</v>
      </c>
      <c r="K224" s="129" t="s">
        <v>984</v>
      </c>
      <c r="L224" s="126" t="s">
        <v>76</v>
      </c>
      <c r="M224" s="126" t="s">
        <v>77</v>
      </c>
      <c r="N224" s="126"/>
      <c r="O224" s="161"/>
      <c r="P224" s="131"/>
      <c r="Q224" s="154"/>
      <c r="R224" s="126"/>
    </row>
    <row r="225" spans="1:18" ht="15" customHeight="1">
      <c r="A225" s="158">
        <f t="shared" si="3"/>
        <v>224</v>
      </c>
      <c r="B225" s="138">
        <v>46052</v>
      </c>
      <c r="C225" s="159"/>
      <c r="D225" s="126" t="s">
        <v>985</v>
      </c>
      <c r="E225" s="126" t="s">
        <v>41</v>
      </c>
      <c r="F225" s="126" t="s">
        <v>80</v>
      </c>
      <c r="G225" s="129" t="s">
        <v>495</v>
      </c>
      <c r="H225" s="64"/>
      <c r="I225" s="129"/>
      <c r="J225" s="64" t="s">
        <v>99</v>
      </c>
      <c r="K225" s="129" t="s">
        <v>986</v>
      </c>
      <c r="L225" s="126" t="s">
        <v>76</v>
      </c>
      <c r="M225" s="126" t="s">
        <v>69</v>
      </c>
      <c r="N225" s="126"/>
      <c r="O225" s="161"/>
      <c r="P225" s="131"/>
      <c r="Q225" s="154"/>
      <c r="R225" s="126"/>
    </row>
    <row r="226" spans="1:18" ht="15" customHeight="1">
      <c r="A226" s="158">
        <f t="shared" si="3"/>
        <v>225</v>
      </c>
      <c r="B226" s="138">
        <v>46052</v>
      </c>
      <c r="C226" s="159" t="s">
        <v>987</v>
      </c>
      <c r="D226" s="126" t="s">
        <v>988</v>
      </c>
      <c r="E226" s="126" t="s">
        <v>84</v>
      </c>
      <c r="F226" s="126" t="s">
        <v>32</v>
      </c>
      <c r="G226" s="129" t="s">
        <v>989</v>
      </c>
      <c r="H226" s="64">
        <v>8980799162</v>
      </c>
      <c r="I226" s="129" t="s">
        <v>990</v>
      </c>
      <c r="J226" s="64" t="s">
        <v>81</v>
      </c>
      <c r="K226" s="129" t="s">
        <v>991</v>
      </c>
      <c r="L226" s="126" t="s">
        <v>76</v>
      </c>
      <c r="M226" s="126" t="s">
        <v>55</v>
      </c>
      <c r="N226" s="126"/>
      <c r="O226" s="161"/>
      <c r="P226" s="131"/>
      <c r="Q226" s="154"/>
      <c r="R226" s="126"/>
    </row>
    <row r="227" spans="1:18" ht="15" customHeight="1">
      <c r="A227" s="158">
        <f t="shared" si="3"/>
        <v>226</v>
      </c>
      <c r="B227" s="138">
        <v>46052</v>
      </c>
      <c r="C227" s="159" t="s">
        <v>992</v>
      </c>
      <c r="D227" s="126" t="s">
        <v>993</v>
      </c>
      <c r="E227" s="126"/>
      <c r="F227" s="126" t="s">
        <v>80</v>
      </c>
      <c r="G227" s="129" t="s">
        <v>495</v>
      </c>
      <c r="H227" s="64">
        <v>9994413311</v>
      </c>
      <c r="I227" s="129" t="s">
        <v>994</v>
      </c>
      <c r="J227" s="64" t="s">
        <v>81</v>
      </c>
      <c r="K227" s="129" t="s">
        <v>995</v>
      </c>
      <c r="L227" s="126" t="s">
        <v>76</v>
      </c>
      <c r="M227" s="126" t="s">
        <v>69</v>
      </c>
      <c r="N227" s="126"/>
      <c r="O227" s="161"/>
      <c r="P227" s="131"/>
      <c r="Q227" s="154"/>
      <c r="R227" s="126"/>
    </row>
    <row r="228" spans="1:18" ht="15" customHeight="1">
      <c r="A228" s="158">
        <f t="shared" si="3"/>
        <v>227</v>
      </c>
      <c r="B228" s="138">
        <v>46052</v>
      </c>
      <c r="C228" s="159"/>
      <c r="D228" s="126" t="s">
        <v>264</v>
      </c>
      <c r="E228" s="126" t="s">
        <v>41</v>
      </c>
      <c r="F228" s="126" t="s">
        <v>32</v>
      </c>
      <c r="G228" s="129" t="s">
        <v>989</v>
      </c>
      <c r="H228" s="64">
        <v>8007266829</v>
      </c>
      <c r="I228" s="129" t="s">
        <v>996</v>
      </c>
      <c r="J228" s="64" t="s">
        <v>272</v>
      </c>
      <c r="K228" s="129" t="s">
        <v>997</v>
      </c>
      <c r="L228" s="126" t="s">
        <v>76</v>
      </c>
      <c r="M228" s="126" t="s">
        <v>69</v>
      </c>
      <c r="N228" s="126"/>
      <c r="O228" s="161"/>
      <c r="P228" s="131"/>
      <c r="Q228" s="154"/>
      <c r="R228" s="126"/>
    </row>
    <row r="229" spans="1:18" ht="15" customHeight="1">
      <c r="A229" s="158">
        <f t="shared" si="3"/>
        <v>228</v>
      </c>
      <c r="B229" s="138">
        <v>46052</v>
      </c>
      <c r="C229" s="159" t="s">
        <v>998</v>
      </c>
      <c r="D229" s="126" t="s">
        <v>999</v>
      </c>
      <c r="E229" s="126" t="s">
        <v>41</v>
      </c>
      <c r="F229" s="126" t="s">
        <v>71</v>
      </c>
      <c r="G229" s="129" t="s">
        <v>212</v>
      </c>
      <c r="H229" s="64">
        <v>9209398739</v>
      </c>
      <c r="I229" s="129" t="s">
        <v>1000</v>
      </c>
      <c r="J229" s="64" t="s">
        <v>86</v>
      </c>
      <c r="K229" s="129" t="s">
        <v>1001</v>
      </c>
      <c r="L229" s="126" t="s">
        <v>76</v>
      </c>
      <c r="M229" s="126" t="s">
        <v>77</v>
      </c>
      <c r="N229" s="126"/>
      <c r="O229" s="161"/>
      <c r="P229" s="131"/>
      <c r="Q229" s="154"/>
      <c r="R229" s="126"/>
    </row>
    <row r="230" spans="1:18" ht="15" customHeight="1">
      <c r="A230" s="158">
        <f t="shared" si="3"/>
        <v>229</v>
      </c>
      <c r="B230" s="138">
        <v>46052</v>
      </c>
      <c r="C230" s="159" t="s">
        <v>1002</v>
      </c>
      <c r="D230" s="126" t="s">
        <v>264</v>
      </c>
      <c r="E230" s="126" t="s">
        <v>41</v>
      </c>
      <c r="F230" s="126" t="s">
        <v>201</v>
      </c>
      <c r="G230" s="129" t="s">
        <v>202</v>
      </c>
      <c r="H230" s="64">
        <v>8007363933</v>
      </c>
      <c r="I230" s="129" t="s">
        <v>1003</v>
      </c>
      <c r="J230" s="157" t="s">
        <v>86</v>
      </c>
      <c r="K230" s="129" t="s">
        <v>1004</v>
      </c>
      <c r="L230" s="126" t="s">
        <v>76</v>
      </c>
      <c r="M230" s="126" t="s">
        <v>55</v>
      </c>
      <c r="N230" s="126"/>
      <c r="O230" s="161"/>
      <c r="P230" s="131"/>
      <c r="Q230" s="154"/>
      <c r="R230" s="126"/>
    </row>
    <row r="231" spans="1:18" ht="15" customHeight="1">
      <c r="A231" s="158">
        <f t="shared" si="3"/>
        <v>230</v>
      </c>
      <c r="B231" s="138">
        <v>46052</v>
      </c>
      <c r="C231" s="159"/>
      <c r="D231" s="163" t="s">
        <v>264</v>
      </c>
      <c r="E231" s="163" t="s">
        <v>41</v>
      </c>
      <c r="F231" s="163" t="s">
        <v>90</v>
      </c>
      <c r="G231" s="129" t="s">
        <v>423</v>
      </c>
      <c r="H231" s="64">
        <v>7972637701</v>
      </c>
      <c r="I231" s="129" t="s">
        <v>1005</v>
      </c>
      <c r="J231" s="64" t="s">
        <v>81</v>
      </c>
      <c r="K231" s="129" t="s">
        <v>1006</v>
      </c>
      <c r="L231" s="163" t="s">
        <v>76</v>
      </c>
      <c r="M231" s="163" t="s">
        <v>69</v>
      </c>
      <c r="N231" s="163"/>
      <c r="O231" s="161"/>
      <c r="P231" s="131"/>
      <c r="Q231" s="154"/>
      <c r="R231" s="163"/>
    </row>
    <row r="232" spans="1:18" ht="15" customHeight="1">
      <c r="A232" s="158">
        <f t="shared" si="3"/>
        <v>231</v>
      </c>
      <c r="B232" s="138">
        <v>46052</v>
      </c>
      <c r="C232" s="159" t="s">
        <v>1007</v>
      </c>
      <c r="D232" s="126" t="s">
        <v>1008</v>
      </c>
      <c r="E232" s="126" t="s">
        <v>308</v>
      </c>
      <c r="F232" s="126" t="s">
        <v>90</v>
      </c>
      <c r="G232" s="129" t="s">
        <v>90</v>
      </c>
      <c r="H232" s="64">
        <v>9829224661</v>
      </c>
      <c r="I232" s="129" t="s">
        <v>1009</v>
      </c>
      <c r="J232" s="64" t="s">
        <v>81</v>
      </c>
      <c r="K232" s="129" t="s">
        <v>1010</v>
      </c>
      <c r="L232" s="126" t="s">
        <v>76</v>
      </c>
      <c r="M232" s="126" t="s">
        <v>69</v>
      </c>
      <c r="N232" s="126"/>
      <c r="O232" s="161"/>
      <c r="P232" s="131"/>
      <c r="Q232" s="154"/>
      <c r="R232" s="126"/>
    </row>
    <row r="233" spans="1:18">
      <c r="A233" s="158">
        <f t="shared" si="3"/>
        <v>232</v>
      </c>
      <c r="B233" s="138">
        <v>46052</v>
      </c>
      <c r="C233" s="159" t="s">
        <v>1011</v>
      </c>
      <c r="D233" s="126" t="s">
        <v>337</v>
      </c>
      <c r="E233" s="126" t="s">
        <v>41</v>
      </c>
      <c r="F233" s="126" t="s">
        <v>71</v>
      </c>
      <c r="G233" s="129" t="s">
        <v>1012</v>
      </c>
      <c r="H233" s="64">
        <v>9324580052</v>
      </c>
      <c r="I233" s="129" t="s">
        <v>1013</v>
      </c>
      <c r="J233" s="64" t="s">
        <v>86</v>
      </c>
      <c r="K233" s="129" t="s">
        <v>1014</v>
      </c>
      <c r="L233" s="126" t="s">
        <v>101</v>
      </c>
      <c r="M233" s="126" t="s">
        <v>77</v>
      </c>
      <c r="N233" s="126"/>
      <c r="O233" s="161"/>
      <c r="P233" s="131"/>
      <c r="Q233" s="154"/>
      <c r="R233" s="126"/>
    </row>
    <row r="234" spans="1:18">
      <c r="A234" s="158">
        <f t="shared" si="3"/>
        <v>233</v>
      </c>
      <c r="B234" s="138">
        <v>46052</v>
      </c>
      <c r="C234" s="159" t="s">
        <v>1015</v>
      </c>
      <c r="D234" s="126" t="s">
        <v>730</v>
      </c>
      <c r="E234" s="126" t="s">
        <v>657</v>
      </c>
      <c r="F234" s="126" t="s">
        <v>80</v>
      </c>
      <c r="G234" s="129" t="s">
        <v>495</v>
      </c>
      <c r="H234" s="64">
        <v>8895196401</v>
      </c>
      <c r="I234" s="129"/>
      <c r="J234" s="64" t="s">
        <v>81</v>
      </c>
      <c r="K234" s="129" t="s">
        <v>1016</v>
      </c>
      <c r="L234" s="126" t="s">
        <v>101</v>
      </c>
      <c r="M234" s="126" t="s">
        <v>55</v>
      </c>
      <c r="N234" s="126"/>
      <c r="O234" s="161"/>
      <c r="P234" s="131"/>
      <c r="Q234" s="154"/>
      <c r="R234" s="126"/>
    </row>
    <row r="235" spans="1:18">
      <c r="A235" s="158">
        <f t="shared" si="3"/>
        <v>234</v>
      </c>
      <c r="B235" s="138">
        <v>46052</v>
      </c>
      <c r="C235" s="129" t="s">
        <v>1017</v>
      </c>
      <c r="D235" s="129" t="s">
        <v>1018</v>
      </c>
      <c r="E235" s="126"/>
      <c r="F235" s="126" t="s">
        <v>1019</v>
      </c>
      <c r="G235" s="129" t="s">
        <v>1019</v>
      </c>
      <c r="H235" s="64">
        <v>7906231898</v>
      </c>
      <c r="I235" s="129"/>
      <c r="J235" s="64" t="s">
        <v>81</v>
      </c>
      <c r="K235" s="129" t="s">
        <v>1020</v>
      </c>
      <c r="L235" s="126" t="s">
        <v>101</v>
      </c>
      <c r="M235" s="126" t="s">
        <v>55</v>
      </c>
      <c r="N235" s="126"/>
      <c r="O235" s="161"/>
      <c r="P235" s="131"/>
      <c r="Q235" s="154"/>
      <c r="R235" s="126"/>
    </row>
    <row r="236" spans="1:18">
      <c r="A236" s="158">
        <f t="shared" si="3"/>
        <v>235</v>
      </c>
      <c r="B236" s="138">
        <v>46052</v>
      </c>
      <c r="C236" s="159" t="s">
        <v>1021</v>
      </c>
      <c r="D236" s="126" t="s">
        <v>1022</v>
      </c>
      <c r="E236" s="126" t="s">
        <v>131</v>
      </c>
      <c r="F236" s="126" t="s">
        <v>32</v>
      </c>
      <c r="G236" s="129" t="s">
        <v>1023</v>
      </c>
      <c r="H236" s="64">
        <v>9345888979</v>
      </c>
      <c r="I236" s="126" t="s">
        <v>1024</v>
      </c>
      <c r="J236" s="154" t="s">
        <v>34</v>
      </c>
      <c r="K236" s="129" t="s">
        <v>1025</v>
      </c>
      <c r="L236" s="126" t="s">
        <v>54</v>
      </c>
      <c r="M236" s="126" t="s">
        <v>37</v>
      </c>
      <c r="N236" s="126" t="s">
        <v>1026</v>
      </c>
      <c r="O236" s="130">
        <v>46052</v>
      </c>
      <c r="P236" s="217">
        <v>8647000</v>
      </c>
      <c r="Q236" s="154" t="s">
        <v>38</v>
      </c>
      <c r="R236" s="126"/>
    </row>
    <row r="237" spans="1:18">
      <c r="A237" s="158">
        <f t="shared" si="3"/>
        <v>236</v>
      </c>
      <c r="B237" s="138">
        <v>46052</v>
      </c>
      <c r="C237" s="159"/>
      <c r="D237" s="126" t="s">
        <v>324</v>
      </c>
      <c r="E237" s="126" t="s">
        <v>41</v>
      </c>
      <c r="F237" s="159" t="s">
        <v>71</v>
      </c>
      <c r="G237" s="129" t="s">
        <v>491</v>
      </c>
      <c r="H237" s="64">
        <v>8411007431</v>
      </c>
      <c r="I237" s="129"/>
      <c r="J237" s="64" t="s">
        <v>272</v>
      </c>
      <c r="K237" s="129" t="s">
        <v>578</v>
      </c>
      <c r="L237" s="129" t="s">
        <v>101</v>
      </c>
      <c r="M237" s="126" t="s">
        <v>77</v>
      </c>
      <c r="N237" s="126"/>
      <c r="O237" s="161"/>
      <c r="P237" s="155"/>
      <c r="Q237" s="154"/>
      <c r="R237" s="126"/>
    </row>
    <row r="238" spans="1:18">
      <c r="A238" s="158">
        <f t="shared" si="3"/>
        <v>237</v>
      </c>
      <c r="B238" s="138">
        <v>46052</v>
      </c>
      <c r="C238" s="159" t="s">
        <v>1027</v>
      </c>
      <c r="D238" s="126" t="s">
        <v>1028</v>
      </c>
      <c r="E238" s="126" t="s">
        <v>41</v>
      </c>
      <c r="F238" s="126" t="s">
        <v>42</v>
      </c>
      <c r="G238" s="129" t="s">
        <v>1029</v>
      </c>
      <c r="H238" s="64"/>
      <c r="I238" s="129" t="s">
        <v>1030</v>
      </c>
      <c r="J238" s="154" t="s">
        <v>34</v>
      </c>
      <c r="K238" s="129" t="s">
        <v>1031</v>
      </c>
      <c r="L238" s="126" t="s">
        <v>54</v>
      </c>
      <c r="M238" s="126" t="s">
        <v>37</v>
      </c>
      <c r="N238" s="126" t="s">
        <v>1032</v>
      </c>
      <c r="O238" s="130">
        <v>46052</v>
      </c>
      <c r="P238" s="137">
        <v>125000</v>
      </c>
      <c r="Q238" s="143" t="s">
        <v>336</v>
      </c>
      <c r="R238" s="126"/>
    </row>
    <row r="239" spans="1:18">
      <c r="A239" s="158">
        <f t="shared" si="3"/>
        <v>238</v>
      </c>
      <c r="B239" s="138">
        <v>46052</v>
      </c>
      <c r="C239" s="159" t="s">
        <v>1033</v>
      </c>
      <c r="D239" s="126" t="s">
        <v>46</v>
      </c>
      <c r="E239" s="126" t="s">
        <v>41</v>
      </c>
      <c r="F239" s="126" t="s">
        <v>32</v>
      </c>
      <c r="G239" s="129" t="s">
        <v>1034</v>
      </c>
      <c r="H239" s="64">
        <v>9011042521</v>
      </c>
      <c r="I239" s="129" t="s">
        <v>1035</v>
      </c>
      <c r="J239" s="154" t="s">
        <v>99</v>
      </c>
      <c r="K239" s="129" t="s">
        <v>1036</v>
      </c>
      <c r="L239" s="126" t="s">
        <v>54</v>
      </c>
      <c r="M239" s="126" t="s">
        <v>368</v>
      </c>
      <c r="N239" s="126" t="s">
        <v>1037</v>
      </c>
      <c r="O239" s="130">
        <v>46052</v>
      </c>
      <c r="P239" s="164" t="s">
        <v>1038</v>
      </c>
      <c r="Q239" s="154" t="s">
        <v>145</v>
      </c>
      <c r="R239" s="126"/>
    </row>
    <row r="240" spans="1:18">
      <c r="A240" s="158">
        <f t="shared" si="3"/>
        <v>239</v>
      </c>
      <c r="B240" s="138">
        <v>46052</v>
      </c>
      <c r="C240" s="159" t="s">
        <v>1039</v>
      </c>
      <c r="D240" s="126" t="s">
        <v>460</v>
      </c>
      <c r="E240" s="126" t="s">
        <v>41</v>
      </c>
      <c r="F240" s="126" t="s">
        <v>80</v>
      </c>
      <c r="G240" s="129" t="s">
        <v>1040</v>
      </c>
      <c r="H240" s="64"/>
      <c r="I240" s="129" t="s">
        <v>1041</v>
      </c>
      <c r="J240" s="64" t="s">
        <v>34</v>
      </c>
      <c r="K240" s="129" t="s">
        <v>1042</v>
      </c>
      <c r="L240" s="126" t="s">
        <v>54</v>
      </c>
      <c r="M240" s="126" t="s">
        <v>37</v>
      </c>
      <c r="N240" s="126" t="s">
        <v>1043</v>
      </c>
      <c r="O240" s="161">
        <v>46052</v>
      </c>
      <c r="P240" s="137">
        <v>1800000</v>
      </c>
      <c r="Q240" s="143" t="s">
        <v>336</v>
      </c>
      <c r="R240" s="126"/>
    </row>
    <row r="241" spans="1:18">
      <c r="A241" s="158">
        <f t="shared" si="3"/>
        <v>240</v>
      </c>
      <c r="B241" s="138">
        <v>46053</v>
      </c>
      <c r="C241" s="159" t="s">
        <v>1044</v>
      </c>
      <c r="D241" s="126" t="s">
        <v>460</v>
      </c>
      <c r="E241" s="126" t="s">
        <v>41</v>
      </c>
      <c r="F241" s="126" t="s">
        <v>42</v>
      </c>
      <c r="G241" s="129" t="s">
        <v>1045</v>
      </c>
      <c r="H241" s="64"/>
      <c r="I241" s="129" t="s">
        <v>1046</v>
      </c>
      <c r="J241" s="64" t="s">
        <v>74</v>
      </c>
      <c r="K241" s="129" t="s">
        <v>1047</v>
      </c>
      <c r="L241" s="126" t="s">
        <v>54</v>
      </c>
      <c r="M241" s="126" t="s">
        <v>37</v>
      </c>
      <c r="N241" s="126" t="s">
        <v>1048</v>
      </c>
      <c r="O241" s="161">
        <v>46053</v>
      </c>
      <c r="P241" s="217">
        <v>694400</v>
      </c>
      <c r="Q241" s="154" t="s">
        <v>78</v>
      </c>
      <c r="R241" s="126"/>
    </row>
    <row r="242" spans="1:18">
      <c r="A242" s="158">
        <f t="shared" si="3"/>
        <v>241</v>
      </c>
      <c r="B242" s="138">
        <v>46053</v>
      </c>
      <c r="C242" s="159" t="s">
        <v>1049</v>
      </c>
      <c r="D242" s="126" t="s">
        <v>1050</v>
      </c>
      <c r="E242" s="126" t="s">
        <v>41</v>
      </c>
      <c r="F242" s="126" t="s">
        <v>80</v>
      </c>
      <c r="G242" s="129" t="s">
        <v>1051</v>
      </c>
      <c r="H242" s="64">
        <v>9175109394</v>
      </c>
      <c r="I242" s="129" t="s">
        <v>1052</v>
      </c>
      <c r="J242" s="64" t="s">
        <v>74</v>
      </c>
      <c r="K242" s="129" t="s">
        <v>1053</v>
      </c>
      <c r="L242" s="126" t="s">
        <v>54</v>
      </c>
      <c r="M242" s="126" t="s">
        <v>37</v>
      </c>
      <c r="N242" s="126" t="s">
        <v>1054</v>
      </c>
      <c r="O242" s="161">
        <v>46053</v>
      </c>
      <c r="P242" s="170">
        <v>685000</v>
      </c>
      <c r="Q242" s="154" t="s">
        <v>78</v>
      </c>
      <c r="R242" s="126"/>
    </row>
    <row r="243" spans="1:18">
      <c r="A243" s="158">
        <f t="shared" si="3"/>
        <v>242</v>
      </c>
      <c r="B243" s="138">
        <v>46053</v>
      </c>
      <c r="C243" s="159" t="s">
        <v>1055</v>
      </c>
      <c r="D243" s="126" t="s">
        <v>1056</v>
      </c>
      <c r="E243" s="126" t="s">
        <v>41</v>
      </c>
      <c r="F243" s="126" t="s">
        <v>117</v>
      </c>
      <c r="G243" s="129" t="s">
        <v>1057</v>
      </c>
      <c r="H243" s="64"/>
      <c r="I243" s="129" t="s">
        <v>1058</v>
      </c>
      <c r="J243" s="64" t="s">
        <v>34</v>
      </c>
      <c r="K243" s="129" t="s">
        <v>1059</v>
      </c>
      <c r="L243" s="126" t="s">
        <v>36</v>
      </c>
      <c r="M243" s="126" t="s">
        <v>37</v>
      </c>
      <c r="N243" s="126" t="s">
        <v>1060</v>
      </c>
      <c r="O243" s="161">
        <v>46053</v>
      </c>
      <c r="P243" s="170">
        <v>717498</v>
      </c>
      <c r="Q243" s="154" t="s">
        <v>38</v>
      </c>
      <c r="R243" s="126"/>
    </row>
    <row r="244" spans="1:18">
      <c r="A244" s="158">
        <f t="shared" si="3"/>
        <v>243</v>
      </c>
      <c r="B244" s="138">
        <v>46053</v>
      </c>
      <c r="C244" s="159" t="s">
        <v>1061</v>
      </c>
      <c r="D244" s="126" t="s">
        <v>1062</v>
      </c>
      <c r="E244" s="126" t="s">
        <v>1063</v>
      </c>
      <c r="F244" s="126" t="s">
        <v>80</v>
      </c>
      <c r="G244" s="129" t="s">
        <v>1064</v>
      </c>
      <c r="H244" s="64"/>
      <c r="I244" s="129" t="s">
        <v>1065</v>
      </c>
      <c r="J244" s="64" t="s">
        <v>34</v>
      </c>
      <c r="K244" s="129" t="s">
        <v>1066</v>
      </c>
      <c r="L244" s="126" t="s">
        <v>76</v>
      </c>
      <c r="M244" s="126" t="s">
        <v>55</v>
      </c>
      <c r="N244" s="126" t="s">
        <v>1067</v>
      </c>
      <c r="O244" s="161">
        <v>46053</v>
      </c>
      <c r="P244" s="131">
        <v>935000</v>
      </c>
      <c r="Q244" s="154" t="s">
        <v>124</v>
      </c>
      <c r="R244" s="126"/>
    </row>
    <row r="245" spans="1:18">
      <c r="A245" s="158">
        <f t="shared" si="3"/>
        <v>244</v>
      </c>
      <c r="B245" s="138">
        <v>46053</v>
      </c>
      <c r="C245" s="159" t="s">
        <v>1068</v>
      </c>
      <c r="D245" s="126" t="s">
        <v>1069</v>
      </c>
      <c r="E245" s="126" t="s">
        <v>41</v>
      </c>
      <c r="F245" s="126" t="s">
        <v>90</v>
      </c>
      <c r="G245" s="129" t="s">
        <v>1070</v>
      </c>
      <c r="H245" s="64"/>
      <c r="I245" s="129" t="s">
        <v>1071</v>
      </c>
      <c r="J245" s="64" t="s">
        <v>34</v>
      </c>
      <c r="K245" s="129" t="s">
        <v>1072</v>
      </c>
      <c r="L245" s="126" t="s">
        <v>36</v>
      </c>
      <c r="M245" s="126" t="s">
        <v>69</v>
      </c>
      <c r="N245" s="126" t="s">
        <v>1073</v>
      </c>
      <c r="O245" s="161">
        <v>46053</v>
      </c>
      <c r="P245" s="131">
        <v>2509958</v>
      </c>
      <c r="Q245" s="154" t="s">
        <v>124</v>
      </c>
      <c r="R245" s="126"/>
    </row>
    <row r="246" spans="1:18">
      <c r="A246" s="158">
        <f t="shared" si="3"/>
        <v>245</v>
      </c>
      <c r="B246" s="138">
        <v>46053</v>
      </c>
      <c r="C246" s="159" t="s">
        <v>1074</v>
      </c>
      <c r="D246" s="126" t="s">
        <v>264</v>
      </c>
      <c r="E246" s="126" t="s">
        <v>41</v>
      </c>
      <c r="F246" s="126" t="s">
        <v>32</v>
      </c>
      <c r="G246" s="147" t="s">
        <v>172</v>
      </c>
      <c r="H246" s="64">
        <v>8329129385</v>
      </c>
      <c r="I246" s="129" t="s">
        <v>1075</v>
      </c>
      <c r="J246" s="64" t="s">
        <v>81</v>
      </c>
      <c r="K246" s="129" t="s">
        <v>1076</v>
      </c>
      <c r="L246" s="129" t="s">
        <v>76</v>
      </c>
      <c r="M246" s="126" t="s">
        <v>55</v>
      </c>
      <c r="N246" s="126"/>
      <c r="O246" s="161"/>
      <c r="P246" s="131"/>
      <c r="Q246" s="154"/>
      <c r="R246" s="126"/>
    </row>
    <row r="247" spans="1:18">
      <c r="A247" s="158">
        <f t="shared" si="3"/>
        <v>246</v>
      </c>
      <c r="B247" s="138">
        <v>46053</v>
      </c>
      <c r="C247" s="159" t="s">
        <v>1077</v>
      </c>
      <c r="D247" s="126" t="s">
        <v>1078</v>
      </c>
      <c r="E247" s="126" t="s">
        <v>206</v>
      </c>
      <c r="F247" s="126" t="s">
        <v>90</v>
      </c>
      <c r="G247" s="147" t="s">
        <v>423</v>
      </c>
      <c r="H247" s="64">
        <v>7753942457</v>
      </c>
      <c r="I247" s="129" t="s">
        <v>1079</v>
      </c>
      <c r="J247" s="64" t="s">
        <v>81</v>
      </c>
      <c r="K247" s="129" t="s">
        <v>1080</v>
      </c>
      <c r="L247" s="129" t="s">
        <v>76</v>
      </c>
      <c r="M247" s="126" t="s">
        <v>55</v>
      </c>
      <c r="N247" s="126"/>
      <c r="O247" s="161"/>
      <c r="P247" s="131"/>
      <c r="Q247" s="154"/>
      <c r="R247" s="126"/>
    </row>
    <row r="248" spans="1:18">
      <c r="A248" s="158">
        <f t="shared" si="3"/>
        <v>247</v>
      </c>
      <c r="B248" s="138">
        <v>46053</v>
      </c>
      <c r="C248" s="138" t="s">
        <v>1081</v>
      </c>
      <c r="D248" s="126" t="s">
        <v>1082</v>
      </c>
      <c r="E248" s="126" t="s">
        <v>1083</v>
      </c>
      <c r="F248" s="126" t="s">
        <v>32</v>
      </c>
      <c r="G248" s="147" t="s">
        <v>697</v>
      </c>
      <c r="H248" s="64"/>
      <c r="I248" s="129"/>
      <c r="J248" s="64" t="s">
        <v>248</v>
      </c>
      <c r="K248" s="129" t="s">
        <v>1084</v>
      </c>
      <c r="L248" s="129" t="s">
        <v>76</v>
      </c>
      <c r="M248" s="126" t="s">
        <v>69</v>
      </c>
      <c r="N248" s="126"/>
      <c r="O248" s="161"/>
      <c r="P248" s="131"/>
      <c r="Q248" s="154"/>
      <c r="R248" s="126"/>
    </row>
    <row r="249" spans="1:18">
      <c r="A249" s="158">
        <f t="shared" si="3"/>
        <v>248</v>
      </c>
      <c r="B249" s="138">
        <v>46053</v>
      </c>
      <c r="C249" s="159" t="s">
        <v>1085</v>
      </c>
      <c r="D249" s="126" t="s">
        <v>1086</v>
      </c>
      <c r="E249" s="126"/>
      <c r="F249" s="126" t="s">
        <v>32</v>
      </c>
      <c r="G249" s="147" t="s">
        <v>172</v>
      </c>
      <c r="H249" s="64">
        <v>9960541587</v>
      </c>
      <c r="I249" s="129"/>
      <c r="J249" s="64" t="s">
        <v>81</v>
      </c>
      <c r="K249" s="129" t="s">
        <v>1087</v>
      </c>
      <c r="L249" s="126" t="s">
        <v>76</v>
      </c>
      <c r="M249" s="126" t="s">
        <v>69</v>
      </c>
      <c r="N249" s="126"/>
      <c r="O249" s="161"/>
      <c r="P249" s="131"/>
      <c r="Q249" s="154"/>
      <c r="R249" s="126"/>
    </row>
    <row r="250" spans="1:18">
      <c r="A250" s="158">
        <f t="shared" si="3"/>
        <v>249</v>
      </c>
      <c r="B250" s="138">
        <v>46053</v>
      </c>
      <c r="C250" s="159"/>
      <c r="D250" s="159" t="s">
        <v>628</v>
      </c>
      <c r="E250" s="159" t="s">
        <v>711</v>
      </c>
      <c r="F250" s="159" t="s">
        <v>32</v>
      </c>
      <c r="G250" s="160" t="s">
        <v>1088</v>
      </c>
      <c r="H250" s="154"/>
      <c r="I250" s="159" t="s">
        <v>1089</v>
      </c>
      <c r="J250" s="154" t="s">
        <v>86</v>
      </c>
      <c r="K250" s="159" t="s">
        <v>1090</v>
      </c>
      <c r="L250" s="159" t="s">
        <v>76</v>
      </c>
      <c r="M250" s="159" t="s">
        <v>69</v>
      </c>
      <c r="N250" s="159"/>
      <c r="O250" s="161"/>
      <c r="P250" s="131"/>
      <c r="Q250" s="154"/>
      <c r="R250" s="163"/>
    </row>
    <row r="251" spans="1:18">
      <c r="A251" s="158">
        <f t="shared" si="3"/>
        <v>250</v>
      </c>
      <c r="B251" s="138">
        <v>46053</v>
      </c>
      <c r="C251" s="159" t="s">
        <v>1091</v>
      </c>
      <c r="D251" s="159" t="s">
        <v>1092</v>
      </c>
      <c r="E251" s="159" t="s">
        <v>41</v>
      </c>
      <c r="F251" s="159" t="s">
        <v>90</v>
      </c>
      <c r="G251" s="160" t="s">
        <v>90</v>
      </c>
      <c r="H251" s="154">
        <v>7304842446</v>
      </c>
      <c r="I251" s="129" t="s">
        <v>1093</v>
      </c>
      <c r="J251" s="154" t="s">
        <v>86</v>
      </c>
      <c r="K251" s="129" t="s">
        <v>1094</v>
      </c>
      <c r="L251" s="159" t="s">
        <v>76</v>
      </c>
      <c r="M251" s="159" t="s">
        <v>69</v>
      </c>
      <c r="N251" s="159"/>
      <c r="O251" s="161"/>
      <c r="P251" s="131"/>
      <c r="Q251" s="154"/>
      <c r="R251" s="126"/>
    </row>
    <row r="252" spans="1:18">
      <c r="A252" s="158">
        <f t="shared" si="3"/>
        <v>251</v>
      </c>
      <c r="B252" s="138">
        <v>46053</v>
      </c>
      <c r="C252" s="159"/>
      <c r="D252" s="126" t="s">
        <v>1095</v>
      </c>
      <c r="E252" s="126" t="s">
        <v>308</v>
      </c>
      <c r="F252" s="126" t="s">
        <v>71</v>
      </c>
      <c r="G252" s="160" t="s">
        <v>1096</v>
      </c>
      <c r="H252" s="1">
        <v>9829403397</v>
      </c>
      <c r="I252" s="129" t="s">
        <v>1097</v>
      </c>
      <c r="J252" s="64" t="s">
        <v>272</v>
      </c>
      <c r="K252" s="129" t="s">
        <v>1098</v>
      </c>
      <c r="L252" s="126" t="s">
        <v>76</v>
      </c>
      <c r="M252" s="126" t="s">
        <v>77</v>
      </c>
      <c r="N252" s="126"/>
      <c r="O252" s="161"/>
      <c r="P252" s="131"/>
      <c r="Q252" s="154"/>
      <c r="R252" s="126"/>
    </row>
    <row r="253" spans="1:18">
      <c r="A253" s="158">
        <f t="shared" si="3"/>
        <v>252</v>
      </c>
      <c r="B253" s="138">
        <v>46053</v>
      </c>
      <c r="C253" s="159" t="s">
        <v>1099</v>
      </c>
      <c r="D253" s="126" t="s">
        <v>1100</v>
      </c>
      <c r="E253" s="126"/>
      <c r="F253" s="126" t="s">
        <v>32</v>
      </c>
      <c r="G253" s="160" t="s">
        <v>1101</v>
      </c>
      <c r="H253" s="1">
        <v>8076303707</v>
      </c>
      <c r="I253" s="129" t="s">
        <v>1102</v>
      </c>
      <c r="J253" s="64" t="s">
        <v>272</v>
      </c>
      <c r="K253" s="129" t="s">
        <v>1103</v>
      </c>
      <c r="L253" s="126" t="s">
        <v>76</v>
      </c>
      <c r="M253" s="126" t="s">
        <v>55</v>
      </c>
      <c r="N253" s="126"/>
      <c r="O253" s="161"/>
      <c r="P253" s="131"/>
      <c r="Q253" s="154"/>
      <c r="R253" s="126"/>
    </row>
    <row r="254" spans="1:18">
      <c r="A254" s="158">
        <f t="shared" si="3"/>
        <v>253</v>
      </c>
      <c r="B254" s="138">
        <v>46054</v>
      </c>
      <c r="C254" s="159" t="s">
        <v>1104</v>
      </c>
      <c r="D254" s="126" t="s">
        <v>1105</v>
      </c>
      <c r="E254" s="126" t="s">
        <v>41</v>
      </c>
      <c r="F254" s="126" t="s">
        <v>71</v>
      </c>
      <c r="G254" s="129" t="s">
        <v>1106</v>
      </c>
      <c r="H254" s="64">
        <v>9819274629</v>
      </c>
      <c r="I254" s="129" t="s">
        <v>1107</v>
      </c>
      <c r="J254" s="64" t="s">
        <v>81</v>
      </c>
      <c r="K254" s="129" t="s">
        <v>1108</v>
      </c>
      <c r="L254" s="126" t="s">
        <v>76</v>
      </c>
      <c r="M254" s="126" t="s">
        <v>77</v>
      </c>
      <c r="N254" s="126"/>
      <c r="O254" s="161"/>
      <c r="P254" s="131"/>
      <c r="Q254" s="154"/>
      <c r="R254" s="126"/>
    </row>
    <row r="255" spans="1:18">
      <c r="A255" s="158">
        <f t="shared" si="3"/>
        <v>254</v>
      </c>
      <c r="B255" s="138">
        <v>46054</v>
      </c>
      <c r="C255" s="159" t="s">
        <v>1109</v>
      </c>
      <c r="D255" s="126" t="s">
        <v>1110</v>
      </c>
      <c r="E255" s="126" t="s">
        <v>771</v>
      </c>
      <c r="F255" s="126" t="s">
        <v>71</v>
      </c>
      <c r="G255" s="129" t="s">
        <v>745</v>
      </c>
      <c r="H255" s="64">
        <v>9888036043</v>
      </c>
      <c r="I255" s="129" t="s">
        <v>1111</v>
      </c>
      <c r="J255" s="64" t="s">
        <v>81</v>
      </c>
      <c r="K255" s="129" t="s">
        <v>1112</v>
      </c>
      <c r="L255" s="126" t="s">
        <v>76</v>
      </c>
      <c r="M255" s="126" t="s">
        <v>77</v>
      </c>
      <c r="N255" s="126"/>
      <c r="O255" s="161"/>
      <c r="P255" s="131"/>
      <c r="Q255" s="154"/>
      <c r="R255" s="126"/>
    </row>
    <row r="256" spans="1:18">
      <c r="A256" s="158">
        <f t="shared" si="3"/>
        <v>255</v>
      </c>
      <c r="B256" s="138">
        <v>46054</v>
      </c>
      <c r="C256" s="159" t="s">
        <v>1113</v>
      </c>
      <c r="D256" s="126" t="s">
        <v>1114</v>
      </c>
      <c r="E256" s="126" t="s">
        <v>41</v>
      </c>
      <c r="F256" s="126" t="s">
        <v>71</v>
      </c>
      <c r="G256" s="129" t="s">
        <v>212</v>
      </c>
      <c r="H256" s="64">
        <v>9588663005</v>
      </c>
      <c r="I256" s="129" t="s">
        <v>1115</v>
      </c>
      <c r="J256" s="64" t="s">
        <v>272</v>
      </c>
      <c r="K256" s="129" t="s">
        <v>1116</v>
      </c>
      <c r="L256" s="126" t="s">
        <v>76</v>
      </c>
      <c r="M256" s="126" t="s">
        <v>77</v>
      </c>
      <c r="N256" s="126"/>
      <c r="O256" s="161"/>
      <c r="P256" s="131"/>
      <c r="Q256" s="154"/>
      <c r="R256" s="126"/>
    </row>
    <row r="257" spans="1:18">
      <c r="A257" s="158">
        <f t="shared" si="3"/>
        <v>256</v>
      </c>
      <c r="B257" s="138">
        <v>46054</v>
      </c>
      <c r="C257" s="159" t="s">
        <v>1117</v>
      </c>
      <c r="D257" s="126" t="s">
        <v>1118</v>
      </c>
      <c r="E257" s="126" t="s">
        <v>84</v>
      </c>
      <c r="F257" s="126" t="s">
        <v>201</v>
      </c>
      <c r="G257" s="129" t="s">
        <v>692</v>
      </c>
      <c r="H257" s="1">
        <v>9227706401</v>
      </c>
      <c r="I257" s="129" t="s">
        <v>1119</v>
      </c>
      <c r="J257" s="154" t="s">
        <v>86</v>
      </c>
      <c r="K257" s="129" t="s">
        <v>1120</v>
      </c>
      <c r="L257" s="126" t="s">
        <v>76</v>
      </c>
      <c r="M257" s="126" t="s">
        <v>55</v>
      </c>
      <c r="N257" s="126"/>
      <c r="O257" s="161"/>
      <c r="P257" s="131"/>
      <c r="Q257" s="154"/>
      <c r="R257" s="126"/>
    </row>
    <row r="258" spans="1:18">
      <c r="A258" s="158">
        <f t="shared" ref="A258:A321" si="4">ROW()-1</f>
        <v>257</v>
      </c>
      <c r="B258" s="138">
        <v>46054</v>
      </c>
      <c r="C258" s="159"/>
      <c r="D258" s="126" t="s">
        <v>710</v>
      </c>
      <c r="E258" s="126" t="s">
        <v>711</v>
      </c>
      <c r="F258" s="126" t="s">
        <v>32</v>
      </c>
      <c r="G258" s="129" t="s">
        <v>1121</v>
      </c>
      <c r="H258" s="1">
        <v>9110226268</v>
      </c>
      <c r="I258" s="128"/>
      <c r="J258" s="154" t="s">
        <v>272</v>
      </c>
      <c r="K258" s="129" t="s">
        <v>1122</v>
      </c>
      <c r="L258" s="126" t="s">
        <v>76</v>
      </c>
      <c r="M258" s="126" t="s">
        <v>69</v>
      </c>
      <c r="N258" s="126"/>
      <c r="O258" s="161"/>
      <c r="P258" s="131"/>
      <c r="Q258" s="154"/>
      <c r="R258" s="126"/>
    </row>
    <row r="259" spans="1:18">
      <c r="A259" s="158">
        <f t="shared" si="4"/>
        <v>258</v>
      </c>
      <c r="B259" s="138">
        <v>46054</v>
      </c>
      <c r="C259" s="159" t="s">
        <v>1123</v>
      </c>
      <c r="D259" s="126" t="s">
        <v>46</v>
      </c>
      <c r="E259" s="126" t="s">
        <v>41</v>
      </c>
      <c r="F259" s="126" t="s">
        <v>117</v>
      </c>
      <c r="G259" s="160" t="s">
        <v>1124</v>
      </c>
      <c r="H259" s="1">
        <v>985017117</v>
      </c>
      <c r="I259" s="129" t="s">
        <v>1125</v>
      </c>
      <c r="J259" s="64" t="s">
        <v>34</v>
      </c>
      <c r="K259" s="129"/>
      <c r="L259" s="126" t="s">
        <v>76</v>
      </c>
      <c r="M259" s="126" t="s">
        <v>37</v>
      </c>
      <c r="N259" s="126" t="s">
        <v>1126</v>
      </c>
      <c r="O259" s="161">
        <v>46054</v>
      </c>
      <c r="P259" s="137">
        <v>467982</v>
      </c>
      <c r="Q259" s="143" t="s">
        <v>336</v>
      </c>
      <c r="R259" s="126"/>
    </row>
    <row r="260" spans="1:18">
      <c r="A260" s="158">
        <f t="shared" si="4"/>
        <v>259</v>
      </c>
      <c r="B260" s="138">
        <v>46054</v>
      </c>
      <c r="C260" s="159" t="s">
        <v>1127</v>
      </c>
      <c r="D260" s="126" t="s">
        <v>1128</v>
      </c>
      <c r="E260" s="126" t="s">
        <v>711</v>
      </c>
      <c r="F260" s="126" t="s">
        <v>32</v>
      </c>
      <c r="G260" s="160" t="s">
        <v>1129</v>
      </c>
      <c r="H260" s="1">
        <v>9995898304</v>
      </c>
      <c r="I260" s="129" t="s">
        <v>1130</v>
      </c>
      <c r="J260" s="64" t="s">
        <v>74</v>
      </c>
      <c r="K260" s="129" t="s">
        <v>1131</v>
      </c>
      <c r="L260" s="126" t="s">
        <v>54</v>
      </c>
      <c r="M260" s="126" t="s">
        <v>37</v>
      </c>
      <c r="N260" s="126" t="s">
        <v>1132</v>
      </c>
      <c r="O260" s="161">
        <v>46054</v>
      </c>
      <c r="P260" s="170">
        <v>669000</v>
      </c>
      <c r="Q260" s="154" t="s">
        <v>78</v>
      </c>
      <c r="R260" s="126"/>
    </row>
    <row r="261" spans="1:18">
      <c r="A261" s="158">
        <f t="shared" si="4"/>
        <v>260</v>
      </c>
      <c r="B261" s="138">
        <v>46054</v>
      </c>
      <c r="C261" s="159" t="s">
        <v>1133</v>
      </c>
      <c r="D261" s="126" t="s">
        <v>460</v>
      </c>
      <c r="E261" s="126" t="s">
        <v>41</v>
      </c>
      <c r="F261" s="126" t="s">
        <v>42</v>
      </c>
      <c r="G261" s="160" t="s">
        <v>1134</v>
      </c>
      <c r="H261" s="1">
        <v>9438202725</v>
      </c>
      <c r="I261" s="129" t="s">
        <v>1135</v>
      </c>
      <c r="J261" s="64" t="s">
        <v>34</v>
      </c>
      <c r="K261" s="129" t="s">
        <v>1136</v>
      </c>
      <c r="L261" s="126" t="s">
        <v>54</v>
      </c>
      <c r="M261" s="126" t="s">
        <v>37</v>
      </c>
      <c r="N261" s="126" t="s">
        <v>1137</v>
      </c>
      <c r="O261" s="161">
        <v>46054</v>
      </c>
      <c r="P261" s="137">
        <v>200000</v>
      </c>
      <c r="Q261" s="143" t="s">
        <v>336</v>
      </c>
      <c r="R261" s="126"/>
    </row>
    <row r="262" spans="1:18">
      <c r="A262" s="158">
        <f t="shared" si="4"/>
        <v>261</v>
      </c>
      <c r="B262" s="138">
        <v>46054</v>
      </c>
      <c r="C262" s="159" t="s">
        <v>1133</v>
      </c>
      <c r="D262" s="126" t="s">
        <v>460</v>
      </c>
      <c r="E262" s="126" t="s">
        <v>41</v>
      </c>
      <c r="F262" s="126" t="s">
        <v>201</v>
      </c>
      <c r="G262" s="160" t="s">
        <v>1138</v>
      </c>
      <c r="H262" s="1" t="s">
        <v>1139</v>
      </c>
      <c r="I262" s="129" t="s">
        <v>1140</v>
      </c>
      <c r="J262" s="64" t="s">
        <v>34</v>
      </c>
      <c r="K262" s="129" t="s">
        <v>1141</v>
      </c>
      <c r="L262" s="126" t="s">
        <v>54</v>
      </c>
      <c r="M262" s="126" t="s">
        <v>37</v>
      </c>
      <c r="N262" s="126" t="s">
        <v>1142</v>
      </c>
      <c r="O262" s="161">
        <v>46054</v>
      </c>
      <c r="P262" s="137">
        <v>1500000</v>
      </c>
      <c r="Q262" s="159" t="s">
        <v>336</v>
      </c>
      <c r="R262" s="126"/>
    </row>
    <row r="263" spans="1:18">
      <c r="A263" s="158">
        <f t="shared" si="4"/>
        <v>262</v>
      </c>
      <c r="B263" s="138">
        <v>46055</v>
      </c>
      <c r="C263" s="159" t="s">
        <v>442</v>
      </c>
      <c r="D263" s="126" t="s">
        <v>460</v>
      </c>
      <c r="E263" s="126" t="s">
        <v>41</v>
      </c>
      <c r="F263" s="126" t="s">
        <v>71</v>
      </c>
      <c r="G263" s="160" t="s">
        <v>1143</v>
      </c>
      <c r="H263" s="1">
        <v>7666717341</v>
      </c>
      <c r="I263" s="129" t="s">
        <v>1144</v>
      </c>
      <c r="J263" s="64" t="s">
        <v>34</v>
      </c>
      <c r="K263" s="129" t="s">
        <v>1145</v>
      </c>
      <c r="L263" s="126" t="s">
        <v>54</v>
      </c>
      <c r="M263" s="126" t="s">
        <v>77</v>
      </c>
      <c r="N263" s="126" t="s">
        <v>1146</v>
      </c>
      <c r="O263" s="161">
        <v>46055</v>
      </c>
      <c r="P263" s="137">
        <v>175985</v>
      </c>
      <c r="Q263" s="159" t="s">
        <v>38</v>
      </c>
      <c r="R263" s="126"/>
    </row>
    <row r="264" spans="1:18">
      <c r="A264" s="158">
        <f t="shared" si="4"/>
        <v>263</v>
      </c>
      <c r="B264" s="138">
        <v>46055</v>
      </c>
      <c r="C264" s="159" t="s">
        <v>893</v>
      </c>
      <c r="D264" s="126" t="s">
        <v>460</v>
      </c>
      <c r="E264" s="126" t="s">
        <v>41</v>
      </c>
      <c r="F264" s="126" t="s">
        <v>1147</v>
      </c>
      <c r="G264" s="160" t="s">
        <v>1148</v>
      </c>
      <c r="H264" s="1"/>
      <c r="I264" s="129" t="s">
        <v>1149</v>
      </c>
      <c r="J264" s="64" t="s">
        <v>34</v>
      </c>
      <c r="K264" s="129" t="s">
        <v>1150</v>
      </c>
      <c r="L264" s="126" t="s">
        <v>54</v>
      </c>
      <c r="M264" s="126" t="s">
        <v>37</v>
      </c>
      <c r="N264" s="126" t="s">
        <v>1151</v>
      </c>
      <c r="O264" s="161">
        <v>46055</v>
      </c>
      <c r="P264" s="137">
        <v>790000</v>
      </c>
      <c r="Q264" s="159" t="s">
        <v>336</v>
      </c>
      <c r="R264" s="126"/>
    </row>
    <row r="265" spans="1:18">
      <c r="A265" s="158">
        <f t="shared" si="4"/>
        <v>264</v>
      </c>
      <c r="B265" s="138">
        <v>46055</v>
      </c>
      <c r="C265" s="159" t="s">
        <v>1044</v>
      </c>
      <c r="D265" s="126" t="s">
        <v>1152</v>
      </c>
      <c r="E265" s="126" t="s">
        <v>41</v>
      </c>
      <c r="F265" s="126" t="s">
        <v>71</v>
      </c>
      <c r="G265" s="160" t="s">
        <v>1153</v>
      </c>
      <c r="H265" s="1"/>
      <c r="I265" s="129" t="s">
        <v>1154</v>
      </c>
      <c r="J265" s="64" t="s">
        <v>74</v>
      </c>
      <c r="K265" s="129" t="s">
        <v>1155</v>
      </c>
      <c r="L265" s="126" t="s">
        <v>54</v>
      </c>
      <c r="M265" s="126" t="s">
        <v>77</v>
      </c>
      <c r="N265" s="126" t="s">
        <v>1156</v>
      </c>
      <c r="O265" s="161">
        <v>46055</v>
      </c>
      <c r="P265" s="170">
        <v>168770</v>
      </c>
      <c r="Q265" s="154" t="s">
        <v>78</v>
      </c>
      <c r="R265" s="126"/>
    </row>
    <row r="266" spans="1:18">
      <c r="A266" s="158">
        <f t="shared" si="4"/>
        <v>265</v>
      </c>
      <c r="B266" s="138">
        <v>46055</v>
      </c>
      <c r="C266" s="159" t="s">
        <v>1157</v>
      </c>
      <c r="D266" s="126" t="s">
        <v>1158</v>
      </c>
      <c r="E266" s="126" t="s">
        <v>41</v>
      </c>
      <c r="F266" s="126" t="s">
        <v>80</v>
      </c>
      <c r="G266" s="160" t="s">
        <v>1159</v>
      </c>
      <c r="H266" s="1">
        <v>8855803220</v>
      </c>
      <c r="I266" s="129" t="s">
        <v>1160</v>
      </c>
      <c r="J266" s="64" t="s">
        <v>34</v>
      </c>
      <c r="K266" s="129" t="s">
        <v>1161</v>
      </c>
      <c r="L266" s="126" t="s">
        <v>54</v>
      </c>
      <c r="M266" s="126" t="s">
        <v>69</v>
      </c>
      <c r="N266" s="126" t="s">
        <v>1162</v>
      </c>
      <c r="O266" s="161">
        <v>46055</v>
      </c>
      <c r="P266" s="137">
        <v>885000</v>
      </c>
      <c r="Q266" s="143" t="s">
        <v>293</v>
      </c>
      <c r="R266" s="126" t="s">
        <v>1163</v>
      </c>
    </row>
    <row r="267" spans="1:18">
      <c r="A267" s="158">
        <f t="shared" si="4"/>
        <v>266</v>
      </c>
      <c r="B267" s="138">
        <v>46055</v>
      </c>
      <c r="C267" s="159" t="s">
        <v>1164</v>
      </c>
      <c r="D267" s="126" t="s">
        <v>1165</v>
      </c>
      <c r="E267" s="126" t="s">
        <v>41</v>
      </c>
      <c r="F267" s="126" t="s">
        <v>32</v>
      </c>
      <c r="G267" s="160" t="s">
        <v>1166</v>
      </c>
      <c r="H267" s="1"/>
      <c r="I267" s="129" t="s">
        <v>1167</v>
      </c>
      <c r="J267" s="64" t="s">
        <v>99</v>
      </c>
      <c r="K267" s="129" t="s">
        <v>1168</v>
      </c>
      <c r="L267" s="126" t="s">
        <v>54</v>
      </c>
      <c r="M267" s="126" t="s">
        <v>69</v>
      </c>
      <c r="N267" s="126" t="s">
        <v>1169</v>
      </c>
      <c r="O267" s="161">
        <v>46055</v>
      </c>
      <c r="P267" s="137">
        <v>1000000</v>
      </c>
      <c r="Q267" s="143" t="s">
        <v>145</v>
      </c>
      <c r="R267" s="126"/>
    </row>
    <row r="268" spans="1:18">
      <c r="A268" s="158">
        <f t="shared" si="4"/>
        <v>267</v>
      </c>
      <c r="B268" s="138">
        <v>46056</v>
      </c>
      <c r="C268" s="159" t="s">
        <v>1170</v>
      </c>
      <c r="D268" s="126" t="s">
        <v>1171</v>
      </c>
      <c r="E268" s="126" t="s">
        <v>41</v>
      </c>
      <c r="F268" s="126" t="s">
        <v>42</v>
      </c>
      <c r="G268" s="160" t="s">
        <v>1172</v>
      </c>
      <c r="H268" s="1">
        <v>8349101121</v>
      </c>
      <c r="I268" s="129" t="s">
        <v>1173</v>
      </c>
      <c r="J268" s="64" t="s">
        <v>34</v>
      </c>
      <c r="K268" s="129" t="s">
        <v>1174</v>
      </c>
      <c r="L268" s="126" t="s">
        <v>54</v>
      </c>
      <c r="M268" s="126" t="s">
        <v>37</v>
      </c>
      <c r="N268" s="126" t="s">
        <v>1175</v>
      </c>
      <c r="O268" s="161">
        <v>46056</v>
      </c>
      <c r="P268" s="170">
        <v>1660000</v>
      </c>
      <c r="Q268" s="154" t="s">
        <v>124</v>
      </c>
      <c r="R268" s="126"/>
    </row>
    <row r="269" spans="1:18">
      <c r="A269" s="158">
        <f t="shared" si="4"/>
        <v>268</v>
      </c>
      <c r="B269" s="138">
        <v>46056</v>
      </c>
      <c r="C269" s="159" t="s">
        <v>1176</v>
      </c>
      <c r="D269" s="126" t="s">
        <v>753</v>
      </c>
      <c r="E269" s="126" t="s">
        <v>41</v>
      </c>
      <c r="F269" s="126" t="s">
        <v>32</v>
      </c>
      <c r="G269" s="160" t="s">
        <v>1177</v>
      </c>
      <c r="H269" s="1">
        <v>7021770499</v>
      </c>
      <c r="I269" s="129" t="s">
        <v>1178</v>
      </c>
      <c r="J269" s="64" t="s">
        <v>34</v>
      </c>
      <c r="K269" s="129" t="s">
        <v>1179</v>
      </c>
      <c r="L269" s="126" t="s">
        <v>54</v>
      </c>
      <c r="M269" s="126" t="s">
        <v>77</v>
      </c>
      <c r="N269" s="126" t="s">
        <v>1180</v>
      </c>
      <c r="O269" s="161">
        <v>46056</v>
      </c>
      <c r="P269" s="137">
        <v>3097785</v>
      </c>
      <c r="Q269" s="143" t="s">
        <v>38</v>
      </c>
      <c r="R269" s="126"/>
    </row>
    <row r="270" spans="1:18">
      <c r="A270" s="158">
        <f t="shared" si="4"/>
        <v>269</v>
      </c>
      <c r="B270" s="138">
        <v>46055</v>
      </c>
      <c r="C270" s="159" t="s">
        <v>1181</v>
      </c>
      <c r="D270" s="126" t="s">
        <v>1182</v>
      </c>
      <c r="E270" s="126" t="s">
        <v>206</v>
      </c>
      <c r="F270" s="126" t="s">
        <v>32</v>
      </c>
      <c r="G270" s="129" t="s">
        <v>1183</v>
      </c>
      <c r="H270" s="64">
        <v>9971263279</v>
      </c>
      <c r="I270" s="129" t="s">
        <v>1184</v>
      </c>
      <c r="J270" s="64" t="s">
        <v>272</v>
      </c>
      <c r="K270" s="129" t="s">
        <v>1185</v>
      </c>
      <c r="L270" s="126" t="s">
        <v>76</v>
      </c>
      <c r="M270" s="126" t="s">
        <v>69</v>
      </c>
      <c r="N270" s="126"/>
      <c r="O270" s="161"/>
      <c r="P270" s="131"/>
      <c r="Q270" s="154"/>
      <c r="R270" s="126"/>
    </row>
    <row r="271" spans="1:18">
      <c r="A271" s="158">
        <f t="shared" si="4"/>
        <v>270</v>
      </c>
      <c r="B271" s="138">
        <v>46055</v>
      </c>
      <c r="C271" s="159" t="s">
        <v>1186</v>
      </c>
      <c r="D271" s="126" t="s">
        <v>1187</v>
      </c>
      <c r="E271" s="126" t="s">
        <v>41</v>
      </c>
      <c r="F271" s="126" t="s">
        <v>201</v>
      </c>
      <c r="G271" s="129" t="s">
        <v>692</v>
      </c>
      <c r="H271" s="64">
        <v>9359082879</v>
      </c>
      <c r="I271" s="129" t="s">
        <v>1188</v>
      </c>
      <c r="J271" s="64" t="s">
        <v>34</v>
      </c>
      <c r="K271" s="129" t="s">
        <v>1189</v>
      </c>
      <c r="L271" s="126" t="s">
        <v>54</v>
      </c>
      <c r="M271" s="126" t="s">
        <v>55</v>
      </c>
      <c r="N271" s="126"/>
      <c r="O271" s="161"/>
      <c r="P271" s="131"/>
      <c r="Q271" s="154"/>
      <c r="R271" s="126"/>
    </row>
    <row r="272" spans="1:18">
      <c r="A272" s="158">
        <f t="shared" si="4"/>
        <v>271</v>
      </c>
      <c r="B272" s="138">
        <v>46055</v>
      </c>
      <c r="C272" s="159" t="s">
        <v>1190</v>
      </c>
      <c r="D272" s="126" t="s">
        <v>264</v>
      </c>
      <c r="E272" s="126" t="s">
        <v>41</v>
      </c>
      <c r="F272" s="126" t="s">
        <v>32</v>
      </c>
      <c r="G272" s="129" t="s">
        <v>697</v>
      </c>
      <c r="H272" s="64">
        <v>7276105672</v>
      </c>
      <c r="I272" s="129"/>
      <c r="J272" s="64" t="s">
        <v>81</v>
      </c>
      <c r="K272" s="129" t="s">
        <v>1191</v>
      </c>
      <c r="L272" s="126" t="s">
        <v>76</v>
      </c>
      <c r="M272" s="126" t="s">
        <v>69</v>
      </c>
      <c r="N272" s="126"/>
      <c r="O272" s="161"/>
      <c r="P272" s="131"/>
      <c r="Q272" s="154"/>
      <c r="R272" s="126"/>
    </row>
    <row r="273" spans="1:18">
      <c r="A273" s="158">
        <f t="shared" si="4"/>
        <v>272</v>
      </c>
      <c r="B273" s="138">
        <v>46055</v>
      </c>
      <c r="C273" s="159" t="s">
        <v>1192</v>
      </c>
      <c r="D273" s="126" t="s">
        <v>1193</v>
      </c>
      <c r="E273" s="126" t="s">
        <v>84</v>
      </c>
      <c r="F273" s="126" t="s">
        <v>32</v>
      </c>
      <c r="G273" s="129" t="s">
        <v>1194</v>
      </c>
      <c r="H273" s="64">
        <v>9274496151</v>
      </c>
      <c r="I273" s="129" t="s">
        <v>1195</v>
      </c>
      <c r="J273" s="64" t="s">
        <v>272</v>
      </c>
      <c r="K273" s="129" t="s">
        <v>1196</v>
      </c>
      <c r="L273" s="126" t="s">
        <v>76</v>
      </c>
      <c r="M273" s="126" t="s">
        <v>55</v>
      </c>
      <c r="N273" s="126"/>
      <c r="O273" s="161"/>
      <c r="P273" s="131"/>
      <c r="Q273" s="154"/>
      <c r="R273" s="126"/>
    </row>
    <row r="274" spans="1:18">
      <c r="A274" s="158">
        <f t="shared" si="4"/>
        <v>273</v>
      </c>
      <c r="B274" s="138">
        <v>46055</v>
      </c>
      <c r="C274" s="159" t="s">
        <v>1197</v>
      </c>
      <c r="D274" s="126" t="s">
        <v>264</v>
      </c>
      <c r="E274" s="126" t="s">
        <v>41</v>
      </c>
      <c r="F274" s="126" t="s">
        <v>32</v>
      </c>
      <c r="G274" s="129" t="s">
        <v>1198</v>
      </c>
      <c r="H274" s="64">
        <v>9545487854</v>
      </c>
      <c r="I274" s="129" t="s">
        <v>1199</v>
      </c>
      <c r="J274" s="64" t="s">
        <v>81</v>
      </c>
      <c r="K274" s="129" t="s">
        <v>1200</v>
      </c>
      <c r="L274" s="126" t="s">
        <v>76</v>
      </c>
      <c r="M274" s="126" t="s">
        <v>69</v>
      </c>
      <c r="N274" s="126"/>
      <c r="O274" s="161"/>
      <c r="P274" s="131"/>
      <c r="Q274" s="154"/>
      <c r="R274" s="126"/>
    </row>
    <row r="275" spans="1:18">
      <c r="A275" s="158">
        <f t="shared" si="4"/>
        <v>274</v>
      </c>
      <c r="B275" s="138">
        <v>46055</v>
      </c>
      <c r="C275" s="159"/>
      <c r="D275" s="126" t="s">
        <v>1201</v>
      </c>
      <c r="E275" s="126" t="s">
        <v>84</v>
      </c>
      <c r="F275" s="126" t="s">
        <v>71</v>
      </c>
      <c r="G275" s="129" t="s">
        <v>72</v>
      </c>
      <c r="H275" s="1">
        <v>8460547657</v>
      </c>
      <c r="J275" s="154" t="s">
        <v>272</v>
      </c>
      <c r="K275" s="129" t="s">
        <v>1202</v>
      </c>
      <c r="L275" s="126" t="s">
        <v>76</v>
      </c>
      <c r="M275" s="126" t="s">
        <v>77</v>
      </c>
      <c r="N275" s="126"/>
      <c r="O275" s="161"/>
      <c r="P275" s="131"/>
      <c r="Q275" s="154"/>
      <c r="R275" s="126"/>
    </row>
    <row r="276" spans="1:18">
      <c r="A276" s="158">
        <f t="shared" si="4"/>
        <v>275</v>
      </c>
      <c r="B276" s="138">
        <v>46056</v>
      </c>
      <c r="C276" s="159" t="s">
        <v>1203</v>
      </c>
      <c r="D276" s="126" t="s">
        <v>1204</v>
      </c>
      <c r="E276" s="126" t="s">
        <v>41</v>
      </c>
      <c r="F276" s="126" t="s">
        <v>32</v>
      </c>
      <c r="G276" s="129" t="s">
        <v>1205</v>
      </c>
      <c r="H276" s="64">
        <v>7972987766</v>
      </c>
      <c r="I276" s="129" t="s">
        <v>1206</v>
      </c>
      <c r="J276" s="154" t="s">
        <v>248</v>
      </c>
      <c r="K276" s="2" t="s">
        <v>1207</v>
      </c>
      <c r="L276" s="126" t="s">
        <v>76</v>
      </c>
      <c r="M276" s="126" t="s">
        <v>69</v>
      </c>
      <c r="N276" s="126"/>
      <c r="O276" s="161"/>
      <c r="P276" s="131"/>
      <c r="Q276" s="154"/>
      <c r="R276" s="126"/>
    </row>
    <row r="277" spans="1:18">
      <c r="A277" s="158">
        <f t="shared" si="4"/>
        <v>276</v>
      </c>
      <c r="B277" s="138">
        <v>46056</v>
      </c>
      <c r="C277" s="159" t="s">
        <v>1208</v>
      </c>
      <c r="D277" s="126" t="s">
        <v>1209</v>
      </c>
      <c r="E277" s="126" t="s">
        <v>84</v>
      </c>
      <c r="F277" s="126" t="s">
        <v>80</v>
      </c>
      <c r="G277" s="129" t="s">
        <v>887</v>
      </c>
      <c r="H277" s="1">
        <v>9510173437</v>
      </c>
      <c r="I277" t="s">
        <v>1210</v>
      </c>
      <c r="J277" s="154" t="s">
        <v>81</v>
      </c>
      <c r="K277" s="129" t="s">
        <v>1211</v>
      </c>
      <c r="L277" s="126" t="s">
        <v>76</v>
      </c>
      <c r="M277" s="126" t="s">
        <v>55</v>
      </c>
      <c r="N277" s="126"/>
      <c r="O277" s="161"/>
      <c r="P277" s="131"/>
      <c r="Q277" s="154"/>
      <c r="R277" s="126"/>
    </row>
    <row r="278" spans="1:18">
      <c r="A278" s="158">
        <f t="shared" si="4"/>
        <v>277</v>
      </c>
      <c r="B278" s="138">
        <v>46056</v>
      </c>
      <c r="C278" s="129" t="s">
        <v>887</v>
      </c>
      <c r="D278" s="129" t="s">
        <v>240</v>
      </c>
      <c r="E278" s="126" t="s">
        <v>84</v>
      </c>
      <c r="F278" s="126" t="s">
        <v>80</v>
      </c>
      <c r="G278" s="129" t="s">
        <v>887</v>
      </c>
      <c r="H278" s="64">
        <v>8866380848</v>
      </c>
      <c r="I278" s="129" t="s">
        <v>1212</v>
      </c>
      <c r="J278" s="64" t="s">
        <v>81</v>
      </c>
      <c r="K278" s="129" t="s">
        <v>1213</v>
      </c>
      <c r="L278" s="126" t="s">
        <v>76</v>
      </c>
      <c r="M278" s="126" t="s">
        <v>55</v>
      </c>
      <c r="N278" s="126"/>
      <c r="O278" s="161"/>
      <c r="P278" s="131"/>
      <c r="Q278" s="154"/>
      <c r="R278" s="126"/>
    </row>
    <row r="279" spans="1:18">
      <c r="A279" s="158">
        <f t="shared" si="4"/>
        <v>278</v>
      </c>
      <c r="B279" s="138">
        <v>46056</v>
      </c>
      <c r="C279" s="129" t="s">
        <v>1203</v>
      </c>
      <c r="D279" s="129" t="s">
        <v>1204</v>
      </c>
      <c r="E279" s="126" t="s">
        <v>41</v>
      </c>
      <c r="F279" s="126" t="s">
        <v>71</v>
      </c>
      <c r="G279" s="129" t="s">
        <v>1214</v>
      </c>
      <c r="H279" s="64">
        <v>7972987766</v>
      </c>
      <c r="I279" s="129" t="s">
        <v>1206</v>
      </c>
      <c r="J279" s="64" t="s">
        <v>99</v>
      </c>
      <c r="K279" s="129" t="s">
        <v>1207</v>
      </c>
      <c r="L279" s="126" t="s">
        <v>76</v>
      </c>
      <c r="M279" s="126" t="s">
        <v>77</v>
      </c>
      <c r="N279" s="126"/>
      <c r="O279" s="161"/>
      <c r="P279" s="131"/>
      <c r="Q279" s="154"/>
      <c r="R279" s="126"/>
    </row>
    <row r="280" spans="1:18">
      <c r="A280" s="158">
        <f t="shared" si="4"/>
        <v>279</v>
      </c>
      <c r="B280" s="138">
        <v>46056</v>
      </c>
      <c r="C280" s="159" t="s">
        <v>1208</v>
      </c>
      <c r="D280" s="126" t="s">
        <v>1209</v>
      </c>
      <c r="E280" s="126" t="s">
        <v>84</v>
      </c>
      <c r="F280" s="126" t="s">
        <v>71</v>
      </c>
      <c r="G280" s="129" t="s">
        <v>212</v>
      </c>
      <c r="H280" s="64">
        <v>9510173437</v>
      </c>
      <c r="I280" s="128"/>
      <c r="J280" s="154" t="s">
        <v>272</v>
      </c>
      <c r="K280" s="129"/>
      <c r="L280" s="126" t="s">
        <v>76</v>
      </c>
      <c r="M280" s="126" t="s">
        <v>77</v>
      </c>
      <c r="N280" s="126"/>
      <c r="O280" s="161"/>
      <c r="P280" s="131"/>
      <c r="Q280" s="154"/>
      <c r="R280" s="126"/>
    </row>
    <row r="281" spans="1:18">
      <c r="A281" s="158">
        <f t="shared" si="4"/>
        <v>280</v>
      </c>
      <c r="B281" s="138">
        <v>46056</v>
      </c>
      <c r="C281" s="159" t="s">
        <v>1215</v>
      </c>
      <c r="D281" s="126" t="s">
        <v>1216</v>
      </c>
      <c r="E281" s="126" t="s">
        <v>41</v>
      </c>
      <c r="F281" s="126" t="s">
        <v>71</v>
      </c>
      <c r="G281" s="129" t="s">
        <v>1217</v>
      </c>
      <c r="H281" s="64">
        <v>9607590325</v>
      </c>
      <c r="I281" s="129" t="s">
        <v>1218</v>
      </c>
      <c r="J281" s="154" t="s">
        <v>81</v>
      </c>
      <c r="K281" s="129" t="s">
        <v>1219</v>
      </c>
      <c r="L281" s="126" t="s">
        <v>76</v>
      </c>
      <c r="M281" s="126" t="s">
        <v>77</v>
      </c>
      <c r="N281" s="126"/>
      <c r="O281" s="161"/>
      <c r="P281" s="131"/>
      <c r="Q281" s="154"/>
      <c r="R281" s="126"/>
    </row>
    <row r="282" spans="1:18">
      <c r="A282" s="158">
        <f t="shared" si="4"/>
        <v>281</v>
      </c>
      <c r="B282" s="138">
        <v>46056</v>
      </c>
      <c r="C282" s="159" t="s">
        <v>1220</v>
      </c>
      <c r="D282" s="126" t="s">
        <v>985</v>
      </c>
      <c r="E282" s="126" t="s">
        <v>41</v>
      </c>
      <c r="F282" s="129" t="s">
        <v>71</v>
      </c>
      <c r="G282" s="126" t="s">
        <v>1221</v>
      </c>
      <c r="H282" s="64">
        <v>6361166196</v>
      </c>
      <c r="I282" s="129"/>
      <c r="J282" s="154" t="s">
        <v>81</v>
      </c>
      <c r="K282" s="129"/>
      <c r="L282" s="126" t="s">
        <v>76</v>
      </c>
      <c r="M282" s="126" t="s">
        <v>77</v>
      </c>
      <c r="N282" s="126"/>
      <c r="O282" s="161"/>
      <c r="P282" s="131"/>
      <c r="Q282" s="154"/>
      <c r="R282" s="126"/>
    </row>
    <row r="283" spans="1:18">
      <c r="A283" s="158">
        <f t="shared" si="4"/>
        <v>282</v>
      </c>
      <c r="B283" s="138">
        <v>46056</v>
      </c>
      <c r="C283" s="159" t="s">
        <v>1222</v>
      </c>
      <c r="D283" s="126" t="s">
        <v>1223</v>
      </c>
      <c r="E283" s="126" t="s">
        <v>41</v>
      </c>
      <c r="F283" s="126" t="s">
        <v>90</v>
      </c>
      <c r="G283" s="129" t="s">
        <v>90</v>
      </c>
      <c r="H283" s="64">
        <v>9867424987</v>
      </c>
      <c r="I283" s="129" t="s">
        <v>1224</v>
      </c>
      <c r="J283" s="154" t="s">
        <v>81</v>
      </c>
      <c r="K283" s="129" t="s">
        <v>1225</v>
      </c>
      <c r="L283" s="126" t="s">
        <v>76</v>
      </c>
      <c r="M283" s="126" t="s">
        <v>55</v>
      </c>
      <c r="N283" s="126"/>
      <c r="O283" s="161"/>
      <c r="P283" s="131"/>
      <c r="Q283" s="154"/>
      <c r="R283" s="126"/>
    </row>
    <row r="284" spans="1:18">
      <c r="A284" s="158">
        <f t="shared" si="4"/>
        <v>283</v>
      </c>
      <c r="B284" s="138">
        <v>46057</v>
      </c>
      <c r="C284" s="159" t="s">
        <v>1226</v>
      </c>
      <c r="D284" s="126" t="s">
        <v>1227</v>
      </c>
      <c r="E284" s="126" t="s">
        <v>89</v>
      </c>
      <c r="F284" s="126" t="s">
        <v>42</v>
      </c>
      <c r="G284" s="129" t="s">
        <v>1228</v>
      </c>
      <c r="H284" s="64">
        <v>9031656641</v>
      </c>
      <c r="I284" s="129" t="s">
        <v>1229</v>
      </c>
      <c r="J284" s="154" t="s">
        <v>34</v>
      </c>
      <c r="K284" s="2" t="s">
        <v>1230</v>
      </c>
      <c r="L284" s="126" t="s">
        <v>54</v>
      </c>
      <c r="M284" s="126" t="s">
        <v>55</v>
      </c>
      <c r="N284" s="126" t="s">
        <v>1231</v>
      </c>
      <c r="O284" s="161">
        <v>46057</v>
      </c>
      <c r="P284" s="137" t="s">
        <v>1232</v>
      </c>
      <c r="Q284" s="143" t="s">
        <v>336</v>
      </c>
      <c r="R284" s="126"/>
    </row>
    <row r="285" spans="1:18">
      <c r="A285" s="158">
        <f t="shared" si="4"/>
        <v>284</v>
      </c>
      <c r="B285" s="138">
        <v>46057</v>
      </c>
      <c r="C285" s="159" t="s">
        <v>1233</v>
      </c>
      <c r="D285" s="126" t="s">
        <v>1234</v>
      </c>
      <c r="E285" s="126" t="s">
        <v>41</v>
      </c>
      <c r="F285" s="126" t="s">
        <v>117</v>
      </c>
      <c r="G285" s="129" t="s">
        <v>1235</v>
      </c>
      <c r="H285" s="1"/>
      <c r="I285" s="129" t="s">
        <v>1236</v>
      </c>
      <c r="J285" s="154" t="s">
        <v>99</v>
      </c>
      <c r="K285" s="2" t="s">
        <v>1237</v>
      </c>
      <c r="L285" s="126" t="s">
        <v>76</v>
      </c>
      <c r="M285" s="126" t="s">
        <v>69</v>
      </c>
      <c r="N285" s="126" t="s">
        <v>1238</v>
      </c>
      <c r="O285" s="161">
        <v>46057</v>
      </c>
      <c r="P285" s="137" t="s">
        <v>1239</v>
      </c>
      <c r="Q285" s="143" t="s">
        <v>145</v>
      </c>
      <c r="R285" s="126"/>
    </row>
    <row r="286" spans="1:18">
      <c r="A286" s="158">
        <f t="shared" si="4"/>
        <v>285</v>
      </c>
      <c r="B286" s="138">
        <v>46057</v>
      </c>
      <c r="C286" s="159" t="s">
        <v>1240</v>
      </c>
      <c r="D286" s="126" t="s">
        <v>1241</v>
      </c>
      <c r="E286" s="126" t="s">
        <v>206</v>
      </c>
      <c r="F286" s="126" t="s">
        <v>32</v>
      </c>
      <c r="G286" s="129" t="s">
        <v>1242</v>
      </c>
      <c r="H286" s="1">
        <v>7985566795</v>
      </c>
      <c r="I286" s="129" t="s">
        <v>1243</v>
      </c>
      <c r="J286" s="154" t="s">
        <v>272</v>
      </c>
      <c r="K286" s="2" t="s">
        <v>1244</v>
      </c>
      <c r="L286" s="126" t="s">
        <v>76</v>
      </c>
      <c r="M286" s="126" t="s">
        <v>69</v>
      </c>
      <c r="N286" s="126"/>
      <c r="O286" s="161"/>
      <c r="P286" s="131"/>
      <c r="Q286" s="154"/>
      <c r="R286" s="126"/>
    </row>
    <row r="287" spans="1:18">
      <c r="A287" s="158">
        <f t="shared" si="4"/>
        <v>286</v>
      </c>
      <c r="B287" s="138">
        <v>46057</v>
      </c>
      <c r="C287" s="159" t="s">
        <v>1245</v>
      </c>
      <c r="D287" s="126" t="s">
        <v>264</v>
      </c>
      <c r="E287" s="126" t="s">
        <v>41</v>
      </c>
      <c r="F287" s="126" t="s">
        <v>90</v>
      </c>
      <c r="G287" s="129" t="s">
        <v>303</v>
      </c>
      <c r="H287" s="1">
        <v>8094725854</v>
      </c>
      <c r="I287" s="159" t="s">
        <v>1246</v>
      </c>
      <c r="J287" s="154" t="s">
        <v>272</v>
      </c>
      <c r="K287" s="2" t="s">
        <v>1245</v>
      </c>
      <c r="L287" s="126" t="s">
        <v>76</v>
      </c>
      <c r="M287" s="126" t="s">
        <v>69</v>
      </c>
      <c r="N287" s="126"/>
      <c r="O287" s="161"/>
      <c r="P287" s="131"/>
      <c r="Q287" s="154"/>
      <c r="R287" s="126"/>
    </row>
    <row r="288" spans="1:18">
      <c r="A288" s="158">
        <f t="shared" si="4"/>
        <v>287</v>
      </c>
      <c r="B288" s="138">
        <v>46057</v>
      </c>
      <c r="C288" s="159" t="s">
        <v>1247</v>
      </c>
      <c r="D288" s="126" t="s">
        <v>1248</v>
      </c>
      <c r="E288" s="126"/>
      <c r="F288" s="126" t="s">
        <v>32</v>
      </c>
      <c r="G288" s="129" t="s">
        <v>568</v>
      </c>
      <c r="H288" s="64">
        <v>8899698688</v>
      </c>
      <c r="I288" s="129" t="s">
        <v>1249</v>
      </c>
      <c r="J288" s="64" t="s">
        <v>81</v>
      </c>
      <c r="K288" s="129" t="s">
        <v>1250</v>
      </c>
      <c r="L288" s="126" t="s">
        <v>76</v>
      </c>
      <c r="M288" s="129" t="s">
        <v>55</v>
      </c>
      <c r="N288" s="126"/>
      <c r="O288" s="161"/>
      <c r="P288" s="131"/>
      <c r="Q288" s="154"/>
      <c r="R288" s="126"/>
    </row>
    <row r="289" spans="1:18">
      <c r="A289" s="158">
        <f t="shared" si="4"/>
        <v>288</v>
      </c>
      <c r="B289" s="138">
        <v>46057</v>
      </c>
      <c r="C289" s="159" t="s">
        <v>1251</v>
      </c>
      <c r="D289" s="126" t="s">
        <v>1252</v>
      </c>
      <c r="E289" s="126" t="s">
        <v>308</v>
      </c>
      <c r="F289" s="126" t="s">
        <v>32</v>
      </c>
      <c r="G289" s="129" t="s">
        <v>1253</v>
      </c>
      <c r="H289" s="1">
        <v>8209248088</v>
      </c>
      <c r="I289" s="129" t="s">
        <v>1254</v>
      </c>
      <c r="J289" s="154" t="s">
        <v>81</v>
      </c>
      <c r="K289" s="2"/>
      <c r="L289" s="126" t="s">
        <v>76</v>
      </c>
      <c r="M289" s="126" t="s">
        <v>55</v>
      </c>
      <c r="N289" s="126"/>
      <c r="O289" s="161"/>
      <c r="P289" s="131"/>
      <c r="Q289" s="154"/>
      <c r="R289" s="126"/>
    </row>
    <row r="290" spans="1:18">
      <c r="A290" s="158">
        <f t="shared" si="4"/>
        <v>289</v>
      </c>
      <c r="B290" s="138">
        <v>46057</v>
      </c>
      <c r="C290" s="159" t="s">
        <v>1255</v>
      </c>
      <c r="D290" s="126" t="s">
        <v>1256</v>
      </c>
      <c r="E290" s="126"/>
      <c r="F290" s="126" t="s">
        <v>90</v>
      </c>
      <c r="G290" s="129" t="s">
        <v>423</v>
      </c>
      <c r="H290" s="1">
        <v>8825023069</v>
      </c>
      <c r="I290" s="129" t="s">
        <v>1257</v>
      </c>
      <c r="J290" s="154" t="s">
        <v>81</v>
      </c>
      <c r="K290" s="129" t="s">
        <v>1258</v>
      </c>
      <c r="L290" s="126" t="s">
        <v>76</v>
      </c>
      <c r="M290" s="126" t="s">
        <v>69</v>
      </c>
      <c r="N290" s="126"/>
      <c r="O290" s="161"/>
      <c r="P290" s="131"/>
      <c r="Q290" s="154"/>
      <c r="R290" s="126"/>
    </row>
    <row r="291" spans="1:18">
      <c r="A291" s="158">
        <f t="shared" si="4"/>
        <v>290</v>
      </c>
      <c r="B291" s="138">
        <v>46058</v>
      </c>
      <c r="C291" s="159"/>
      <c r="D291" s="126" t="s">
        <v>647</v>
      </c>
      <c r="E291" s="126" t="s">
        <v>131</v>
      </c>
      <c r="F291" s="126" t="s">
        <v>201</v>
      </c>
      <c r="G291" s="129" t="s">
        <v>202</v>
      </c>
      <c r="H291" s="1" t="s">
        <v>1259</v>
      </c>
      <c r="I291" s="129" t="s">
        <v>1260</v>
      </c>
      <c r="J291" s="154" t="s">
        <v>86</v>
      </c>
      <c r="K291" s="129" t="s">
        <v>1261</v>
      </c>
      <c r="L291" s="126" t="s">
        <v>76</v>
      </c>
      <c r="M291" s="126" t="s">
        <v>55</v>
      </c>
      <c r="N291" s="126"/>
      <c r="O291" s="161"/>
      <c r="P291" s="131"/>
      <c r="Q291" s="154"/>
      <c r="R291" s="126"/>
    </row>
    <row r="292" spans="1:18">
      <c r="A292" s="158">
        <f t="shared" si="4"/>
        <v>291</v>
      </c>
      <c r="B292" s="138">
        <v>46058</v>
      </c>
      <c r="C292" s="159" t="s">
        <v>1262</v>
      </c>
      <c r="D292" s="126" t="s">
        <v>710</v>
      </c>
      <c r="E292" s="126" t="s">
        <v>711</v>
      </c>
      <c r="F292" s="126" t="s">
        <v>117</v>
      </c>
      <c r="G292" s="129" t="s">
        <v>1263</v>
      </c>
      <c r="H292" s="1">
        <v>6366936443</v>
      </c>
      <c r="I292" s="129" t="s">
        <v>1264</v>
      </c>
      <c r="J292" s="154" t="s">
        <v>86</v>
      </c>
      <c r="K292" s="129" t="s">
        <v>1265</v>
      </c>
      <c r="L292" s="126" t="s">
        <v>76</v>
      </c>
      <c r="M292" s="126" t="s">
        <v>69</v>
      </c>
      <c r="N292" s="126"/>
      <c r="O292" s="161"/>
      <c r="P292" s="131"/>
      <c r="Q292" s="154"/>
      <c r="R292" s="126"/>
    </row>
    <row r="293" spans="1:18">
      <c r="A293" s="158">
        <f t="shared" si="4"/>
        <v>292</v>
      </c>
      <c r="B293" s="138">
        <v>46058</v>
      </c>
      <c r="C293" s="159" t="s">
        <v>1266</v>
      </c>
      <c r="D293" s="126" t="s">
        <v>1267</v>
      </c>
      <c r="E293" s="126"/>
      <c r="F293" s="126" t="s">
        <v>71</v>
      </c>
      <c r="G293" s="129" t="s">
        <v>1268</v>
      </c>
      <c r="H293" s="1">
        <v>7276566581</v>
      </c>
      <c r="I293" s="129" t="s">
        <v>1269</v>
      </c>
      <c r="J293" s="154" t="s">
        <v>99</v>
      </c>
      <c r="K293" s="129" t="s">
        <v>1266</v>
      </c>
      <c r="L293" s="126" t="s">
        <v>76</v>
      </c>
      <c r="M293" s="126" t="s">
        <v>77</v>
      </c>
      <c r="N293" s="126"/>
      <c r="O293" s="161"/>
      <c r="P293" s="131"/>
      <c r="Q293" s="154"/>
      <c r="R293" s="126"/>
    </row>
    <row r="294" spans="1:18" ht="18.75" customHeight="1">
      <c r="A294" s="158">
        <f t="shared" si="4"/>
        <v>293</v>
      </c>
      <c r="B294" s="138">
        <v>46059</v>
      </c>
      <c r="C294" s="159" t="s">
        <v>1270</v>
      </c>
      <c r="D294" s="126" t="s">
        <v>1271</v>
      </c>
      <c r="E294" s="126" t="s">
        <v>41</v>
      </c>
      <c r="F294" s="126" t="s">
        <v>80</v>
      </c>
      <c r="G294" s="129" t="s">
        <v>1272</v>
      </c>
      <c r="H294" s="64">
        <v>7030077116</v>
      </c>
      <c r="I294" s="129" t="s">
        <v>1273</v>
      </c>
      <c r="J294" s="64" t="s">
        <v>34</v>
      </c>
      <c r="K294" s="129" t="s">
        <v>1274</v>
      </c>
      <c r="L294" s="126" t="s">
        <v>54</v>
      </c>
      <c r="M294" s="126" t="s">
        <v>37</v>
      </c>
      <c r="N294" s="126" t="s">
        <v>1275</v>
      </c>
      <c r="O294" s="161">
        <v>46059</v>
      </c>
      <c r="P294" s="137">
        <v>540000</v>
      </c>
      <c r="Q294" s="143" t="s">
        <v>38</v>
      </c>
      <c r="R294" s="126"/>
    </row>
    <row r="295" spans="1:18" ht="18.75" customHeight="1">
      <c r="A295" s="158">
        <f t="shared" si="4"/>
        <v>294</v>
      </c>
      <c r="B295" s="138">
        <v>46059</v>
      </c>
      <c r="C295" s="159" t="s">
        <v>1276</v>
      </c>
      <c r="D295" s="126" t="s">
        <v>1277</v>
      </c>
      <c r="E295" s="126" t="s">
        <v>41</v>
      </c>
      <c r="F295" s="126" t="s">
        <v>90</v>
      </c>
      <c r="G295" s="129" t="s">
        <v>423</v>
      </c>
      <c r="H295" s="64">
        <v>9881592110</v>
      </c>
      <c r="I295" s="129"/>
      <c r="J295" s="64" t="s">
        <v>81</v>
      </c>
      <c r="K295" s="129" t="s">
        <v>1278</v>
      </c>
      <c r="L295" s="126" t="s">
        <v>76</v>
      </c>
      <c r="M295" s="126" t="s">
        <v>55</v>
      </c>
      <c r="N295" s="126"/>
      <c r="O295" s="161"/>
      <c r="P295" s="131"/>
      <c r="Q295" s="154"/>
      <c r="R295" s="126"/>
    </row>
    <row r="296" spans="1:18">
      <c r="A296" s="158">
        <f t="shared" si="4"/>
        <v>295</v>
      </c>
      <c r="B296" s="138">
        <v>46059</v>
      </c>
      <c r="C296" s="159" t="s">
        <v>1044</v>
      </c>
      <c r="D296" s="126" t="s">
        <v>460</v>
      </c>
      <c r="E296" s="126" t="s">
        <v>41</v>
      </c>
      <c r="F296" s="126" t="s">
        <v>117</v>
      </c>
      <c r="G296" s="129"/>
      <c r="H296" s="64"/>
      <c r="I296" s="129"/>
      <c r="J296" s="64" t="s">
        <v>34</v>
      </c>
      <c r="K296" s="129" t="s">
        <v>1279</v>
      </c>
      <c r="L296" s="126" t="s">
        <v>54</v>
      </c>
      <c r="M296" s="126" t="s">
        <v>55</v>
      </c>
      <c r="N296" s="126"/>
      <c r="O296" s="161"/>
      <c r="P296" s="131"/>
      <c r="Q296" s="154"/>
      <c r="R296" s="126"/>
    </row>
    <row r="297" spans="1:18">
      <c r="A297" s="158">
        <f t="shared" si="4"/>
        <v>296</v>
      </c>
      <c r="B297" s="138">
        <v>46059</v>
      </c>
      <c r="C297" s="159" t="s">
        <v>1280</v>
      </c>
      <c r="D297" s="126" t="s">
        <v>1281</v>
      </c>
      <c r="E297" s="126" t="s">
        <v>41</v>
      </c>
      <c r="F297" s="126" t="s">
        <v>117</v>
      </c>
      <c r="G297" s="129"/>
      <c r="H297" s="64"/>
      <c r="I297" s="129"/>
      <c r="J297" s="64" t="s">
        <v>34</v>
      </c>
      <c r="K297" s="129"/>
      <c r="L297" s="126" t="s">
        <v>54</v>
      </c>
      <c r="M297" s="126" t="s">
        <v>69</v>
      </c>
      <c r="N297" s="126"/>
      <c r="O297" s="161"/>
      <c r="P297" s="131"/>
      <c r="Q297" s="154"/>
      <c r="R297" s="126"/>
    </row>
    <row r="298" spans="1:18">
      <c r="A298" s="158">
        <f t="shared" si="4"/>
        <v>297</v>
      </c>
      <c r="B298" s="138">
        <v>46059</v>
      </c>
      <c r="C298" s="159" t="s">
        <v>1282</v>
      </c>
      <c r="D298" s="126" t="s">
        <v>1283</v>
      </c>
      <c r="E298" s="126" t="s">
        <v>41</v>
      </c>
      <c r="F298" s="126" t="s">
        <v>32</v>
      </c>
      <c r="G298" s="129" t="s">
        <v>1284</v>
      </c>
      <c r="H298" s="64"/>
      <c r="I298" s="165" t="s">
        <v>1285</v>
      </c>
      <c r="J298" s="64" t="s">
        <v>34</v>
      </c>
      <c r="K298" s="129" t="s">
        <v>1286</v>
      </c>
      <c r="L298" s="126" t="s">
        <v>36</v>
      </c>
      <c r="M298" s="126" t="s">
        <v>69</v>
      </c>
      <c r="N298" s="126" t="s">
        <v>1287</v>
      </c>
      <c r="O298" s="161">
        <v>46059</v>
      </c>
      <c r="P298" s="131">
        <v>1900000</v>
      </c>
      <c r="Q298" s="154" t="s">
        <v>293</v>
      </c>
      <c r="R298" s="126"/>
    </row>
    <row r="299" spans="1:18">
      <c r="A299" s="158">
        <f t="shared" si="4"/>
        <v>298</v>
      </c>
      <c r="B299" s="138">
        <v>46059</v>
      </c>
      <c r="C299" s="159" t="s">
        <v>1288</v>
      </c>
      <c r="D299" s="159" t="s">
        <v>1289</v>
      </c>
      <c r="E299" s="126" t="s">
        <v>131</v>
      </c>
      <c r="F299" s="159" t="s">
        <v>32</v>
      </c>
      <c r="G299" s="129" t="s">
        <v>1101</v>
      </c>
      <c r="H299" s="64">
        <v>9344963966</v>
      </c>
      <c r="I299" s="129" t="s">
        <v>1290</v>
      </c>
      <c r="J299" s="64" t="s">
        <v>86</v>
      </c>
      <c r="K299" s="129" t="s">
        <v>1291</v>
      </c>
      <c r="L299" s="126" t="s">
        <v>76</v>
      </c>
      <c r="M299" s="126" t="s">
        <v>69</v>
      </c>
      <c r="N299" s="126"/>
      <c r="O299" s="161"/>
      <c r="P299" s="131"/>
      <c r="Q299" s="154"/>
      <c r="R299" s="126"/>
    </row>
    <row r="300" spans="1:18">
      <c r="A300" s="158">
        <f t="shared" si="4"/>
        <v>299</v>
      </c>
      <c r="B300" s="138">
        <v>46059</v>
      </c>
      <c r="C300" s="159"/>
      <c r="D300" s="126" t="s">
        <v>1292</v>
      </c>
      <c r="E300" s="126" t="s">
        <v>84</v>
      </c>
      <c r="F300" s="126" t="s">
        <v>32</v>
      </c>
      <c r="G300" s="129" t="s">
        <v>1293</v>
      </c>
      <c r="H300" s="64">
        <v>7050382559</v>
      </c>
      <c r="I300" s="129" t="s">
        <v>1294</v>
      </c>
      <c r="J300" s="64" t="s">
        <v>248</v>
      </c>
      <c r="K300" s="129" t="s">
        <v>1295</v>
      </c>
      <c r="L300" s="126" t="s">
        <v>76</v>
      </c>
      <c r="M300" s="126" t="s">
        <v>55</v>
      </c>
      <c r="N300" s="126"/>
      <c r="O300" s="161"/>
      <c r="P300" s="131"/>
      <c r="Q300" s="154"/>
      <c r="R300" s="126"/>
    </row>
    <row r="301" spans="1:18" ht="30">
      <c r="A301" s="158">
        <f t="shared" si="4"/>
        <v>300</v>
      </c>
      <c r="B301" s="138">
        <v>46059</v>
      </c>
      <c r="C301" s="159" t="s">
        <v>1296</v>
      </c>
      <c r="D301" s="126" t="s">
        <v>1297</v>
      </c>
      <c r="E301" s="126" t="s">
        <v>58</v>
      </c>
      <c r="F301" s="126" t="s">
        <v>80</v>
      </c>
      <c r="G301" s="147" t="s">
        <v>80</v>
      </c>
      <c r="H301" s="157">
        <v>8839256547</v>
      </c>
      <c r="I301" s="147" t="s">
        <v>1298</v>
      </c>
      <c r="J301" s="157" t="s">
        <v>81</v>
      </c>
      <c r="K301" s="147" t="s">
        <v>1299</v>
      </c>
      <c r="L301" s="126" t="s">
        <v>76</v>
      </c>
      <c r="M301" s="126" t="s">
        <v>69</v>
      </c>
      <c r="N301" s="126"/>
      <c r="O301" s="161"/>
      <c r="P301" s="131"/>
      <c r="Q301" s="154"/>
      <c r="R301" s="126"/>
    </row>
    <row r="302" spans="1:18">
      <c r="A302" s="158">
        <f t="shared" si="4"/>
        <v>301</v>
      </c>
      <c r="B302" s="138">
        <v>46059</v>
      </c>
      <c r="C302" s="159"/>
      <c r="D302" s="126" t="s">
        <v>909</v>
      </c>
      <c r="E302" s="126" t="s">
        <v>65</v>
      </c>
      <c r="F302" s="126" t="s">
        <v>32</v>
      </c>
      <c r="G302" s="129" t="s">
        <v>697</v>
      </c>
      <c r="H302" s="64">
        <v>9849036920</v>
      </c>
      <c r="I302" s="129" t="s">
        <v>1300</v>
      </c>
      <c r="J302" s="64" t="s">
        <v>34</v>
      </c>
      <c r="K302" s="129" t="s">
        <v>1301</v>
      </c>
      <c r="L302" s="126" t="s">
        <v>76</v>
      </c>
      <c r="M302" s="126" t="s">
        <v>69</v>
      </c>
      <c r="N302" s="126"/>
      <c r="O302" s="161"/>
      <c r="P302" s="131"/>
      <c r="Q302" s="154"/>
      <c r="R302" s="126"/>
    </row>
    <row r="303" spans="1:18">
      <c r="A303" s="158">
        <f t="shared" si="4"/>
        <v>302</v>
      </c>
      <c r="B303" s="138">
        <v>46059</v>
      </c>
      <c r="C303" s="159" t="s">
        <v>1302</v>
      </c>
      <c r="D303" s="126" t="s">
        <v>1303</v>
      </c>
      <c r="E303" s="126" t="s">
        <v>41</v>
      </c>
      <c r="F303" s="126" t="s">
        <v>90</v>
      </c>
      <c r="G303" s="129" t="s">
        <v>423</v>
      </c>
      <c r="H303" s="64">
        <v>9637384842</v>
      </c>
      <c r="I303" s="129" t="s">
        <v>1304</v>
      </c>
      <c r="J303" s="64" t="s">
        <v>272</v>
      </c>
      <c r="K303" s="129" t="s">
        <v>1305</v>
      </c>
      <c r="L303" s="126" t="s">
        <v>76</v>
      </c>
      <c r="M303" s="126" t="s">
        <v>69</v>
      </c>
      <c r="N303" s="126"/>
      <c r="O303" s="161"/>
      <c r="P303" s="131"/>
      <c r="Q303" s="154"/>
      <c r="R303" s="126"/>
    </row>
    <row r="304" spans="1:18" ht="21" customHeight="1">
      <c r="A304" s="158">
        <f t="shared" si="4"/>
        <v>303</v>
      </c>
      <c r="B304" s="138">
        <v>46059</v>
      </c>
      <c r="C304" s="159" t="s">
        <v>1306</v>
      </c>
      <c r="D304" s="126" t="s">
        <v>1307</v>
      </c>
      <c r="E304" s="126" t="s">
        <v>41</v>
      </c>
      <c r="F304" s="129" t="s">
        <v>71</v>
      </c>
      <c r="G304" s="126" t="s">
        <v>212</v>
      </c>
      <c r="H304" s="157">
        <v>9850269949</v>
      </c>
      <c r="I304" s="147" t="s">
        <v>1308</v>
      </c>
      <c r="J304" s="157" t="s">
        <v>272</v>
      </c>
      <c r="K304" s="147" t="s">
        <v>1309</v>
      </c>
      <c r="L304" s="126" t="s">
        <v>76</v>
      </c>
      <c r="M304" s="163" t="s">
        <v>77</v>
      </c>
      <c r="N304" s="163"/>
      <c r="O304" s="161"/>
      <c r="P304" s="131"/>
      <c r="Q304" s="1"/>
      <c r="R304" s="163"/>
    </row>
    <row r="305" spans="1:18">
      <c r="A305" s="158">
        <f t="shared" si="4"/>
        <v>304</v>
      </c>
      <c r="B305" s="138">
        <v>46059</v>
      </c>
      <c r="C305" s="159"/>
      <c r="D305" s="126" t="s">
        <v>264</v>
      </c>
      <c r="E305" s="126" t="s">
        <v>41</v>
      </c>
      <c r="F305" s="126" t="s">
        <v>71</v>
      </c>
      <c r="G305" s="147" t="s">
        <v>212</v>
      </c>
      <c r="H305" s="157">
        <v>9552540509</v>
      </c>
      <c r="I305" s="147"/>
      <c r="J305" s="157" t="s">
        <v>81</v>
      </c>
      <c r="K305" s="126" t="s">
        <v>1310</v>
      </c>
      <c r="L305" s="126" t="s">
        <v>76</v>
      </c>
      <c r="M305" s="126" t="s">
        <v>77</v>
      </c>
      <c r="N305" s="126"/>
      <c r="O305" s="161"/>
      <c r="P305" s="131"/>
      <c r="Q305" s="154"/>
      <c r="R305" s="126"/>
    </row>
    <row r="306" spans="1:18">
      <c r="A306" s="158">
        <f t="shared" si="4"/>
        <v>305</v>
      </c>
      <c r="B306" s="138">
        <v>46060</v>
      </c>
      <c r="C306" s="159" t="s">
        <v>1311</v>
      </c>
      <c r="D306" s="159" t="s">
        <v>460</v>
      </c>
      <c r="E306" s="126" t="s">
        <v>41</v>
      </c>
      <c r="F306" s="159" t="s">
        <v>32</v>
      </c>
      <c r="G306" s="129" t="s">
        <v>1312</v>
      </c>
      <c r="H306" s="166">
        <v>9923964089</v>
      </c>
      <c r="I306" s="126" t="s">
        <v>1313</v>
      </c>
      <c r="J306" s="64" t="s">
        <v>99</v>
      </c>
      <c r="K306" s="126"/>
      <c r="L306" s="126" t="s">
        <v>36</v>
      </c>
      <c r="M306" s="126" t="s">
        <v>37</v>
      </c>
      <c r="N306" s="126" t="s">
        <v>1314</v>
      </c>
      <c r="O306" s="161">
        <v>46060</v>
      </c>
      <c r="P306" s="137" t="s">
        <v>1315</v>
      </c>
      <c r="Q306" s="143" t="s">
        <v>145</v>
      </c>
      <c r="R306" s="126"/>
    </row>
    <row r="307" spans="1:18">
      <c r="A307" s="158">
        <f t="shared" si="4"/>
        <v>306</v>
      </c>
      <c r="B307" s="138">
        <v>46060</v>
      </c>
      <c r="C307" s="159" t="s">
        <v>1316</v>
      </c>
      <c r="D307" s="159" t="s">
        <v>1069</v>
      </c>
      <c r="E307" s="126" t="s">
        <v>41</v>
      </c>
      <c r="F307" s="159" t="s">
        <v>71</v>
      </c>
      <c r="G307" s="129" t="s">
        <v>1317</v>
      </c>
      <c r="H307" s="166">
        <v>9795009443</v>
      </c>
      <c r="I307" s="126" t="s">
        <v>1318</v>
      </c>
      <c r="J307" s="64" t="s">
        <v>74</v>
      </c>
      <c r="K307" s="126" t="s">
        <v>1319</v>
      </c>
      <c r="L307" s="126" t="s">
        <v>76</v>
      </c>
      <c r="M307" s="126" t="s">
        <v>69</v>
      </c>
      <c r="N307" s="126" t="s">
        <v>1137</v>
      </c>
      <c r="O307" s="161">
        <v>46060</v>
      </c>
      <c r="P307" s="131" t="s">
        <v>1320</v>
      </c>
      <c r="Q307" s="154" t="s">
        <v>78</v>
      </c>
      <c r="R307" s="126"/>
    </row>
    <row r="308" spans="1:18">
      <c r="A308" s="158">
        <f t="shared" si="4"/>
        <v>307</v>
      </c>
      <c r="B308" s="138">
        <v>46060</v>
      </c>
      <c r="C308" s="159" t="s">
        <v>613</v>
      </c>
      <c r="D308" s="126" t="s">
        <v>614</v>
      </c>
      <c r="E308" s="126" t="s">
        <v>41</v>
      </c>
      <c r="F308" s="126" t="s">
        <v>90</v>
      </c>
      <c r="G308" s="129" t="s">
        <v>1321</v>
      </c>
      <c r="H308" s="166">
        <v>9767754195</v>
      </c>
      <c r="I308" s="191" t="s">
        <v>615</v>
      </c>
      <c r="J308" s="154" t="s">
        <v>81</v>
      </c>
      <c r="K308" s="126" t="s">
        <v>616</v>
      </c>
      <c r="L308" s="126" t="s">
        <v>76</v>
      </c>
      <c r="M308" s="126" t="s">
        <v>69</v>
      </c>
      <c r="N308" s="126"/>
      <c r="O308" s="161"/>
      <c r="P308" s="131"/>
      <c r="Q308" s="154"/>
      <c r="R308" s="126"/>
    </row>
    <row r="309" spans="1:18">
      <c r="A309" s="158">
        <f t="shared" si="4"/>
        <v>308</v>
      </c>
      <c r="B309" s="138">
        <v>46060</v>
      </c>
      <c r="C309" s="159"/>
      <c r="D309" s="126" t="s">
        <v>985</v>
      </c>
      <c r="E309" s="126" t="s">
        <v>41</v>
      </c>
      <c r="F309" s="126" t="s">
        <v>90</v>
      </c>
      <c r="G309" s="129" t="s">
        <v>90</v>
      </c>
      <c r="H309" s="64">
        <v>9225542435</v>
      </c>
      <c r="I309" s="126" t="s">
        <v>1322</v>
      </c>
      <c r="J309" s="64" t="s">
        <v>81</v>
      </c>
      <c r="K309" s="126" t="s">
        <v>1323</v>
      </c>
      <c r="L309" s="126" t="s">
        <v>76</v>
      </c>
      <c r="M309" s="126" t="s">
        <v>55</v>
      </c>
      <c r="N309" s="126"/>
      <c r="O309" s="161"/>
      <c r="P309" s="131"/>
      <c r="Q309" s="154"/>
      <c r="R309" s="126"/>
    </row>
    <row r="310" spans="1:18">
      <c r="A310" s="158">
        <f t="shared" si="4"/>
        <v>309</v>
      </c>
      <c r="B310" s="138">
        <v>46060</v>
      </c>
      <c r="C310" s="159" t="s">
        <v>1324</v>
      </c>
      <c r="D310" s="159" t="s">
        <v>460</v>
      </c>
      <c r="E310" s="126" t="s">
        <v>41</v>
      </c>
      <c r="F310" s="159" t="s">
        <v>32</v>
      </c>
      <c r="G310" s="129"/>
      <c r="H310" s="64"/>
      <c r="I310" s="126"/>
      <c r="J310" s="64" t="s">
        <v>34</v>
      </c>
      <c r="K310" s="126"/>
      <c r="L310" s="126" t="s">
        <v>54</v>
      </c>
      <c r="M310" s="126" t="s">
        <v>37</v>
      </c>
      <c r="N310" s="126" t="s">
        <v>1325</v>
      </c>
      <c r="O310" s="161">
        <v>46060</v>
      </c>
      <c r="P310" s="170" t="s">
        <v>1326</v>
      </c>
      <c r="Q310" s="154" t="s">
        <v>336</v>
      </c>
      <c r="R310" s="126"/>
    </row>
    <row r="311" spans="1:18">
      <c r="A311" s="158">
        <f t="shared" si="4"/>
        <v>310</v>
      </c>
      <c r="B311" s="138">
        <v>46060</v>
      </c>
      <c r="C311" s="159" t="s">
        <v>1327</v>
      </c>
      <c r="D311" s="159" t="s">
        <v>460</v>
      </c>
      <c r="E311" s="126" t="s">
        <v>41</v>
      </c>
      <c r="F311" s="159" t="s">
        <v>71</v>
      </c>
      <c r="G311" s="129" t="s">
        <v>1328</v>
      </c>
      <c r="H311" s="166">
        <v>8390009933</v>
      </c>
      <c r="I311" s="126" t="s">
        <v>1329</v>
      </c>
      <c r="J311" s="64" t="s">
        <v>34</v>
      </c>
      <c r="K311" s="126"/>
      <c r="L311" s="126" t="s">
        <v>54</v>
      </c>
      <c r="M311" s="126" t="s">
        <v>37</v>
      </c>
      <c r="N311" s="126" t="s">
        <v>1330</v>
      </c>
      <c r="O311" s="161">
        <v>46060</v>
      </c>
      <c r="P311" s="170"/>
      <c r="Q311" s="154" t="s">
        <v>38</v>
      </c>
      <c r="R311" s="126"/>
    </row>
    <row r="312" spans="1:18">
      <c r="A312" s="158">
        <f t="shared" si="4"/>
        <v>311</v>
      </c>
      <c r="B312" s="138">
        <v>46060</v>
      </c>
      <c r="C312" s="159" t="s">
        <v>1331</v>
      </c>
      <c r="D312" s="159" t="s">
        <v>810</v>
      </c>
      <c r="E312" s="126" t="s">
        <v>41</v>
      </c>
      <c r="F312" s="159" t="s">
        <v>42</v>
      </c>
      <c r="G312" s="129" t="s">
        <v>1332</v>
      </c>
      <c r="H312" s="166">
        <v>9962317389</v>
      </c>
      <c r="I312" s="126" t="s">
        <v>1333</v>
      </c>
      <c r="J312" s="64" t="s">
        <v>34</v>
      </c>
      <c r="K312" s="126" t="s">
        <v>1334</v>
      </c>
      <c r="L312" s="126" t="s">
        <v>54</v>
      </c>
      <c r="M312" s="126" t="s">
        <v>37</v>
      </c>
      <c r="N312" s="126" t="s">
        <v>1335</v>
      </c>
      <c r="O312" s="161">
        <v>46060</v>
      </c>
      <c r="P312" s="170"/>
      <c r="Q312" s="154" t="s">
        <v>38</v>
      </c>
      <c r="R312" s="126"/>
    </row>
    <row r="313" spans="1:18">
      <c r="A313" s="158">
        <f t="shared" si="4"/>
        <v>312</v>
      </c>
      <c r="B313" s="138">
        <v>46060</v>
      </c>
      <c r="C313" s="159" t="s">
        <v>1336</v>
      </c>
      <c r="D313" s="159" t="s">
        <v>1337</v>
      </c>
      <c r="E313" s="126" t="s">
        <v>41</v>
      </c>
      <c r="F313" s="159" t="s">
        <v>32</v>
      </c>
      <c r="G313" s="129" t="s">
        <v>1338</v>
      </c>
      <c r="H313" s="166">
        <v>8805020689</v>
      </c>
      <c r="I313" s="126" t="s">
        <v>1339</v>
      </c>
      <c r="J313" s="64" t="s">
        <v>34</v>
      </c>
      <c r="K313" s="126" t="s">
        <v>1340</v>
      </c>
      <c r="L313" s="126" t="s">
        <v>54</v>
      </c>
      <c r="M313" s="126" t="s">
        <v>37</v>
      </c>
      <c r="N313" s="126" t="s">
        <v>1341</v>
      </c>
      <c r="O313" s="161">
        <v>46060</v>
      </c>
      <c r="P313" s="170">
        <v>3652582</v>
      </c>
      <c r="Q313" s="154" t="s">
        <v>124</v>
      </c>
      <c r="R313" s="126"/>
    </row>
    <row r="314" spans="1:18">
      <c r="A314" s="158">
        <f t="shared" si="4"/>
        <v>313</v>
      </c>
      <c r="B314" s="138">
        <v>46061</v>
      </c>
      <c r="C314" s="159" t="s">
        <v>1342</v>
      </c>
      <c r="D314" s="159" t="s">
        <v>1343</v>
      </c>
      <c r="E314" s="126" t="s">
        <v>41</v>
      </c>
      <c r="F314" s="159" t="s">
        <v>47</v>
      </c>
      <c r="G314" s="129" t="s">
        <v>1344</v>
      </c>
      <c r="H314" s="166">
        <v>7758924541</v>
      </c>
      <c r="I314" s="126" t="s">
        <v>1345</v>
      </c>
      <c r="J314" s="64" t="s">
        <v>34</v>
      </c>
      <c r="K314" s="126" t="s">
        <v>1346</v>
      </c>
      <c r="L314" s="126" t="s">
        <v>54</v>
      </c>
      <c r="M314" s="126" t="s">
        <v>55</v>
      </c>
      <c r="N314" s="126" t="s">
        <v>1347</v>
      </c>
      <c r="O314" s="161">
        <v>46061</v>
      </c>
      <c r="P314" s="131" t="s">
        <v>1348</v>
      </c>
      <c r="Q314" s="154" t="s">
        <v>336</v>
      </c>
      <c r="R314" s="126"/>
    </row>
    <row r="315" spans="1:18">
      <c r="A315" s="158">
        <f t="shared" si="4"/>
        <v>314</v>
      </c>
      <c r="B315" s="138">
        <v>46061</v>
      </c>
      <c r="C315" s="159" t="s">
        <v>1349</v>
      </c>
      <c r="D315" s="159" t="s">
        <v>1350</v>
      </c>
      <c r="E315" s="126" t="s">
        <v>711</v>
      </c>
      <c r="F315" s="159" t="s">
        <v>42</v>
      </c>
      <c r="G315" s="129" t="s">
        <v>1351</v>
      </c>
      <c r="H315" s="166">
        <v>6366936443</v>
      </c>
      <c r="I315" s="126" t="s">
        <v>1264</v>
      </c>
      <c r="J315" s="64" t="s">
        <v>74</v>
      </c>
      <c r="K315" s="126" t="s">
        <v>1265</v>
      </c>
      <c r="L315" s="126" t="s">
        <v>54</v>
      </c>
      <c r="M315" s="126" t="s">
        <v>55</v>
      </c>
      <c r="N315" s="126" t="s">
        <v>1142</v>
      </c>
      <c r="O315" s="161">
        <v>46062</v>
      </c>
      <c r="P315" s="131">
        <v>21150000</v>
      </c>
      <c r="Q315" s="154" t="s">
        <v>78</v>
      </c>
      <c r="R315" s="126"/>
    </row>
    <row r="316" spans="1:18">
      <c r="A316" s="158">
        <f t="shared" si="4"/>
        <v>315</v>
      </c>
      <c r="B316" s="138">
        <v>46061</v>
      </c>
      <c r="C316" s="159" t="s">
        <v>1352</v>
      </c>
      <c r="D316" s="126" t="s">
        <v>1353</v>
      </c>
      <c r="E316" s="126" t="s">
        <v>41</v>
      </c>
      <c r="F316" s="126" t="s">
        <v>80</v>
      </c>
      <c r="G316" s="129" t="s">
        <v>1354</v>
      </c>
      <c r="H316" s="166">
        <v>9834541322</v>
      </c>
      <c r="I316" s="128"/>
      <c r="J316" s="154" t="s">
        <v>81</v>
      </c>
      <c r="K316" s="126" t="s">
        <v>1355</v>
      </c>
      <c r="L316" s="126" t="s">
        <v>76</v>
      </c>
      <c r="M316" s="126" t="s">
        <v>69</v>
      </c>
      <c r="N316" s="126"/>
      <c r="O316" s="161"/>
      <c r="P316" s="131"/>
      <c r="Q316" s="154"/>
      <c r="R316" s="126"/>
    </row>
    <row r="317" spans="1:18">
      <c r="A317" s="158">
        <f t="shared" si="4"/>
        <v>316</v>
      </c>
      <c r="B317" s="138">
        <v>46061</v>
      </c>
      <c r="C317" s="159" t="s">
        <v>1356</v>
      </c>
      <c r="D317" s="126" t="s">
        <v>1357</v>
      </c>
      <c r="E317" s="126" t="s">
        <v>657</v>
      </c>
      <c r="F317" s="126" t="s">
        <v>201</v>
      </c>
      <c r="G317" s="129" t="s">
        <v>692</v>
      </c>
      <c r="H317" s="166">
        <v>8981012401</v>
      </c>
      <c r="I317" s="126" t="s">
        <v>1358</v>
      </c>
      <c r="J317" s="64" t="s">
        <v>81</v>
      </c>
      <c r="K317" s="126" t="s">
        <v>1359</v>
      </c>
      <c r="L317" s="126" t="s">
        <v>76</v>
      </c>
      <c r="M317" s="126" t="s">
        <v>55</v>
      </c>
      <c r="N317" s="126"/>
      <c r="O317" s="161"/>
      <c r="P317" s="131"/>
      <c r="Q317" s="154"/>
      <c r="R317" s="126"/>
    </row>
    <row r="318" spans="1:18">
      <c r="A318" s="158">
        <f t="shared" si="4"/>
        <v>317</v>
      </c>
      <c r="B318" s="138">
        <v>46062</v>
      </c>
      <c r="C318" s="159" t="s">
        <v>1360</v>
      </c>
      <c r="D318" s="126" t="s">
        <v>1361</v>
      </c>
      <c r="E318" s="126" t="s">
        <v>65</v>
      </c>
      <c r="F318" s="126" t="s">
        <v>71</v>
      </c>
      <c r="G318" s="129" t="s">
        <v>1362</v>
      </c>
      <c r="H318" s="64"/>
      <c r="I318" s="126" t="s">
        <v>1363</v>
      </c>
      <c r="J318" s="64" t="s">
        <v>74</v>
      </c>
      <c r="K318" s="126"/>
      <c r="L318" s="126" t="s">
        <v>36</v>
      </c>
      <c r="M318" s="126" t="s">
        <v>77</v>
      </c>
      <c r="N318" s="126" t="s">
        <v>1364</v>
      </c>
      <c r="O318" s="161">
        <v>46062</v>
      </c>
      <c r="P318" s="219">
        <v>51937937</v>
      </c>
      <c r="Q318" s="154" t="s">
        <v>78</v>
      </c>
      <c r="R318" s="126"/>
    </row>
    <row r="319" spans="1:18">
      <c r="A319" s="158">
        <f t="shared" si="4"/>
        <v>318</v>
      </c>
      <c r="B319" s="138">
        <v>46062</v>
      </c>
      <c r="C319" s="159"/>
      <c r="D319" s="126" t="s">
        <v>264</v>
      </c>
      <c r="E319" s="126" t="s">
        <v>41</v>
      </c>
      <c r="F319" s="126" t="s">
        <v>32</v>
      </c>
      <c r="G319" s="129" t="s">
        <v>1365</v>
      </c>
      <c r="H319" s="64">
        <v>9881138383</v>
      </c>
      <c r="I319" s="126" t="s">
        <v>1366</v>
      </c>
      <c r="J319" s="154" t="s">
        <v>86</v>
      </c>
      <c r="K319" s="126" t="s">
        <v>1367</v>
      </c>
      <c r="L319" s="126" t="s">
        <v>76</v>
      </c>
      <c r="M319" s="126" t="s">
        <v>69</v>
      </c>
      <c r="N319" s="126"/>
      <c r="O319" s="161"/>
      <c r="P319" s="167"/>
      <c r="Q319" s="154"/>
      <c r="R319" s="126"/>
    </row>
    <row r="320" spans="1:18">
      <c r="A320" s="158">
        <f t="shared" si="4"/>
        <v>319</v>
      </c>
      <c r="B320" s="138">
        <v>46062</v>
      </c>
      <c r="C320" s="159" t="s">
        <v>1368</v>
      </c>
      <c r="D320" s="126" t="s">
        <v>1369</v>
      </c>
      <c r="E320" s="126" t="s">
        <v>206</v>
      </c>
      <c r="F320" s="126" t="s">
        <v>90</v>
      </c>
      <c r="G320" s="129" t="s">
        <v>1370</v>
      </c>
      <c r="H320" s="64">
        <v>7982466305</v>
      </c>
      <c r="I320" s="126"/>
      <c r="J320" s="64" t="s">
        <v>81</v>
      </c>
      <c r="K320" s="126"/>
      <c r="L320" s="126" t="s">
        <v>76</v>
      </c>
      <c r="M320" s="126" t="s">
        <v>55</v>
      </c>
      <c r="N320" s="126"/>
      <c r="O320" s="161"/>
      <c r="P320" s="167"/>
      <c r="Q320" s="154"/>
      <c r="R320" s="126"/>
    </row>
    <row r="321" spans="1:18">
      <c r="A321" s="158">
        <f t="shared" si="4"/>
        <v>320</v>
      </c>
      <c r="B321" s="138">
        <v>46062</v>
      </c>
      <c r="C321" s="159" t="s">
        <v>1371</v>
      </c>
      <c r="D321" s="126" t="s">
        <v>1372</v>
      </c>
      <c r="E321" s="126" t="s">
        <v>657</v>
      </c>
      <c r="F321" s="126" t="s">
        <v>32</v>
      </c>
      <c r="G321" s="129" t="s">
        <v>572</v>
      </c>
      <c r="H321" s="64">
        <v>7407633108</v>
      </c>
      <c r="I321" s="126" t="s">
        <v>1373</v>
      </c>
      <c r="J321" s="154" t="s">
        <v>272</v>
      </c>
      <c r="K321" s="126" t="s">
        <v>1374</v>
      </c>
      <c r="L321" s="126" t="s">
        <v>76</v>
      </c>
      <c r="M321" s="126" t="s">
        <v>69</v>
      </c>
      <c r="N321" s="126"/>
      <c r="O321" s="161"/>
      <c r="P321" s="167"/>
      <c r="Q321" s="154"/>
      <c r="R321" s="126"/>
    </row>
    <row r="322" spans="1:18">
      <c r="A322" s="158">
        <f t="shared" ref="A322:A385" si="5">ROW()-1</f>
        <v>321</v>
      </c>
      <c r="B322" s="138">
        <v>46062</v>
      </c>
      <c r="C322" s="159" t="s">
        <v>1375</v>
      </c>
      <c r="D322" s="126" t="s">
        <v>1376</v>
      </c>
      <c r="E322" s="126" t="s">
        <v>131</v>
      </c>
      <c r="F322" s="126" t="s">
        <v>32</v>
      </c>
      <c r="G322" s="129" t="s">
        <v>572</v>
      </c>
      <c r="H322" s="64">
        <v>9943099664</v>
      </c>
      <c r="I322" s="126" t="s">
        <v>1377</v>
      </c>
      <c r="J322" s="154" t="s">
        <v>248</v>
      </c>
      <c r="K322" s="126" t="s">
        <v>1378</v>
      </c>
      <c r="L322" s="126" t="s">
        <v>76</v>
      </c>
      <c r="M322" s="126" t="s">
        <v>55</v>
      </c>
      <c r="N322" s="126"/>
      <c r="O322" s="161"/>
      <c r="P322" s="167"/>
      <c r="Q322" s="154"/>
      <c r="R322" s="126"/>
    </row>
    <row r="323" spans="1:18">
      <c r="A323" s="158">
        <f t="shared" si="5"/>
        <v>322</v>
      </c>
      <c r="B323" s="138">
        <v>46062</v>
      </c>
      <c r="C323" s="159" t="s">
        <v>1379</v>
      </c>
      <c r="D323" s="126" t="s">
        <v>1380</v>
      </c>
      <c r="E323" s="126" t="s">
        <v>65</v>
      </c>
      <c r="F323" s="126" t="s">
        <v>201</v>
      </c>
      <c r="G323" s="129" t="s">
        <v>1381</v>
      </c>
      <c r="H323" s="64">
        <v>6301528656</v>
      </c>
      <c r="I323" s="126" t="s">
        <v>1382</v>
      </c>
      <c r="J323" s="64" t="s">
        <v>86</v>
      </c>
      <c r="K323" s="126" t="s">
        <v>1383</v>
      </c>
      <c r="L323" s="126" t="s">
        <v>76</v>
      </c>
      <c r="M323" s="126" t="s">
        <v>55</v>
      </c>
      <c r="N323" s="126"/>
      <c r="O323" s="161"/>
      <c r="P323" s="167"/>
      <c r="Q323" s="154"/>
      <c r="R323" s="126"/>
    </row>
    <row r="324" spans="1:18" ht="60">
      <c r="A324" s="158">
        <f t="shared" si="5"/>
        <v>323</v>
      </c>
      <c r="B324" s="187">
        <v>46062</v>
      </c>
      <c r="C324" s="209" t="s">
        <v>1384</v>
      </c>
      <c r="D324" s="128" t="s">
        <v>1385</v>
      </c>
      <c r="E324" s="128" t="s">
        <v>41</v>
      </c>
      <c r="F324" s="128" t="s">
        <v>90</v>
      </c>
      <c r="G324" s="147" t="s">
        <v>423</v>
      </c>
      <c r="H324" s="157">
        <v>7680931143</v>
      </c>
      <c r="I324" s="145" t="s">
        <v>1386</v>
      </c>
      <c r="J324" s="157" t="s">
        <v>86</v>
      </c>
      <c r="K324" s="128" t="s">
        <v>1387</v>
      </c>
      <c r="L324" s="128" t="s">
        <v>76</v>
      </c>
      <c r="M324" s="128" t="s">
        <v>55</v>
      </c>
      <c r="N324" s="128"/>
      <c r="O324" s="161"/>
      <c r="P324" s="167"/>
      <c r="Q324" s="154"/>
      <c r="R324" s="126"/>
    </row>
    <row r="325" spans="1:18">
      <c r="A325" s="158">
        <f t="shared" si="5"/>
        <v>324</v>
      </c>
      <c r="B325" s="138">
        <v>46062</v>
      </c>
      <c r="C325" s="159" t="s">
        <v>1388</v>
      </c>
      <c r="D325" s="126" t="s">
        <v>1389</v>
      </c>
      <c r="E325" s="126" t="s">
        <v>41</v>
      </c>
      <c r="F325" s="126" t="s">
        <v>117</v>
      </c>
      <c r="G325" s="129"/>
      <c r="H325" s="157"/>
      <c r="I325" s="126"/>
      <c r="J325" s="64" t="s">
        <v>34</v>
      </c>
      <c r="K325" s="147"/>
      <c r="L325" s="126" t="s">
        <v>54</v>
      </c>
      <c r="M325" s="126" t="s">
        <v>69</v>
      </c>
      <c r="N325" s="126"/>
      <c r="O325" s="161"/>
      <c r="P325" s="131"/>
      <c r="Q325" s="154"/>
      <c r="R325" s="126"/>
    </row>
    <row r="326" spans="1:18">
      <c r="A326" s="158">
        <f t="shared" si="5"/>
        <v>325</v>
      </c>
      <c r="B326" s="138">
        <v>46062</v>
      </c>
      <c r="C326" s="159" t="s">
        <v>1390</v>
      </c>
      <c r="D326" s="126" t="s">
        <v>1391</v>
      </c>
      <c r="E326" s="126" t="s">
        <v>308</v>
      </c>
      <c r="F326" s="126" t="s">
        <v>32</v>
      </c>
      <c r="G326" s="129" t="s">
        <v>697</v>
      </c>
      <c r="H326" s="64">
        <v>8003590731</v>
      </c>
      <c r="I326" s="126" t="s">
        <v>1392</v>
      </c>
      <c r="J326" s="64" t="s">
        <v>86</v>
      </c>
      <c r="K326" s="126" t="s">
        <v>1393</v>
      </c>
      <c r="L326" s="126" t="s">
        <v>76</v>
      </c>
      <c r="M326" s="126" t="s">
        <v>69</v>
      </c>
      <c r="N326" s="126"/>
      <c r="O326" s="161"/>
      <c r="P326" s="131"/>
      <c r="Q326" s="154"/>
      <c r="R326" s="126"/>
    </row>
    <row r="327" spans="1:18">
      <c r="A327" s="158">
        <f t="shared" si="5"/>
        <v>326</v>
      </c>
      <c r="B327" s="138">
        <v>46062</v>
      </c>
      <c r="C327" s="159" t="s">
        <v>1394</v>
      </c>
      <c r="D327" s="126"/>
      <c r="E327" s="126"/>
      <c r="F327" s="126"/>
      <c r="G327" s="129"/>
      <c r="H327" s="157"/>
      <c r="I327" s="128"/>
      <c r="J327" s="64" t="s">
        <v>34</v>
      </c>
      <c r="K327" s="147"/>
      <c r="L327" s="126" t="s">
        <v>54</v>
      </c>
      <c r="M327" s="126" t="s">
        <v>69</v>
      </c>
      <c r="N327" s="126"/>
      <c r="O327" s="161"/>
      <c r="P327" s="131"/>
      <c r="Q327" s="154"/>
      <c r="R327" s="126"/>
    </row>
    <row r="328" spans="1:18" ht="21" customHeight="1">
      <c r="A328" s="158">
        <f t="shared" si="5"/>
        <v>327</v>
      </c>
      <c r="B328" s="138">
        <v>46062</v>
      </c>
      <c r="C328" s="159" t="s">
        <v>1395</v>
      </c>
      <c r="D328" s="126" t="s">
        <v>1062</v>
      </c>
      <c r="E328" s="126" t="s">
        <v>1063</v>
      </c>
      <c r="F328" s="126" t="s">
        <v>117</v>
      </c>
      <c r="G328" s="129" t="s">
        <v>1396</v>
      </c>
      <c r="H328" s="157"/>
      <c r="I328" s="147"/>
      <c r="J328" s="157" t="s">
        <v>86</v>
      </c>
      <c r="K328" s="147"/>
      <c r="L328" s="126" t="s">
        <v>76</v>
      </c>
      <c r="M328" s="126" t="s">
        <v>55</v>
      </c>
      <c r="N328" s="126" t="s">
        <v>1397</v>
      </c>
      <c r="O328" s="161">
        <v>46063</v>
      </c>
      <c r="P328" s="131" t="s">
        <v>1398</v>
      </c>
      <c r="Q328" s="154"/>
      <c r="R328" s="126"/>
    </row>
    <row r="329" spans="1:18">
      <c r="A329" s="158">
        <f t="shared" si="5"/>
        <v>328</v>
      </c>
      <c r="B329" s="138">
        <v>46063</v>
      </c>
      <c r="C329" s="159" t="s">
        <v>1399</v>
      </c>
      <c r="D329" s="126" t="s">
        <v>324</v>
      </c>
      <c r="E329" s="126" t="s">
        <v>41</v>
      </c>
      <c r="F329" s="126" t="s">
        <v>71</v>
      </c>
      <c r="G329" s="147" t="s">
        <v>1076</v>
      </c>
      <c r="H329" s="157"/>
      <c r="I329" s="147"/>
      <c r="J329" s="64" t="s">
        <v>34</v>
      </c>
      <c r="K329" s="147"/>
      <c r="L329" s="126" t="s">
        <v>54</v>
      </c>
      <c r="M329" s="126" t="s">
        <v>69</v>
      </c>
      <c r="N329" s="126"/>
      <c r="O329" s="161"/>
      <c r="P329" s="131"/>
      <c r="Q329" s="154"/>
      <c r="R329" s="126"/>
    </row>
    <row r="330" spans="1:18" ht="18" customHeight="1">
      <c r="A330" s="158">
        <f t="shared" si="5"/>
        <v>329</v>
      </c>
      <c r="B330" s="138">
        <v>46063</v>
      </c>
      <c r="C330" s="159" t="s">
        <v>1400</v>
      </c>
      <c r="D330" s="163" t="s">
        <v>1401</v>
      </c>
      <c r="E330" s="126" t="s">
        <v>41</v>
      </c>
      <c r="F330" s="163" t="s">
        <v>71</v>
      </c>
      <c r="G330" s="147" t="s">
        <v>1402</v>
      </c>
      <c r="H330" s="157"/>
      <c r="I330" s="169" t="s">
        <v>1403</v>
      </c>
      <c r="J330" s="64" t="s">
        <v>34</v>
      </c>
      <c r="K330" s="147" t="s">
        <v>1404</v>
      </c>
      <c r="L330" s="126" t="s">
        <v>54</v>
      </c>
      <c r="M330" s="163" t="s">
        <v>37</v>
      </c>
      <c r="N330" s="222" t="s">
        <v>1405</v>
      </c>
      <c r="O330" s="161">
        <v>46091</v>
      </c>
      <c r="P330" s="170">
        <v>750000</v>
      </c>
      <c r="Q330" s="1" t="s">
        <v>38</v>
      </c>
      <c r="R330" s="163"/>
    </row>
    <row r="331" spans="1:18">
      <c r="A331" s="158">
        <f t="shared" si="5"/>
        <v>330</v>
      </c>
      <c r="B331" s="138">
        <v>46063</v>
      </c>
      <c r="C331" s="159" t="s">
        <v>1406</v>
      </c>
      <c r="D331" s="126" t="s">
        <v>1407</v>
      </c>
      <c r="E331" s="126" t="s">
        <v>1063</v>
      </c>
      <c r="F331" s="126" t="s">
        <v>42</v>
      </c>
      <c r="G331" s="129" t="s">
        <v>1408</v>
      </c>
      <c r="H331" s="157"/>
      <c r="I331" s="169" t="s">
        <v>1409</v>
      </c>
      <c r="J331" s="64" t="s">
        <v>34</v>
      </c>
      <c r="K331" s="147" t="s">
        <v>1410</v>
      </c>
      <c r="L331" s="126" t="s">
        <v>54</v>
      </c>
      <c r="M331" s="126" t="s">
        <v>37</v>
      </c>
      <c r="N331" s="222" t="s">
        <v>1411</v>
      </c>
      <c r="O331" s="161">
        <v>46091</v>
      </c>
      <c r="P331" s="170">
        <v>1000000</v>
      </c>
      <c r="Q331" s="154"/>
      <c r="R331" s="126"/>
    </row>
    <row r="332" spans="1:18">
      <c r="A332" s="158">
        <f t="shared" si="5"/>
        <v>331</v>
      </c>
      <c r="B332" s="138">
        <v>46063</v>
      </c>
      <c r="C332" s="159" t="s">
        <v>1412</v>
      </c>
      <c r="D332" s="147" t="s">
        <v>1391</v>
      </c>
      <c r="E332" s="147" t="s">
        <v>308</v>
      </c>
      <c r="F332" s="126" t="s">
        <v>80</v>
      </c>
      <c r="G332" s="147" t="s">
        <v>1413</v>
      </c>
      <c r="H332" s="157">
        <v>9828867508</v>
      </c>
      <c r="I332" s="129" t="s">
        <v>1414</v>
      </c>
      <c r="J332" s="154" t="s">
        <v>86</v>
      </c>
      <c r="K332" s="126" t="s">
        <v>1415</v>
      </c>
      <c r="L332" s="126" t="s">
        <v>76</v>
      </c>
      <c r="M332" s="126" t="s">
        <v>69</v>
      </c>
      <c r="N332" s="126"/>
      <c r="O332" s="161"/>
      <c r="P332" s="131"/>
      <c r="Q332" s="154"/>
      <c r="R332" s="126"/>
    </row>
    <row r="333" spans="1:18">
      <c r="A333" s="158">
        <f t="shared" si="5"/>
        <v>332</v>
      </c>
      <c r="B333" s="138">
        <v>46063</v>
      </c>
      <c r="C333" s="159" t="s">
        <v>1416</v>
      </c>
      <c r="D333" s="126" t="s">
        <v>1417</v>
      </c>
      <c r="E333" s="126" t="s">
        <v>131</v>
      </c>
      <c r="F333" s="126" t="s">
        <v>201</v>
      </c>
      <c r="G333" s="129" t="s">
        <v>1418</v>
      </c>
      <c r="H333" s="168">
        <v>9677871711</v>
      </c>
      <c r="I333" s="126" t="s">
        <v>1419</v>
      </c>
      <c r="J333" s="64" t="s">
        <v>1420</v>
      </c>
      <c r="L333" s="126" t="s">
        <v>76</v>
      </c>
      <c r="M333" s="126" t="s">
        <v>55</v>
      </c>
      <c r="N333" s="126"/>
      <c r="O333" s="161"/>
      <c r="P333" s="131"/>
      <c r="Q333" s="154"/>
      <c r="R333" s="126"/>
    </row>
    <row r="334" spans="1:18">
      <c r="A334" s="158">
        <f t="shared" si="5"/>
        <v>333</v>
      </c>
      <c r="B334" s="138">
        <v>46063</v>
      </c>
      <c r="C334" s="159" t="s">
        <v>1421</v>
      </c>
      <c r="D334" s="126" t="s">
        <v>1422</v>
      </c>
      <c r="E334" s="126" t="s">
        <v>41</v>
      </c>
      <c r="F334" s="126" t="s">
        <v>1423</v>
      </c>
      <c r="G334" s="129" t="s">
        <v>1424</v>
      </c>
      <c r="H334" s="168">
        <v>9823151832</v>
      </c>
      <c r="J334" s="64" t="s">
        <v>81</v>
      </c>
      <c r="K334" s="126" t="s">
        <v>1421</v>
      </c>
      <c r="L334" s="126" t="s">
        <v>76</v>
      </c>
      <c r="M334" s="126" t="s">
        <v>55</v>
      </c>
      <c r="N334" s="126"/>
      <c r="O334" s="161"/>
      <c r="P334" s="131"/>
      <c r="Q334" s="154"/>
      <c r="R334" s="126"/>
    </row>
    <row r="335" spans="1:18" ht="30">
      <c r="A335" s="158">
        <f t="shared" si="5"/>
        <v>334</v>
      </c>
      <c r="B335" s="138">
        <v>46063</v>
      </c>
      <c r="C335" s="159" t="s">
        <v>1425</v>
      </c>
      <c r="D335" s="126" t="s">
        <v>1426</v>
      </c>
      <c r="E335" s="126" t="s">
        <v>41</v>
      </c>
      <c r="F335" s="126" t="s">
        <v>71</v>
      </c>
      <c r="G335" s="147" t="s">
        <v>72</v>
      </c>
      <c r="H335" s="157">
        <v>9322001609</v>
      </c>
      <c r="I335" s="157"/>
      <c r="J335" s="157" t="s">
        <v>1420</v>
      </c>
      <c r="K335" s="157" t="s">
        <v>1427</v>
      </c>
      <c r="L335" s="126" t="s">
        <v>76</v>
      </c>
      <c r="M335" s="126" t="s">
        <v>77</v>
      </c>
      <c r="N335" s="126"/>
      <c r="O335" s="161"/>
      <c r="P335" s="131"/>
      <c r="Q335" s="154"/>
      <c r="R335" s="126"/>
    </row>
    <row r="336" spans="1:18">
      <c r="A336" s="158">
        <f t="shared" si="5"/>
        <v>335</v>
      </c>
      <c r="B336" s="138">
        <v>46063</v>
      </c>
      <c r="C336" s="159" t="s">
        <v>1428</v>
      </c>
      <c r="D336" s="126" t="s">
        <v>1429</v>
      </c>
      <c r="E336" s="126" t="s">
        <v>131</v>
      </c>
      <c r="F336" s="126" t="s">
        <v>80</v>
      </c>
      <c r="G336" s="147" t="s">
        <v>495</v>
      </c>
      <c r="H336" s="157">
        <v>9843660606</v>
      </c>
      <c r="I336" s="157"/>
      <c r="J336" s="157" t="s">
        <v>248</v>
      </c>
      <c r="K336" s="126" t="s">
        <v>1430</v>
      </c>
      <c r="L336" s="126" t="s">
        <v>76</v>
      </c>
      <c r="M336" s="126" t="s">
        <v>69</v>
      </c>
      <c r="N336" s="126"/>
      <c r="O336" s="161"/>
      <c r="P336" s="131"/>
      <c r="Q336" s="154"/>
      <c r="R336" s="126"/>
    </row>
    <row r="337" spans="1:18">
      <c r="A337" s="158">
        <f t="shared" si="5"/>
        <v>336</v>
      </c>
      <c r="B337" s="138">
        <v>46063</v>
      </c>
      <c r="C337" s="159"/>
      <c r="D337" s="126" t="s">
        <v>264</v>
      </c>
      <c r="E337" s="126" t="s">
        <v>41</v>
      </c>
      <c r="F337" s="126" t="s">
        <v>201</v>
      </c>
      <c r="G337" s="147" t="s">
        <v>202</v>
      </c>
      <c r="H337" s="168">
        <v>9766141512</v>
      </c>
      <c r="J337" s="64" t="s">
        <v>81</v>
      </c>
      <c r="K337" s="159" t="s">
        <v>1431</v>
      </c>
      <c r="L337" s="126" t="s">
        <v>76</v>
      </c>
      <c r="M337" s="126" t="s">
        <v>55</v>
      </c>
      <c r="N337" s="126"/>
      <c r="O337" s="161"/>
      <c r="P337" s="131"/>
      <c r="Q337" s="154"/>
      <c r="R337" s="126"/>
    </row>
    <row r="338" spans="1:18">
      <c r="A338" s="158">
        <f t="shared" si="5"/>
        <v>337</v>
      </c>
      <c r="B338" s="138">
        <v>46063</v>
      </c>
      <c r="C338" s="159"/>
      <c r="D338" s="126" t="s">
        <v>156</v>
      </c>
      <c r="E338" s="126"/>
      <c r="F338" s="126" t="s">
        <v>80</v>
      </c>
      <c r="G338" s="129" t="s">
        <v>80</v>
      </c>
      <c r="H338" s="168">
        <v>7665961235</v>
      </c>
      <c r="J338" s="64" t="s">
        <v>81</v>
      </c>
      <c r="K338" s="126" t="s">
        <v>1432</v>
      </c>
      <c r="L338" s="126" t="s">
        <v>76</v>
      </c>
      <c r="M338" s="126" t="s">
        <v>55</v>
      </c>
      <c r="N338" s="126"/>
      <c r="O338" s="161"/>
      <c r="P338" s="131"/>
      <c r="Q338" s="154"/>
      <c r="R338" s="126"/>
    </row>
    <row r="339" spans="1:18">
      <c r="A339" s="158">
        <f t="shared" si="5"/>
        <v>338</v>
      </c>
      <c r="B339" s="138">
        <v>46064</v>
      </c>
      <c r="C339" s="159" t="s">
        <v>1433</v>
      </c>
      <c r="D339" s="126" t="s">
        <v>1434</v>
      </c>
      <c r="E339" s="126" t="s">
        <v>41</v>
      </c>
      <c r="F339" s="126" t="s">
        <v>71</v>
      </c>
      <c r="G339" s="129" t="s">
        <v>1362</v>
      </c>
      <c r="H339" s="154">
        <v>9975476976</v>
      </c>
      <c r="I339" s="159" t="s">
        <v>1435</v>
      </c>
      <c r="J339" s="154" t="s">
        <v>272</v>
      </c>
      <c r="K339" s="159" t="s">
        <v>1436</v>
      </c>
      <c r="L339" s="126" t="s">
        <v>76</v>
      </c>
      <c r="M339" s="126" t="s">
        <v>77</v>
      </c>
      <c r="N339" s="126"/>
      <c r="O339" s="161"/>
      <c r="P339" s="131"/>
      <c r="Q339" s="154"/>
      <c r="R339" s="126"/>
    </row>
    <row r="340" spans="1:18">
      <c r="A340" s="158">
        <f t="shared" si="5"/>
        <v>339</v>
      </c>
      <c r="B340" s="138">
        <v>46064</v>
      </c>
      <c r="C340" s="159" t="s">
        <v>1437</v>
      </c>
      <c r="D340" s="126" t="s">
        <v>1438</v>
      </c>
      <c r="E340" s="126" t="s">
        <v>58</v>
      </c>
      <c r="F340" s="126" t="s">
        <v>71</v>
      </c>
      <c r="G340" s="129" t="s">
        <v>1439</v>
      </c>
      <c r="H340" s="64">
        <v>9589947247</v>
      </c>
      <c r="I340" s="129"/>
      <c r="J340" s="64" t="s">
        <v>99</v>
      </c>
      <c r="K340" s="129"/>
      <c r="L340" s="126" t="s">
        <v>76</v>
      </c>
      <c r="M340" s="126" t="s">
        <v>77</v>
      </c>
      <c r="N340" s="126"/>
      <c r="O340" s="161"/>
      <c r="P340" s="131"/>
      <c r="Q340" s="154"/>
      <c r="R340" s="126"/>
    </row>
    <row r="341" spans="1:18">
      <c r="A341" s="158">
        <f t="shared" si="5"/>
        <v>340</v>
      </c>
      <c r="B341" s="138">
        <v>46064</v>
      </c>
      <c r="C341" s="159" t="s">
        <v>1440</v>
      </c>
      <c r="D341" s="126" t="s">
        <v>1441</v>
      </c>
      <c r="E341" s="126" t="s">
        <v>165</v>
      </c>
      <c r="F341" s="126" t="s">
        <v>32</v>
      </c>
      <c r="G341" s="129" t="s">
        <v>1205</v>
      </c>
      <c r="H341" s="64">
        <v>8909103572</v>
      </c>
      <c r="I341" s="126" t="s">
        <v>1442</v>
      </c>
      <c r="J341" s="64" t="s">
        <v>81</v>
      </c>
      <c r="K341" s="126" t="s">
        <v>1443</v>
      </c>
      <c r="L341" s="126" t="s">
        <v>76</v>
      </c>
      <c r="M341" s="126" t="s">
        <v>55</v>
      </c>
      <c r="N341" s="126"/>
      <c r="O341" s="161"/>
      <c r="P341" s="131"/>
      <c r="Q341" s="154"/>
      <c r="R341" s="126"/>
    </row>
    <row r="342" spans="1:18">
      <c r="A342" s="158">
        <f t="shared" si="5"/>
        <v>341</v>
      </c>
      <c r="B342" s="138">
        <v>46064</v>
      </c>
      <c r="C342" s="159"/>
      <c r="D342" s="163" t="s">
        <v>264</v>
      </c>
      <c r="E342" s="163" t="s">
        <v>41</v>
      </c>
      <c r="F342" s="163" t="s">
        <v>71</v>
      </c>
      <c r="G342" s="129" t="s">
        <v>212</v>
      </c>
      <c r="H342" s="64">
        <v>9302044056</v>
      </c>
      <c r="I342" s="129"/>
      <c r="J342" s="64" t="s">
        <v>81</v>
      </c>
      <c r="K342" s="129" t="s">
        <v>1444</v>
      </c>
      <c r="L342" s="126" t="s">
        <v>76</v>
      </c>
      <c r="M342" s="163" t="s">
        <v>77</v>
      </c>
      <c r="N342" s="163"/>
      <c r="O342" s="161"/>
      <c r="P342" s="131"/>
      <c r="Q342" s="1"/>
      <c r="R342" s="163"/>
    </row>
    <row r="343" spans="1:18">
      <c r="A343" s="158">
        <f t="shared" si="5"/>
        <v>342</v>
      </c>
      <c r="B343" s="138">
        <v>46064</v>
      </c>
      <c r="C343" s="159" t="s">
        <v>1445</v>
      </c>
      <c r="D343" s="126" t="s">
        <v>1446</v>
      </c>
      <c r="E343" s="126" t="s">
        <v>711</v>
      </c>
      <c r="F343" s="126" t="s">
        <v>90</v>
      </c>
      <c r="G343" s="129" t="s">
        <v>423</v>
      </c>
      <c r="H343" s="154">
        <v>9880141031</v>
      </c>
      <c r="I343" s="159"/>
      <c r="J343" s="154" t="s">
        <v>81</v>
      </c>
      <c r="K343" s="159"/>
      <c r="L343" s="126" t="s">
        <v>76</v>
      </c>
      <c r="M343" s="126" t="s">
        <v>69</v>
      </c>
      <c r="N343" s="126"/>
      <c r="O343" s="161"/>
      <c r="P343" s="131"/>
      <c r="Q343" s="154"/>
      <c r="R343" s="126"/>
    </row>
    <row r="344" spans="1:18">
      <c r="A344" s="158">
        <f t="shared" si="5"/>
        <v>343</v>
      </c>
      <c r="B344" s="138">
        <v>46064</v>
      </c>
      <c r="C344" s="159" t="s">
        <v>1447</v>
      </c>
      <c r="D344" s="126" t="s">
        <v>1447</v>
      </c>
      <c r="E344" s="126" t="s">
        <v>415</v>
      </c>
      <c r="F344" s="126" t="s">
        <v>71</v>
      </c>
      <c r="G344" s="129" t="s">
        <v>1448</v>
      </c>
      <c r="H344" s="64">
        <v>9290571381</v>
      </c>
      <c r="I344" s="129"/>
      <c r="J344" s="154" t="s">
        <v>81</v>
      </c>
      <c r="K344" s="129" t="s">
        <v>1449</v>
      </c>
      <c r="L344" s="126" t="s">
        <v>76</v>
      </c>
      <c r="M344" s="126" t="s">
        <v>77</v>
      </c>
      <c r="N344" s="126"/>
      <c r="O344" s="161"/>
      <c r="P344" s="131"/>
      <c r="Q344" s="154"/>
      <c r="R344" s="126"/>
    </row>
    <row r="345" spans="1:18">
      <c r="A345" s="158">
        <f t="shared" si="5"/>
        <v>344</v>
      </c>
      <c r="B345" s="138">
        <v>46064</v>
      </c>
      <c r="C345" s="159"/>
      <c r="D345" s="129" t="s">
        <v>407</v>
      </c>
      <c r="E345" s="129" t="s">
        <v>84</v>
      </c>
      <c r="F345" s="126" t="s">
        <v>90</v>
      </c>
      <c r="G345" s="129" t="s">
        <v>1450</v>
      </c>
      <c r="H345" s="64">
        <v>6354877180</v>
      </c>
      <c r="I345" s="129"/>
      <c r="J345" s="64" t="s">
        <v>81</v>
      </c>
      <c r="K345" s="129" t="s">
        <v>1451</v>
      </c>
      <c r="L345" s="126" t="s">
        <v>76</v>
      </c>
      <c r="M345" s="126" t="s">
        <v>55</v>
      </c>
      <c r="N345" s="126"/>
      <c r="O345" s="161"/>
      <c r="P345" s="131"/>
      <c r="Q345" s="154"/>
      <c r="R345" s="126"/>
    </row>
    <row r="346" spans="1:18">
      <c r="A346" s="158">
        <f t="shared" si="5"/>
        <v>345</v>
      </c>
      <c r="B346" s="138">
        <v>46064</v>
      </c>
      <c r="C346" s="159" t="s">
        <v>1452</v>
      </c>
      <c r="D346" s="126" t="s">
        <v>46</v>
      </c>
      <c r="E346" s="126" t="s">
        <v>41</v>
      </c>
      <c r="F346" s="126" t="s">
        <v>71</v>
      </c>
      <c r="G346" s="129" t="s">
        <v>1453</v>
      </c>
      <c r="H346" s="64">
        <v>9850958386</v>
      </c>
      <c r="I346" s="129" t="s">
        <v>1454</v>
      </c>
      <c r="J346" s="154" t="s">
        <v>34</v>
      </c>
      <c r="K346" s="129"/>
      <c r="L346" s="126" t="s">
        <v>54</v>
      </c>
      <c r="M346" s="126" t="s">
        <v>69</v>
      </c>
      <c r="N346" s="126" t="s">
        <v>1455</v>
      </c>
      <c r="O346" s="161">
        <v>46064</v>
      </c>
      <c r="P346" s="137" t="s">
        <v>1456</v>
      </c>
      <c r="Q346" s="143" t="s">
        <v>124</v>
      </c>
      <c r="R346" s="126"/>
    </row>
    <row r="347" spans="1:18">
      <c r="A347" s="158">
        <f t="shared" si="5"/>
        <v>346</v>
      </c>
      <c r="B347" s="138">
        <v>46064</v>
      </c>
      <c r="C347" s="159" t="s">
        <v>1457</v>
      </c>
      <c r="D347" s="126" t="s">
        <v>46</v>
      </c>
      <c r="E347" s="126" t="s">
        <v>41</v>
      </c>
      <c r="F347" s="126" t="s">
        <v>201</v>
      </c>
      <c r="G347" s="129" t="s">
        <v>1458</v>
      </c>
      <c r="H347" s="64">
        <v>9359082879</v>
      </c>
      <c r="I347" s="169" t="s">
        <v>1459</v>
      </c>
      <c r="J347" s="154" t="s">
        <v>34</v>
      </c>
      <c r="K347" s="129" t="s">
        <v>1460</v>
      </c>
      <c r="L347" s="126" t="s">
        <v>54</v>
      </c>
      <c r="M347" s="126" t="s">
        <v>55</v>
      </c>
      <c r="N347" s="126" t="s">
        <v>1461</v>
      </c>
      <c r="O347" s="161">
        <v>46064</v>
      </c>
      <c r="P347" s="137">
        <v>100000</v>
      </c>
      <c r="Q347" s="143" t="s">
        <v>38</v>
      </c>
      <c r="R347" s="126"/>
    </row>
    <row r="348" spans="1:18">
      <c r="A348" s="158">
        <f t="shared" si="5"/>
        <v>347</v>
      </c>
      <c r="B348" s="138">
        <v>46080</v>
      </c>
      <c r="C348" s="159" t="s">
        <v>1462</v>
      </c>
      <c r="D348" s="126" t="s">
        <v>1463</v>
      </c>
      <c r="E348" s="126" t="s">
        <v>41</v>
      </c>
      <c r="F348" s="126" t="s">
        <v>71</v>
      </c>
      <c r="G348" s="129" t="s">
        <v>1464</v>
      </c>
      <c r="H348" s="64"/>
      <c r="I348" s="169" t="s">
        <v>1465</v>
      </c>
      <c r="J348" s="154" t="s">
        <v>34</v>
      </c>
      <c r="K348" s="129" t="s">
        <v>1466</v>
      </c>
      <c r="L348" s="126" t="s">
        <v>36</v>
      </c>
      <c r="M348" s="126" t="s">
        <v>37</v>
      </c>
      <c r="N348" s="126"/>
      <c r="O348" s="161">
        <v>46064</v>
      </c>
      <c r="P348" s="131"/>
      <c r="Q348" s="154" t="s">
        <v>336</v>
      </c>
      <c r="R348" s="126"/>
    </row>
    <row r="349" spans="1:18">
      <c r="A349" s="158">
        <f t="shared" si="5"/>
        <v>348</v>
      </c>
      <c r="B349" s="138">
        <v>46064</v>
      </c>
      <c r="C349" s="159" t="s">
        <v>1467</v>
      </c>
      <c r="D349" s="126" t="s">
        <v>46</v>
      </c>
      <c r="E349" s="126" t="s">
        <v>41</v>
      </c>
      <c r="F349" s="126" t="s">
        <v>117</v>
      </c>
      <c r="G349" s="129" t="s">
        <v>1468</v>
      </c>
      <c r="H349" s="64"/>
      <c r="I349" s="169" t="s">
        <v>1469</v>
      </c>
      <c r="J349" s="154" t="s">
        <v>34</v>
      </c>
      <c r="K349" s="129"/>
      <c r="L349" s="126" t="s">
        <v>54</v>
      </c>
      <c r="M349" s="126" t="s">
        <v>368</v>
      </c>
      <c r="N349" s="126" t="s">
        <v>1470</v>
      </c>
      <c r="O349" s="161">
        <v>46064</v>
      </c>
      <c r="P349" s="170" t="s">
        <v>1471</v>
      </c>
      <c r="Q349" s="154" t="s">
        <v>124</v>
      </c>
      <c r="R349" s="126"/>
    </row>
    <row r="350" spans="1:18">
      <c r="A350" s="158">
        <f t="shared" si="5"/>
        <v>349</v>
      </c>
      <c r="B350" s="138">
        <v>46064</v>
      </c>
      <c r="C350" s="159" t="s">
        <v>1472</v>
      </c>
      <c r="D350" s="126" t="s">
        <v>1473</v>
      </c>
      <c r="E350" s="126" t="s">
        <v>84</v>
      </c>
      <c r="F350" s="126" t="s">
        <v>201</v>
      </c>
      <c r="G350" s="129" t="s">
        <v>1474</v>
      </c>
      <c r="H350" s="64"/>
      <c r="I350" s="169" t="s">
        <v>1475</v>
      </c>
      <c r="J350" s="154" t="s">
        <v>34</v>
      </c>
      <c r="K350" s="129"/>
      <c r="L350" s="126" t="s">
        <v>76</v>
      </c>
      <c r="M350" s="126" t="s">
        <v>55</v>
      </c>
      <c r="N350" s="126" t="s">
        <v>1461</v>
      </c>
      <c r="O350" s="161">
        <v>46064</v>
      </c>
      <c r="P350" s="170" t="s">
        <v>1476</v>
      </c>
      <c r="Q350" s="154" t="s">
        <v>336</v>
      </c>
      <c r="R350" s="126"/>
    </row>
    <row r="351" spans="1:18">
      <c r="A351" s="158">
        <f t="shared" si="5"/>
        <v>350</v>
      </c>
      <c r="B351" s="138">
        <v>46064</v>
      </c>
      <c r="C351" s="138" t="s">
        <v>1477</v>
      </c>
      <c r="D351" s="159" t="s">
        <v>324</v>
      </c>
      <c r="E351" s="126" t="s">
        <v>41</v>
      </c>
      <c r="F351" s="126" t="s">
        <v>32</v>
      </c>
      <c r="G351" s="129" t="s">
        <v>1478</v>
      </c>
      <c r="H351" s="64"/>
      <c r="I351" s="126" t="s">
        <v>1479</v>
      </c>
      <c r="J351" s="154" t="s">
        <v>34</v>
      </c>
      <c r="K351" s="159" t="s">
        <v>1480</v>
      </c>
      <c r="L351" s="126" t="s">
        <v>54</v>
      </c>
      <c r="M351" s="126" t="s">
        <v>37</v>
      </c>
      <c r="N351" s="126" t="s">
        <v>1481</v>
      </c>
      <c r="O351" s="161">
        <v>46066</v>
      </c>
      <c r="P351" s="170" t="s">
        <v>1482</v>
      </c>
      <c r="Q351" s="170" t="s">
        <v>336</v>
      </c>
      <c r="R351" s="154"/>
    </row>
    <row r="352" spans="1:18">
      <c r="A352" s="158">
        <f t="shared" si="5"/>
        <v>351</v>
      </c>
      <c r="B352" s="138">
        <v>46065</v>
      </c>
      <c r="C352" s="171" t="s">
        <v>1483</v>
      </c>
      <c r="D352" s="126" t="s">
        <v>1484</v>
      </c>
      <c r="E352" s="126" t="s">
        <v>41</v>
      </c>
      <c r="F352" s="126" t="s">
        <v>71</v>
      </c>
      <c r="G352" s="129" t="s">
        <v>212</v>
      </c>
      <c r="H352" s="64">
        <v>9890948876</v>
      </c>
      <c r="I352" s="126" t="s">
        <v>1485</v>
      </c>
      <c r="J352" s="154" t="s">
        <v>248</v>
      </c>
      <c r="K352" s="159" t="s">
        <v>1486</v>
      </c>
      <c r="L352" s="126" t="s">
        <v>76</v>
      </c>
      <c r="M352" s="126" t="s">
        <v>77</v>
      </c>
      <c r="N352" s="126"/>
      <c r="O352" s="161"/>
      <c r="P352" s="170"/>
      <c r="Q352" s="172"/>
      <c r="R352" s="64"/>
    </row>
    <row r="353" spans="1:18">
      <c r="A353" s="158">
        <f t="shared" si="5"/>
        <v>352</v>
      </c>
      <c r="B353" s="138">
        <v>46065</v>
      </c>
      <c r="C353" s="171"/>
      <c r="D353" s="126" t="s">
        <v>264</v>
      </c>
      <c r="E353" s="126" t="s">
        <v>41</v>
      </c>
      <c r="F353" s="126" t="s">
        <v>71</v>
      </c>
      <c r="G353" s="129" t="s">
        <v>212</v>
      </c>
      <c r="H353" s="64">
        <v>9284993627</v>
      </c>
      <c r="I353" s="128"/>
      <c r="J353" s="154" t="s">
        <v>248</v>
      </c>
      <c r="K353" s="159" t="s">
        <v>1487</v>
      </c>
      <c r="L353" s="126" t="s">
        <v>76</v>
      </c>
      <c r="M353" s="126" t="s">
        <v>77</v>
      </c>
      <c r="N353" s="126"/>
      <c r="O353" s="161"/>
      <c r="P353" s="170"/>
      <c r="Q353" s="172"/>
      <c r="R353" s="64"/>
    </row>
    <row r="354" spans="1:18">
      <c r="A354" s="158">
        <f t="shared" si="5"/>
        <v>353</v>
      </c>
      <c r="B354" s="138">
        <v>46065</v>
      </c>
      <c r="C354" s="171"/>
      <c r="D354" s="126" t="s">
        <v>710</v>
      </c>
      <c r="E354" s="126" t="s">
        <v>711</v>
      </c>
      <c r="F354" s="126" t="s">
        <v>90</v>
      </c>
      <c r="G354" s="129" t="s">
        <v>423</v>
      </c>
      <c r="H354" s="64">
        <v>6362477504</v>
      </c>
      <c r="I354" s="191" t="s">
        <v>1488</v>
      </c>
      <c r="J354" s="154" t="s">
        <v>81</v>
      </c>
      <c r="K354" s="159" t="s">
        <v>1489</v>
      </c>
      <c r="L354" s="126" t="s">
        <v>76</v>
      </c>
      <c r="M354" s="126" t="s">
        <v>69</v>
      </c>
      <c r="N354" s="126"/>
      <c r="O354" s="161"/>
      <c r="P354" s="170"/>
      <c r="Q354" s="172"/>
      <c r="R354" s="64"/>
    </row>
    <row r="355" spans="1:18">
      <c r="A355" s="158">
        <f t="shared" si="5"/>
        <v>354</v>
      </c>
      <c r="B355" s="138">
        <v>46066</v>
      </c>
      <c r="C355" s="171"/>
      <c r="D355" s="126" t="s">
        <v>1490</v>
      </c>
      <c r="E355" s="126" t="s">
        <v>41</v>
      </c>
      <c r="F355" s="126" t="s">
        <v>32</v>
      </c>
      <c r="G355" s="129" t="s">
        <v>1491</v>
      </c>
      <c r="H355" s="64">
        <v>9112937104</v>
      </c>
      <c r="I355" s="128"/>
      <c r="J355" s="64" t="s">
        <v>81</v>
      </c>
      <c r="K355" s="159" t="s">
        <v>1492</v>
      </c>
      <c r="L355" s="126" t="s">
        <v>76</v>
      </c>
      <c r="M355" s="126" t="s">
        <v>55</v>
      </c>
      <c r="N355" s="126"/>
      <c r="O355" s="161"/>
      <c r="P355" s="170"/>
      <c r="Q355" s="172"/>
      <c r="R355" s="64"/>
    </row>
    <row r="356" spans="1:18">
      <c r="A356" s="158">
        <f t="shared" si="5"/>
        <v>355</v>
      </c>
      <c r="B356" s="138">
        <v>46066</v>
      </c>
      <c r="C356" s="171" t="s">
        <v>1493</v>
      </c>
      <c r="D356" s="126" t="s">
        <v>1494</v>
      </c>
      <c r="E356" s="126" t="s">
        <v>41</v>
      </c>
      <c r="F356" s="126" t="s">
        <v>1423</v>
      </c>
      <c r="G356" s="129" t="s">
        <v>1370</v>
      </c>
      <c r="H356" s="64">
        <v>7498627452</v>
      </c>
      <c r="I356" s="191" t="s">
        <v>1495</v>
      </c>
      <c r="J356" s="64" t="s">
        <v>81</v>
      </c>
      <c r="K356" s="159" t="s">
        <v>1496</v>
      </c>
      <c r="L356" s="126" t="s">
        <v>76</v>
      </c>
      <c r="M356" s="126" t="s">
        <v>55</v>
      </c>
      <c r="N356" s="126"/>
      <c r="O356" s="161"/>
      <c r="P356" s="170"/>
      <c r="Q356" s="172"/>
      <c r="R356" s="64"/>
    </row>
    <row r="357" spans="1:18">
      <c r="A357" s="158">
        <f t="shared" si="5"/>
        <v>356</v>
      </c>
      <c r="B357" s="138">
        <v>46066</v>
      </c>
      <c r="C357" s="171"/>
      <c r="D357" s="126" t="s">
        <v>710</v>
      </c>
      <c r="E357" s="126" t="s">
        <v>711</v>
      </c>
      <c r="F357" s="126" t="s">
        <v>71</v>
      </c>
      <c r="G357" s="129" t="s">
        <v>212</v>
      </c>
      <c r="H357" s="64">
        <v>7019183878</v>
      </c>
      <c r="I357" s="128"/>
      <c r="J357" s="154" t="s">
        <v>81</v>
      </c>
      <c r="K357" s="159" t="s">
        <v>1497</v>
      </c>
      <c r="L357" s="126" t="s">
        <v>76</v>
      </c>
      <c r="M357" s="126" t="s">
        <v>77</v>
      </c>
      <c r="N357" s="126"/>
      <c r="O357" s="161"/>
      <c r="P357" s="170"/>
      <c r="Q357" s="172"/>
      <c r="R357" s="64"/>
    </row>
    <row r="358" spans="1:18">
      <c r="A358" s="158">
        <f t="shared" si="5"/>
        <v>357</v>
      </c>
      <c r="B358" s="138">
        <v>46066</v>
      </c>
      <c r="C358" s="171"/>
      <c r="D358" s="171" t="s">
        <v>1498</v>
      </c>
      <c r="E358" s="126" t="s">
        <v>41</v>
      </c>
      <c r="F358" s="126" t="s">
        <v>201</v>
      </c>
      <c r="G358" s="129" t="s">
        <v>202</v>
      </c>
      <c r="H358" s="64">
        <v>9765366661</v>
      </c>
      <c r="I358" s="128"/>
      <c r="J358" s="64" t="s">
        <v>81</v>
      </c>
      <c r="K358" s="159" t="s">
        <v>1499</v>
      </c>
      <c r="L358" s="126" t="s">
        <v>76</v>
      </c>
      <c r="M358" s="126" t="s">
        <v>55</v>
      </c>
      <c r="N358" s="126"/>
      <c r="O358" s="161"/>
      <c r="P358" s="170"/>
      <c r="Q358" s="172"/>
      <c r="R358" s="64"/>
    </row>
    <row r="359" spans="1:18">
      <c r="A359" s="158">
        <f t="shared" si="5"/>
        <v>358</v>
      </c>
      <c r="B359" s="138">
        <v>46066</v>
      </c>
      <c r="C359" s="171"/>
      <c r="D359" s="171" t="s">
        <v>240</v>
      </c>
      <c r="E359" s="126" t="s">
        <v>84</v>
      </c>
      <c r="F359" s="126" t="s">
        <v>32</v>
      </c>
      <c r="G359" s="129" t="s">
        <v>1491</v>
      </c>
      <c r="H359" s="64">
        <v>8469294029</v>
      </c>
      <c r="I359" s="128"/>
      <c r="J359" s="64" t="s">
        <v>81</v>
      </c>
      <c r="K359" s="159" t="s">
        <v>1500</v>
      </c>
      <c r="L359" s="126" t="s">
        <v>76</v>
      </c>
      <c r="M359" s="126" t="s">
        <v>55</v>
      </c>
      <c r="N359" s="126"/>
      <c r="O359" s="161"/>
      <c r="P359" s="170"/>
      <c r="Q359" s="172"/>
      <c r="R359" s="64"/>
    </row>
    <row r="360" spans="1:18">
      <c r="A360" s="158">
        <f t="shared" si="5"/>
        <v>359</v>
      </c>
      <c r="B360" s="138">
        <v>46066</v>
      </c>
      <c r="C360" s="138" t="s">
        <v>1501</v>
      </c>
      <c r="D360" s="159" t="s">
        <v>46</v>
      </c>
      <c r="E360" s="126" t="s">
        <v>41</v>
      </c>
      <c r="F360" s="126" t="s">
        <v>117</v>
      </c>
      <c r="G360" s="129" t="s">
        <v>1502</v>
      </c>
      <c r="H360" s="64"/>
      <c r="I360" s="173" t="s">
        <v>1503</v>
      </c>
      <c r="J360" s="154" t="s">
        <v>74</v>
      </c>
      <c r="K360" s="159" t="s">
        <v>1504</v>
      </c>
      <c r="L360" s="126" t="s">
        <v>76</v>
      </c>
      <c r="M360" s="126" t="s">
        <v>37</v>
      </c>
      <c r="N360" s="126" t="s">
        <v>1505</v>
      </c>
      <c r="O360" s="161">
        <v>46066</v>
      </c>
      <c r="P360" s="170">
        <v>406930</v>
      </c>
      <c r="Q360" s="170" t="s">
        <v>78</v>
      </c>
      <c r="R360" s="154"/>
    </row>
    <row r="361" spans="1:18">
      <c r="A361" s="158">
        <f t="shared" si="5"/>
        <v>360</v>
      </c>
      <c r="B361" s="138">
        <v>46066</v>
      </c>
      <c r="C361" s="159" t="s">
        <v>1506</v>
      </c>
      <c r="D361" s="126" t="s">
        <v>46</v>
      </c>
      <c r="E361" s="126" t="s">
        <v>41</v>
      </c>
      <c r="F361" s="126" t="s">
        <v>71</v>
      </c>
      <c r="G361" s="129" t="s">
        <v>1507</v>
      </c>
      <c r="H361" s="64"/>
      <c r="I361" s="173" t="s">
        <v>1508</v>
      </c>
      <c r="J361" s="154" t="s">
        <v>34</v>
      </c>
      <c r="K361" s="159"/>
      <c r="L361" s="126" t="s">
        <v>54</v>
      </c>
      <c r="M361" s="126" t="s">
        <v>37</v>
      </c>
      <c r="N361" s="126" t="s">
        <v>1509</v>
      </c>
      <c r="O361" s="161">
        <v>46066</v>
      </c>
      <c r="P361" s="170">
        <v>53477</v>
      </c>
      <c r="Q361" s="154" t="s">
        <v>336</v>
      </c>
      <c r="R361" s="126"/>
    </row>
    <row r="362" spans="1:18">
      <c r="A362" s="158">
        <f t="shared" si="5"/>
        <v>361</v>
      </c>
      <c r="B362" s="138">
        <v>46066</v>
      </c>
      <c r="C362" s="159" t="s">
        <v>1510</v>
      </c>
      <c r="D362" s="126" t="s">
        <v>46</v>
      </c>
      <c r="E362" s="126" t="s">
        <v>41</v>
      </c>
      <c r="F362" s="126" t="s">
        <v>71</v>
      </c>
      <c r="G362" s="129" t="s">
        <v>1511</v>
      </c>
      <c r="H362" s="64">
        <v>9822577592</v>
      </c>
      <c r="I362" s="173" t="s">
        <v>728</v>
      </c>
      <c r="J362" s="154" t="s">
        <v>34</v>
      </c>
      <c r="K362" s="159" t="s">
        <v>1512</v>
      </c>
      <c r="L362" s="126" t="s">
        <v>54</v>
      </c>
      <c r="M362" s="126" t="s">
        <v>77</v>
      </c>
      <c r="N362" s="126" t="s">
        <v>1513</v>
      </c>
      <c r="O362" s="161">
        <v>46066</v>
      </c>
      <c r="P362" s="170"/>
      <c r="Q362" s="154" t="s">
        <v>336</v>
      </c>
      <c r="R362" s="126"/>
    </row>
    <row r="363" spans="1:18">
      <c r="A363" s="158">
        <f t="shared" si="5"/>
        <v>362</v>
      </c>
      <c r="B363" s="138">
        <v>46066</v>
      </c>
      <c r="C363" s="159" t="s">
        <v>1514</v>
      </c>
      <c r="D363" s="126" t="s">
        <v>46</v>
      </c>
      <c r="E363" s="126" t="s">
        <v>41</v>
      </c>
      <c r="F363" s="126" t="s">
        <v>80</v>
      </c>
      <c r="G363" s="159" t="s">
        <v>1515</v>
      </c>
      <c r="H363" s="64">
        <v>9893481678</v>
      </c>
      <c r="I363" s="173" t="s">
        <v>1516</v>
      </c>
      <c r="J363" s="154" t="s">
        <v>34</v>
      </c>
      <c r="K363" s="159" t="s">
        <v>1517</v>
      </c>
      <c r="L363" s="126" t="s">
        <v>54</v>
      </c>
      <c r="M363" s="126" t="s">
        <v>37</v>
      </c>
      <c r="N363" s="126" t="s">
        <v>1518</v>
      </c>
      <c r="O363" s="161">
        <v>46066</v>
      </c>
      <c r="P363" s="219" t="s">
        <v>1519</v>
      </c>
      <c r="Q363" s="154" t="s">
        <v>38</v>
      </c>
      <c r="R363" s="126"/>
    </row>
    <row r="364" spans="1:18">
      <c r="A364" s="158">
        <f t="shared" si="5"/>
        <v>363</v>
      </c>
      <c r="B364" s="138">
        <v>46067</v>
      </c>
      <c r="C364" s="159" t="s">
        <v>1520</v>
      </c>
      <c r="D364" s="126" t="s">
        <v>46</v>
      </c>
      <c r="E364" s="126" t="s">
        <v>41</v>
      </c>
      <c r="F364" s="126" t="s">
        <v>71</v>
      </c>
      <c r="G364" s="129" t="s">
        <v>1521</v>
      </c>
      <c r="H364" s="64"/>
      <c r="I364" s="173" t="s">
        <v>1522</v>
      </c>
      <c r="J364" s="154" t="s">
        <v>74</v>
      </c>
      <c r="K364" s="159" t="s">
        <v>1523</v>
      </c>
      <c r="L364" s="126" t="s">
        <v>76</v>
      </c>
      <c r="M364" s="126" t="s">
        <v>55</v>
      </c>
      <c r="N364" s="126" t="s">
        <v>1524</v>
      </c>
      <c r="O364" s="161">
        <v>46067</v>
      </c>
      <c r="P364" s="170">
        <v>565000</v>
      </c>
      <c r="Q364" s="154" t="s">
        <v>78</v>
      </c>
      <c r="R364" s="126"/>
    </row>
    <row r="365" spans="1:18">
      <c r="A365" s="158">
        <f t="shared" si="5"/>
        <v>364</v>
      </c>
      <c r="B365" s="138">
        <v>46067</v>
      </c>
      <c r="C365" s="159" t="s">
        <v>1525</v>
      </c>
      <c r="D365" s="126" t="s">
        <v>264</v>
      </c>
      <c r="E365" s="126" t="s">
        <v>41</v>
      </c>
      <c r="F365" s="126" t="s">
        <v>80</v>
      </c>
      <c r="G365" s="159" t="s">
        <v>1526</v>
      </c>
      <c r="H365" s="64">
        <v>8600021673</v>
      </c>
      <c r="I365" s="177" t="s">
        <v>1527</v>
      </c>
      <c r="J365" s="154" t="s">
        <v>99</v>
      </c>
      <c r="K365" s="159" t="s">
        <v>1528</v>
      </c>
      <c r="L365" s="126" t="s">
        <v>76</v>
      </c>
      <c r="M365" s="126" t="s">
        <v>69</v>
      </c>
      <c r="N365" s="126"/>
      <c r="O365" s="161"/>
      <c r="P365" s="170"/>
      <c r="Q365" s="154" t="s">
        <v>145</v>
      </c>
      <c r="R365" s="126"/>
    </row>
    <row r="366" spans="1:18">
      <c r="A366" s="158">
        <f t="shared" si="5"/>
        <v>365</v>
      </c>
      <c r="B366" s="138">
        <v>46067</v>
      </c>
      <c r="C366" s="159" t="s">
        <v>1529</v>
      </c>
      <c r="D366" s="126" t="s">
        <v>1530</v>
      </c>
      <c r="E366" s="126" t="s">
        <v>84</v>
      </c>
      <c r="F366" s="126" t="s">
        <v>71</v>
      </c>
      <c r="G366" s="129" t="s">
        <v>212</v>
      </c>
      <c r="H366" s="64">
        <v>9586710933</v>
      </c>
      <c r="I366" s="177" t="s">
        <v>1531</v>
      </c>
      <c r="J366" s="154" t="s">
        <v>248</v>
      </c>
      <c r="K366" s="159" t="s">
        <v>1532</v>
      </c>
      <c r="L366" s="126" t="s">
        <v>76</v>
      </c>
      <c r="M366" s="126" t="s">
        <v>77</v>
      </c>
      <c r="N366" s="126"/>
      <c r="O366" s="161"/>
      <c r="P366" s="170"/>
      <c r="Q366" s="154"/>
      <c r="R366" s="126"/>
    </row>
    <row r="367" spans="1:18">
      <c r="A367" s="158">
        <f t="shared" si="5"/>
        <v>366</v>
      </c>
      <c r="B367" s="138">
        <v>46067</v>
      </c>
      <c r="C367" s="159" t="s">
        <v>1533</v>
      </c>
      <c r="D367" s="126" t="s">
        <v>1534</v>
      </c>
      <c r="E367" s="126" t="s">
        <v>41</v>
      </c>
      <c r="F367" s="126" t="s">
        <v>32</v>
      </c>
      <c r="G367" s="159" t="s">
        <v>1535</v>
      </c>
      <c r="H367" s="64">
        <v>9156385850</v>
      </c>
      <c r="I367" s="177" t="s">
        <v>1536</v>
      </c>
      <c r="J367" s="64" t="s">
        <v>81</v>
      </c>
      <c r="K367" s="159" t="s">
        <v>1537</v>
      </c>
      <c r="L367" s="126" t="s">
        <v>76</v>
      </c>
      <c r="M367" s="126" t="s">
        <v>55</v>
      </c>
      <c r="N367" s="126"/>
      <c r="O367" s="161"/>
      <c r="P367" s="170"/>
      <c r="Q367" s="154"/>
      <c r="R367" s="126"/>
    </row>
    <row r="368" spans="1:18">
      <c r="A368" s="158">
        <f t="shared" si="5"/>
        <v>367</v>
      </c>
      <c r="B368" s="138">
        <v>46068</v>
      </c>
      <c r="C368" s="159" t="s">
        <v>1538</v>
      </c>
      <c r="D368" s="126" t="s">
        <v>1539</v>
      </c>
      <c r="E368" s="126" t="s">
        <v>41</v>
      </c>
      <c r="F368" s="126" t="s">
        <v>80</v>
      </c>
      <c r="G368" s="129" t="s">
        <v>1540</v>
      </c>
      <c r="H368" s="64"/>
      <c r="I368" s="173" t="s">
        <v>1030</v>
      </c>
      <c r="J368" s="154" t="s">
        <v>34</v>
      </c>
      <c r="K368" s="159" t="s">
        <v>1541</v>
      </c>
      <c r="L368" s="126" t="s">
        <v>36</v>
      </c>
      <c r="M368" s="126" t="s">
        <v>37</v>
      </c>
      <c r="N368" s="126" t="s">
        <v>1513</v>
      </c>
      <c r="O368" s="161">
        <v>46068</v>
      </c>
      <c r="P368" s="170">
        <v>700000</v>
      </c>
      <c r="Q368" s="154" t="s">
        <v>124</v>
      </c>
      <c r="R368" s="126"/>
    </row>
    <row r="369" spans="1:18">
      <c r="A369" s="158">
        <f t="shared" si="5"/>
        <v>368</v>
      </c>
      <c r="B369" s="138">
        <v>46068</v>
      </c>
      <c r="C369" s="159" t="s">
        <v>1542</v>
      </c>
      <c r="D369" s="159" t="s">
        <v>1543</v>
      </c>
      <c r="E369" s="159" t="s">
        <v>65</v>
      </c>
      <c r="F369" s="159" t="s">
        <v>32</v>
      </c>
      <c r="G369" s="159" t="s">
        <v>1544</v>
      </c>
      <c r="H369" s="64"/>
      <c r="I369" s="173" t="s">
        <v>1545</v>
      </c>
      <c r="J369" s="154" t="s">
        <v>34</v>
      </c>
      <c r="K369" s="159"/>
      <c r="L369" s="126" t="s">
        <v>76</v>
      </c>
      <c r="M369" s="126" t="s">
        <v>69</v>
      </c>
      <c r="N369" s="126" t="s">
        <v>1546</v>
      </c>
      <c r="O369" s="161">
        <v>46068</v>
      </c>
      <c r="P369" s="175" t="s">
        <v>1547</v>
      </c>
      <c r="Q369" s="154" t="s">
        <v>124</v>
      </c>
      <c r="R369" s="126"/>
    </row>
    <row r="370" spans="1:18">
      <c r="A370" s="158">
        <f t="shared" si="5"/>
        <v>369</v>
      </c>
      <c r="B370" s="138">
        <v>46068</v>
      </c>
      <c r="C370" s="159" t="s">
        <v>1548</v>
      </c>
      <c r="D370" s="159" t="s">
        <v>1549</v>
      </c>
      <c r="E370" s="159" t="s">
        <v>191</v>
      </c>
      <c r="F370" s="159" t="s">
        <v>32</v>
      </c>
      <c r="G370" s="159" t="s">
        <v>1550</v>
      </c>
      <c r="H370" s="64">
        <v>9853075822</v>
      </c>
      <c r="I370" s="177" t="s">
        <v>1551</v>
      </c>
      <c r="J370" s="154" t="s">
        <v>272</v>
      </c>
      <c r="K370" s="159" t="s">
        <v>1552</v>
      </c>
      <c r="L370" s="126" t="s">
        <v>76</v>
      </c>
      <c r="M370" s="126" t="s">
        <v>69</v>
      </c>
      <c r="N370" s="126"/>
      <c r="O370" s="161"/>
      <c r="P370" s="170"/>
      <c r="Q370" s="154"/>
      <c r="R370" s="126"/>
    </row>
    <row r="371" spans="1:18">
      <c r="A371" s="158">
        <f t="shared" si="5"/>
        <v>370</v>
      </c>
      <c r="B371" s="138">
        <v>46068</v>
      </c>
      <c r="C371" s="159" t="s">
        <v>222</v>
      </c>
      <c r="D371" s="126" t="s">
        <v>223</v>
      </c>
      <c r="E371" s="126" t="s">
        <v>131</v>
      </c>
      <c r="F371" s="126" t="s">
        <v>80</v>
      </c>
      <c r="G371" s="129" t="s">
        <v>1553</v>
      </c>
      <c r="H371" s="64">
        <v>9600783068</v>
      </c>
      <c r="I371" s="177" t="s">
        <v>225</v>
      </c>
      <c r="J371" s="154" t="s">
        <v>81</v>
      </c>
      <c r="K371" s="129" t="s">
        <v>226</v>
      </c>
      <c r="L371" s="126" t="s">
        <v>76</v>
      </c>
      <c r="M371" s="126" t="s">
        <v>69</v>
      </c>
      <c r="N371" s="126"/>
      <c r="O371" s="161"/>
      <c r="P371" s="170"/>
      <c r="Q371" s="154"/>
      <c r="R371" s="126"/>
    </row>
    <row r="372" spans="1:18">
      <c r="A372" s="158">
        <f t="shared" si="5"/>
        <v>371</v>
      </c>
      <c r="B372" s="138">
        <v>46068</v>
      </c>
      <c r="C372" s="159" t="s">
        <v>1554</v>
      </c>
      <c r="D372" s="126" t="s">
        <v>1555</v>
      </c>
      <c r="E372" s="126" t="s">
        <v>131</v>
      </c>
      <c r="F372" s="126" t="s">
        <v>47</v>
      </c>
      <c r="G372" s="129" t="s">
        <v>1556</v>
      </c>
      <c r="H372" s="64">
        <v>9443360279</v>
      </c>
      <c r="I372" s="177" t="s">
        <v>1557</v>
      </c>
      <c r="J372" s="154" t="s">
        <v>272</v>
      </c>
      <c r="K372" s="159" t="s">
        <v>1558</v>
      </c>
      <c r="L372" s="126" t="s">
        <v>76</v>
      </c>
      <c r="M372" s="126" t="s">
        <v>69</v>
      </c>
      <c r="N372" s="126"/>
      <c r="O372" s="161"/>
      <c r="P372" s="170"/>
      <c r="Q372" s="154"/>
      <c r="R372" s="126"/>
    </row>
    <row r="373" spans="1:18">
      <c r="A373" s="158">
        <f t="shared" si="5"/>
        <v>372</v>
      </c>
      <c r="B373" s="138">
        <v>46068</v>
      </c>
      <c r="C373" s="159" t="s">
        <v>1559</v>
      </c>
      <c r="D373" s="126" t="s">
        <v>1560</v>
      </c>
      <c r="E373" s="126" t="s">
        <v>41</v>
      </c>
      <c r="F373" s="126" t="s">
        <v>90</v>
      </c>
      <c r="G373" s="159" t="s">
        <v>423</v>
      </c>
      <c r="H373" s="64">
        <v>9209881633</v>
      </c>
      <c r="I373" s="177" t="s">
        <v>1561</v>
      </c>
      <c r="J373" s="64" t="s">
        <v>272</v>
      </c>
      <c r="K373" s="159" t="s">
        <v>1562</v>
      </c>
      <c r="L373" s="126" t="s">
        <v>76</v>
      </c>
      <c r="M373" s="126" t="s">
        <v>55</v>
      </c>
      <c r="N373" s="126"/>
      <c r="O373" s="161"/>
      <c r="P373" s="170"/>
      <c r="Q373" s="154"/>
      <c r="R373" s="126"/>
    </row>
    <row r="374" spans="1:18">
      <c r="A374" s="158">
        <f t="shared" si="5"/>
        <v>373</v>
      </c>
      <c r="B374" s="138">
        <v>46068</v>
      </c>
      <c r="C374" s="159" t="s">
        <v>1563</v>
      </c>
      <c r="D374" s="126" t="s">
        <v>1564</v>
      </c>
      <c r="E374" s="126" t="s">
        <v>41</v>
      </c>
      <c r="F374" s="126" t="s">
        <v>80</v>
      </c>
      <c r="G374" s="159" t="s">
        <v>1565</v>
      </c>
      <c r="H374" s="64">
        <v>8830937352</v>
      </c>
      <c r="I374" s="126" t="s">
        <v>1566</v>
      </c>
      <c r="J374" s="64" t="s">
        <v>272</v>
      </c>
      <c r="K374" s="126" t="s">
        <v>1567</v>
      </c>
      <c r="L374" s="126" t="s">
        <v>76</v>
      </c>
      <c r="M374" s="126" t="s">
        <v>69</v>
      </c>
      <c r="N374" s="126"/>
      <c r="O374" s="161"/>
      <c r="P374" s="170"/>
      <c r="Q374" s="154"/>
      <c r="R374" s="126"/>
    </row>
    <row r="375" spans="1:18">
      <c r="A375" s="158">
        <f t="shared" si="5"/>
        <v>374</v>
      </c>
      <c r="B375" s="138">
        <v>46068</v>
      </c>
      <c r="C375" s="159" t="s">
        <v>1568</v>
      </c>
      <c r="D375" s="126" t="s">
        <v>1569</v>
      </c>
      <c r="E375" s="126" t="s">
        <v>771</v>
      </c>
      <c r="F375" s="126" t="s">
        <v>71</v>
      </c>
      <c r="G375" s="159" t="s">
        <v>1570</v>
      </c>
      <c r="H375" s="64">
        <v>9041923323</v>
      </c>
      <c r="I375" s="159" t="s">
        <v>1571</v>
      </c>
      <c r="J375" s="154" t="s">
        <v>248</v>
      </c>
      <c r="K375" s="159" t="s">
        <v>1572</v>
      </c>
      <c r="L375" s="126" t="s">
        <v>76</v>
      </c>
      <c r="M375" s="126" t="s">
        <v>77</v>
      </c>
      <c r="N375" s="126"/>
      <c r="O375" s="161"/>
      <c r="P375" s="170"/>
      <c r="Q375" s="154"/>
      <c r="R375" s="126"/>
    </row>
    <row r="376" spans="1:18">
      <c r="A376" s="158">
        <f t="shared" si="5"/>
        <v>375</v>
      </c>
      <c r="B376" s="138">
        <v>46068</v>
      </c>
      <c r="C376" s="159" t="s">
        <v>1573</v>
      </c>
      <c r="D376" s="126" t="s">
        <v>1574</v>
      </c>
      <c r="E376" s="126" t="s">
        <v>41</v>
      </c>
      <c r="F376" s="126" t="s">
        <v>117</v>
      </c>
      <c r="G376" s="129" t="s">
        <v>1575</v>
      </c>
      <c r="H376" s="64"/>
      <c r="I376" s="159" t="s">
        <v>1576</v>
      </c>
      <c r="J376" s="154" t="s">
        <v>34</v>
      </c>
      <c r="K376" s="159" t="s">
        <v>1577</v>
      </c>
      <c r="L376" s="126" t="s">
        <v>54</v>
      </c>
      <c r="M376" s="129" t="s">
        <v>69</v>
      </c>
      <c r="N376" s="173" t="s">
        <v>1578</v>
      </c>
      <c r="O376" s="161">
        <v>46069</v>
      </c>
      <c r="P376" s="170">
        <v>46046</v>
      </c>
      <c r="Q376" s="154" t="s">
        <v>124</v>
      </c>
      <c r="R376" s="126"/>
    </row>
    <row r="377" spans="1:18">
      <c r="A377" s="158">
        <f t="shared" si="5"/>
        <v>376</v>
      </c>
      <c r="B377" s="138">
        <v>46069</v>
      </c>
      <c r="C377" s="159" t="s">
        <v>1579</v>
      </c>
      <c r="D377" s="126" t="s">
        <v>576</v>
      </c>
      <c r="E377" s="126" t="s">
        <v>41</v>
      </c>
      <c r="F377" s="126" t="s">
        <v>42</v>
      </c>
      <c r="G377" s="129" t="s">
        <v>1580</v>
      </c>
      <c r="H377" s="64">
        <v>7447420703</v>
      </c>
      <c r="I377" s="173" t="s">
        <v>1581</v>
      </c>
      <c r="J377" s="154" t="s">
        <v>34</v>
      </c>
      <c r="K377" s="159" t="s">
        <v>1582</v>
      </c>
      <c r="L377" s="126" t="s">
        <v>122</v>
      </c>
      <c r="M377" s="129" t="s">
        <v>77</v>
      </c>
      <c r="N377" s="173" t="s">
        <v>1583</v>
      </c>
      <c r="O377" s="161">
        <v>46069</v>
      </c>
      <c r="P377" s="170">
        <v>14530</v>
      </c>
      <c r="Q377" s="154" t="s">
        <v>124</v>
      </c>
      <c r="R377" s="126"/>
    </row>
    <row r="378" spans="1:18">
      <c r="A378" s="158">
        <f t="shared" si="5"/>
        <v>377</v>
      </c>
      <c r="B378" s="138">
        <v>46069</v>
      </c>
      <c r="C378" s="159" t="s">
        <v>1584</v>
      </c>
      <c r="D378" s="126" t="s">
        <v>46</v>
      </c>
      <c r="E378" s="126" t="s">
        <v>41</v>
      </c>
      <c r="F378" s="126" t="s">
        <v>42</v>
      </c>
      <c r="G378" s="129" t="s">
        <v>444</v>
      </c>
      <c r="H378" s="64"/>
      <c r="I378" s="173" t="s">
        <v>1585</v>
      </c>
      <c r="J378" s="154" t="s">
        <v>34</v>
      </c>
      <c r="K378" s="159"/>
      <c r="L378" s="126" t="s">
        <v>122</v>
      </c>
      <c r="M378" s="129" t="s">
        <v>77</v>
      </c>
      <c r="N378" s="173" t="s">
        <v>1586</v>
      </c>
      <c r="O378" s="161">
        <v>46069</v>
      </c>
      <c r="P378" s="170">
        <v>104800</v>
      </c>
      <c r="Q378" s="154" t="s">
        <v>319</v>
      </c>
      <c r="R378" s="126"/>
    </row>
    <row r="379" spans="1:18">
      <c r="A379" s="158">
        <f t="shared" si="5"/>
        <v>378</v>
      </c>
      <c r="B379" s="138">
        <v>46069</v>
      </c>
      <c r="C379" s="159" t="s">
        <v>1587</v>
      </c>
      <c r="D379" s="126" t="s">
        <v>1588</v>
      </c>
      <c r="E379" s="126" t="s">
        <v>31</v>
      </c>
      <c r="F379" s="126" t="s">
        <v>42</v>
      </c>
      <c r="G379" s="129" t="s">
        <v>1589</v>
      </c>
      <c r="H379" s="64">
        <v>66626561</v>
      </c>
      <c r="I379" s="173" t="s">
        <v>1590</v>
      </c>
      <c r="J379" s="154" t="s">
        <v>34</v>
      </c>
      <c r="K379" s="159" t="s">
        <v>1591</v>
      </c>
      <c r="L379" s="126" t="s">
        <v>54</v>
      </c>
      <c r="M379" s="129" t="s">
        <v>37</v>
      </c>
      <c r="N379" s="173" t="s">
        <v>1592</v>
      </c>
      <c r="O379" s="161">
        <v>46069</v>
      </c>
      <c r="P379" s="170"/>
      <c r="Q379" s="154" t="s">
        <v>336</v>
      </c>
      <c r="R379" s="126"/>
    </row>
    <row r="380" spans="1:18">
      <c r="A380" s="158">
        <f t="shared" si="5"/>
        <v>379</v>
      </c>
      <c r="B380" s="138">
        <v>46069</v>
      </c>
      <c r="C380" s="159" t="s">
        <v>1593</v>
      </c>
      <c r="D380" s="126" t="s">
        <v>710</v>
      </c>
      <c r="E380" s="126" t="s">
        <v>711</v>
      </c>
      <c r="F380" s="126" t="s">
        <v>80</v>
      </c>
      <c r="G380" s="129" t="s">
        <v>300</v>
      </c>
      <c r="H380" s="64">
        <v>9900244856</v>
      </c>
      <c r="I380" s="177" t="s">
        <v>1594</v>
      </c>
      <c r="J380" s="154" t="s">
        <v>81</v>
      </c>
      <c r="K380" s="159" t="s">
        <v>1595</v>
      </c>
      <c r="L380" s="126" t="s">
        <v>76</v>
      </c>
      <c r="M380" s="126" t="s">
        <v>69</v>
      </c>
      <c r="N380" s="176"/>
      <c r="O380" s="161"/>
      <c r="P380" s="170"/>
      <c r="Q380" s="154"/>
      <c r="R380" s="126"/>
    </row>
    <row r="381" spans="1:18">
      <c r="A381" s="158">
        <f t="shared" si="5"/>
        <v>380</v>
      </c>
      <c r="B381" s="138">
        <v>46069</v>
      </c>
      <c r="C381" s="159"/>
      <c r="D381" s="129" t="s">
        <v>240</v>
      </c>
      <c r="E381" s="126" t="s">
        <v>84</v>
      </c>
      <c r="F381" s="126" t="s">
        <v>32</v>
      </c>
      <c r="G381" s="129" t="s">
        <v>572</v>
      </c>
      <c r="H381" s="64">
        <v>9512109274</v>
      </c>
      <c r="I381" s="177" t="s">
        <v>1596</v>
      </c>
      <c r="J381" s="64" t="s">
        <v>81</v>
      </c>
      <c r="K381" s="126" t="s">
        <v>1597</v>
      </c>
      <c r="L381" s="126" t="s">
        <v>76</v>
      </c>
      <c r="M381" s="126" t="s">
        <v>55</v>
      </c>
      <c r="N381" s="176"/>
      <c r="O381" s="161"/>
      <c r="P381" s="170"/>
      <c r="Q381" s="154"/>
      <c r="R381" s="126"/>
    </row>
    <row r="382" spans="1:18">
      <c r="A382" s="158">
        <f t="shared" si="5"/>
        <v>381</v>
      </c>
      <c r="B382" s="138">
        <v>46069</v>
      </c>
      <c r="C382" s="159" t="s">
        <v>1598</v>
      </c>
      <c r="D382" s="129" t="s">
        <v>240</v>
      </c>
      <c r="E382" s="126" t="s">
        <v>84</v>
      </c>
      <c r="F382" s="126" t="s">
        <v>90</v>
      </c>
      <c r="G382" s="129" t="s">
        <v>1599</v>
      </c>
      <c r="H382" s="64">
        <v>7285070720</v>
      </c>
      <c r="I382" s="174"/>
      <c r="J382" s="64" t="s">
        <v>81</v>
      </c>
      <c r="K382" s="159"/>
      <c r="L382" s="126" t="s">
        <v>76</v>
      </c>
      <c r="M382" s="126" t="s">
        <v>55</v>
      </c>
      <c r="N382" s="176"/>
      <c r="O382" s="161"/>
      <c r="P382" s="170"/>
      <c r="Q382" s="154"/>
      <c r="R382" s="126"/>
    </row>
    <row r="383" spans="1:18">
      <c r="A383" s="158">
        <f t="shared" si="5"/>
        <v>382</v>
      </c>
      <c r="B383" s="138">
        <v>46070</v>
      </c>
      <c r="C383" s="159" t="s">
        <v>1587</v>
      </c>
      <c r="D383" s="126" t="s">
        <v>1588</v>
      </c>
      <c r="E383" s="126" t="s">
        <v>31</v>
      </c>
      <c r="F383" s="126" t="s">
        <v>42</v>
      </c>
      <c r="G383" s="129" t="s">
        <v>1600</v>
      </c>
      <c r="H383" s="64">
        <v>66626561</v>
      </c>
      <c r="I383" s="173" t="s">
        <v>1590</v>
      </c>
      <c r="J383" s="154" t="s">
        <v>34</v>
      </c>
      <c r="K383" s="159" t="s">
        <v>1591</v>
      </c>
      <c r="L383" s="126" t="s">
        <v>54</v>
      </c>
      <c r="M383" s="129" t="s">
        <v>37</v>
      </c>
      <c r="N383" s="173" t="s">
        <v>1601</v>
      </c>
      <c r="O383" s="161">
        <v>46069</v>
      </c>
      <c r="P383" s="170">
        <v>231649</v>
      </c>
      <c r="Q383" s="154" t="s">
        <v>336</v>
      </c>
      <c r="R383" s="126"/>
    </row>
    <row r="384" spans="1:18">
      <c r="A384" s="158">
        <f t="shared" si="5"/>
        <v>383</v>
      </c>
      <c r="B384" s="138">
        <v>46070</v>
      </c>
      <c r="C384" s="159" t="s">
        <v>1602</v>
      </c>
      <c r="D384" s="126" t="s">
        <v>1603</v>
      </c>
      <c r="E384" s="126" t="s">
        <v>41</v>
      </c>
      <c r="F384" s="126" t="s">
        <v>117</v>
      </c>
      <c r="G384" s="129" t="s">
        <v>1604</v>
      </c>
      <c r="H384" s="64" t="s">
        <v>1605</v>
      </c>
      <c r="I384" s="173" t="s">
        <v>1606</v>
      </c>
      <c r="J384" s="154" t="s">
        <v>34</v>
      </c>
      <c r="K384" s="159" t="s">
        <v>1607</v>
      </c>
      <c r="L384" s="126" t="s">
        <v>54</v>
      </c>
      <c r="M384" s="129" t="s">
        <v>37</v>
      </c>
      <c r="N384" s="173"/>
      <c r="O384" s="161">
        <v>46069</v>
      </c>
      <c r="P384" s="175" t="s">
        <v>1608</v>
      </c>
      <c r="Q384" s="154" t="s">
        <v>124</v>
      </c>
      <c r="R384" s="126"/>
    </row>
    <row r="385" spans="1:18">
      <c r="A385" s="158">
        <f t="shared" si="5"/>
        <v>384</v>
      </c>
      <c r="B385" s="138">
        <v>46070</v>
      </c>
      <c r="C385" s="159" t="s">
        <v>1609</v>
      </c>
      <c r="D385" s="159" t="s">
        <v>810</v>
      </c>
      <c r="E385" s="126" t="s">
        <v>41</v>
      </c>
      <c r="F385" s="126" t="s">
        <v>42</v>
      </c>
      <c r="G385" s="129" t="s">
        <v>1610</v>
      </c>
      <c r="H385" s="64" t="s">
        <v>1139</v>
      </c>
      <c r="I385" s="173" t="s">
        <v>1611</v>
      </c>
      <c r="J385" s="154" t="s">
        <v>34</v>
      </c>
      <c r="K385" s="159" t="s">
        <v>1612</v>
      </c>
      <c r="L385" s="126" t="s">
        <v>54</v>
      </c>
      <c r="M385" s="126" t="s">
        <v>37</v>
      </c>
      <c r="N385" s="126" t="s">
        <v>1613</v>
      </c>
      <c r="O385" s="161">
        <v>46070</v>
      </c>
      <c r="P385" s="170">
        <v>90000</v>
      </c>
      <c r="Q385" s="154" t="s">
        <v>124</v>
      </c>
      <c r="R385" s="126"/>
    </row>
    <row r="386" spans="1:18">
      <c r="A386" s="158">
        <f t="shared" ref="A386:A449" si="6">ROW()-1</f>
        <v>385</v>
      </c>
      <c r="B386" s="138">
        <v>46070</v>
      </c>
      <c r="C386" s="159" t="s">
        <v>1609</v>
      </c>
      <c r="D386" s="159" t="s">
        <v>810</v>
      </c>
      <c r="E386" s="126" t="s">
        <v>41</v>
      </c>
      <c r="F386" s="126" t="s">
        <v>117</v>
      </c>
      <c r="G386" s="129" t="s">
        <v>1614</v>
      </c>
      <c r="H386" s="64"/>
      <c r="I386" s="173" t="s">
        <v>1615</v>
      </c>
      <c r="J386" s="154" t="s">
        <v>34</v>
      </c>
      <c r="K386" s="159" t="s">
        <v>1616</v>
      </c>
      <c r="L386" s="126" t="s">
        <v>54</v>
      </c>
      <c r="M386" s="126" t="s">
        <v>37</v>
      </c>
      <c r="N386" s="126" t="s">
        <v>1617</v>
      </c>
      <c r="O386" s="161">
        <v>46070</v>
      </c>
      <c r="P386" s="170" t="s">
        <v>1618</v>
      </c>
      <c r="Q386" s="154" t="s">
        <v>124</v>
      </c>
      <c r="R386" s="126"/>
    </row>
    <row r="387" spans="1:18">
      <c r="A387" s="158">
        <f t="shared" si="6"/>
        <v>386</v>
      </c>
      <c r="B387" s="138">
        <v>46071</v>
      </c>
      <c r="C387" s="159" t="s">
        <v>1619</v>
      </c>
      <c r="D387" s="163" t="s">
        <v>46</v>
      </c>
      <c r="E387" s="126" t="s">
        <v>41</v>
      </c>
      <c r="F387" s="126" t="s">
        <v>117</v>
      </c>
      <c r="G387" s="129" t="s">
        <v>1620</v>
      </c>
      <c r="H387" s="64">
        <v>9960692753</v>
      </c>
      <c r="I387" s="173" t="s">
        <v>1621</v>
      </c>
      <c r="J387" s="154" t="s">
        <v>34</v>
      </c>
      <c r="K387" s="159" t="s">
        <v>1622</v>
      </c>
      <c r="L387" s="163" t="s">
        <v>54</v>
      </c>
      <c r="M387" s="163" t="s">
        <v>37</v>
      </c>
      <c r="N387" s="163" t="s">
        <v>1623</v>
      </c>
      <c r="O387" s="161">
        <v>46070</v>
      </c>
      <c r="P387" s="170">
        <v>1381773</v>
      </c>
      <c r="Q387" s="154" t="s">
        <v>38</v>
      </c>
      <c r="R387" s="163"/>
    </row>
    <row r="388" spans="1:18">
      <c r="A388" s="158">
        <f t="shared" si="6"/>
        <v>387</v>
      </c>
      <c r="B388" s="138">
        <v>46070</v>
      </c>
      <c r="C388" s="159" t="s">
        <v>1624</v>
      </c>
      <c r="D388" s="126" t="s">
        <v>264</v>
      </c>
      <c r="E388" s="126" t="s">
        <v>41</v>
      </c>
      <c r="F388" s="126" t="s">
        <v>71</v>
      </c>
      <c r="G388" s="129" t="s">
        <v>212</v>
      </c>
      <c r="H388" s="64">
        <v>9767628607</v>
      </c>
      <c r="I388" s="177" t="s">
        <v>1625</v>
      </c>
      <c r="J388" s="154" t="s">
        <v>81</v>
      </c>
      <c r="K388" s="159" t="s">
        <v>1626</v>
      </c>
      <c r="L388" s="126" t="s">
        <v>76</v>
      </c>
      <c r="M388" s="126" t="s">
        <v>77</v>
      </c>
      <c r="N388" s="126"/>
      <c r="O388" s="161"/>
      <c r="P388" s="170"/>
      <c r="Q388" s="154"/>
      <c r="R388" s="126"/>
    </row>
    <row r="389" spans="1:18">
      <c r="A389" s="158">
        <f t="shared" si="6"/>
        <v>388</v>
      </c>
      <c r="B389" s="138">
        <v>46070</v>
      </c>
      <c r="C389" s="159" t="s">
        <v>1627</v>
      </c>
      <c r="D389" s="163" t="s">
        <v>1628</v>
      </c>
      <c r="E389" s="126" t="s">
        <v>84</v>
      </c>
      <c r="F389" s="126" t="s">
        <v>71</v>
      </c>
      <c r="G389" s="129" t="s">
        <v>1629</v>
      </c>
      <c r="H389" s="64">
        <v>9106846576</v>
      </c>
      <c r="I389" s="177" t="s">
        <v>1630</v>
      </c>
      <c r="J389" s="154" t="s">
        <v>272</v>
      </c>
      <c r="K389" s="159" t="s">
        <v>1631</v>
      </c>
      <c r="L389" s="126" t="s">
        <v>76</v>
      </c>
      <c r="M389" s="163" t="s">
        <v>77</v>
      </c>
      <c r="N389" s="163"/>
      <c r="O389" s="161"/>
      <c r="P389" s="170"/>
      <c r="Q389" s="1"/>
      <c r="R389" s="163"/>
    </row>
    <row r="390" spans="1:18">
      <c r="A390" s="158">
        <f t="shared" si="6"/>
        <v>389</v>
      </c>
      <c r="B390" s="138">
        <v>46070</v>
      </c>
      <c r="C390" s="159" t="s">
        <v>1632</v>
      </c>
      <c r="D390" s="126" t="s">
        <v>1633</v>
      </c>
      <c r="E390" s="126" t="s">
        <v>41</v>
      </c>
      <c r="F390" s="126" t="s">
        <v>71</v>
      </c>
      <c r="G390" s="129" t="s">
        <v>1634</v>
      </c>
      <c r="H390" s="154">
        <v>8485890016</v>
      </c>
      <c r="I390" s="173" t="s">
        <v>1635</v>
      </c>
      <c r="J390" s="154" t="s">
        <v>34</v>
      </c>
      <c r="K390" s="159" t="s">
        <v>1636</v>
      </c>
      <c r="L390" s="126" t="s">
        <v>54</v>
      </c>
      <c r="M390" s="126" t="s">
        <v>77</v>
      </c>
      <c r="N390" s="126" t="s">
        <v>1637</v>
      </c>
      <c r="O390" s="161">
        <v>46073</v>
      </c>
      <c r="P390" s="170" t="s">
        <v>1638</v>
      </c>
      <c r="Q390" s="154" t="s">
        <v>38</v>
      </c>
      <c r="R390" s="126"/>
    </row>
    <row r="391" spans="1:18">
      <c r="A391" s="158">
        <f t="shared" si="6"/>
        <v>390</v>
      </c>
      <c r="B391" s="138">
        <v>46070</v>
      </c>
      <c r="C391" s="159" t="s">
        <v>1639</v>
      </c>
      <c r="D391" s="126" t="s">
        <v>1640</v>
      </c>
      <c r="E391" s="159" t="s">
        <v>131</v>
      </c>
      <c r="F391" s="126" t="s">
        <v>80</v>
      </c>
      <c r="G391" s="129" t="s">
        <v>887</v>
      </c>
      <c r="H391" s="64">
        <v>9965025852</v>
      </c>
      <c r="I391" s="177"/>
      <c r="J391" s="154" t="s">
        <v>272</v>
      </c>
      <c r="K391" s="159" t="s">
        <v>1641</v>
      </c>
      <c r="L391" s="126" t="s">
        <v>76</v>
      </c>
      <c r="M391" s="126" t="s">
        <v>69</v>
      </c>
      <c r="N391" s="126"/>
      <c r="O391" s="161"/>
      <c r="P391" s="170"/>
      <c r="Q391" s="154"/>
      <c r="R391" s="126"/>
    </row>
    <row r="392" spans="1:18">
      <c r="A392" s="158">
        <f t="shared" si="6"/>
        <v>391</v>
      </c>
      <c r="B392" s="138">
        <v>46070</v>
      </c>
      <c r="C392" s="163"/>
      <c r="D392" s="163" t="s">
        <v>1642</v>
      </c>
      <c r="E392" s="163" t="s">
        <v>206</v>
      </c>
      <c r="F392" s="163" t="s">
        <v>32</v>
      </c>
      <c r="G392" s="129" t="s">
        <v>899</v>
      </c>
      <c r="H392" s="64">
        <v>9560625861</v>
      </c>
      <c r="I392" s="177" t="s">
        <v>1643</v>
      </c>
      <c r="J392" s="64" t="s">
        <v>81</v>
      </c>
      <c r="K392" s="159" t="s">
        <v>1644</v>
      </c>
      <c r="L392" s="126" t="s">
        <v>76</v>
      </c>
      <c r="M392" s="126" t="s">
        <v>55</v>
      </c>
      <c r="N392" s="126"/>
      <c r="O392" s="161"/>
      <c r="P392" s="170"/>
      <c r="Q392" s="154"/>
      <c r="R392" s="126"/>
    </row>
    <row r="393" spans="1:18">
      <c r="A393" s="158">
        <f t="shared" si="6"/>
        <v>392</v>
      </c>
      <c r="B393" s="138">
        <v>46070</v>
      </c>
      <c r="C393" s="159" t="s">
        <v>1645</v>
      </c>
      <c r="D393" s="126" t="s">
        <v>1646</v>
      </c>
      <c r="E393" s="163" t="s">
        <v>84</v>
      </c>
      <c r="F393" s="163" t="s">
        <v>71</v>
      </c>
      <c r="G393" s="129" t="s">
        <v>1647</v>
      </c>
      <c r="H393" s="64">
        <v>9712183193</v>
      </c>
      <c r="I393" s="177" t="s">
        <v>1648</v>
      </c>
      <c r="J393" s="154" t="s">
        <v>272</v>
      </c>
      <c r="K393" s="159"/>
      <c r="L393" s="126" t="s">
        <v>76</v>
      </c>
      <c r="M393" s="126" t="s">
        <v>77</v>
      </c>
      <c r="N393" s="126"/>
      <c r="O393" s="161"/>
      <c r="P393" s="170"/>
      <c r="Q393" s="154"/>
      <c r="R393" s="126"/>
    </row>
    <row r="394" spans="1:18">
      <c r="A394" s="158">
        <f t="shared" si="6"/>
        <v>393</v>
      </c>
      <c r="B394" s="138">
        <v>46070</v>
      </c>
      <c r="C394" s="159" t="s">
        <v>1649</v>
      </c>
      <c r="D394" s="126" t="s">
        <v>1650</v>
      </c>
      <c r="E394" s="126" t="s">
        <v>41</v>
      </c>
      <c r="F394" s="163" t="s">
        <v>32</v>
      </c>
      <c r="G394" s="126" t="s">
        <v>679</v>
      </c>
      <c r="H394" s="64"/>
      <c r="I394" s="126" t="s">
        <v>1651</v>
      </c>
      <c r="J394" s="64" t="s">
        <v>86</v>
      </c>
      <c r="K394" s="126" t="s">
        <v>1652</v>
      </c>
      <c r="L394" s="126" t="s">
        <v>76</v>
      </c>
      <c r="M394" s="126" t="s">
        <v>69</v>
      </c>
      <c r="N394" s="126"/>
      <c r="O394" s="161"/>
      <c r="P394" s="170"/>
      <c r="Q394" s="154"/>
      <c r="R394" s="126"/>
    </row>
    <row r="395" spans="1:18">
      <c r="A395" s="158">
        <f t="shared" si="6"/>
        <v>394</v>
      </c>
      <c r="B395" s="138">
        <v>46070</v>
      </c>
      <c r="C395" s="159" t="s">
        <v>1653</v>
      </c>
      <c r="D395" s="126" t="s">
        <v>1654</v>
      </c>
      <c r="E395" s="126" t="s">
        <v>131</v>
      </c>
      <c r="F395" s="126" t="s">
        <v>90</v>
      </c>
      <c r="G395" s="129" t="s">
        <v>423</v>
      </c>
      <c r="H395" s="1">
        <v>8973633071</v>
      </c>
      <c r="I395" s="169" t="s">
        <v>1655</v>
      </c>
      <c r="J395" s="154" t="s">
        <v>248</v>
      </c>
      <c r="K395" s="159" t="s">
        <v>1656</v>
      </c>
      <c r="L395" s="126" t="s">
        <v>76</v>
      </c>
      <c r="M395" s="126" t="s">
        <v>69</v>
      </c>
      <c r="N395" s="126"/>
      <c r="O395" s="161"/>
      <c r="P395" s="170"/>
      <c r="Q395" s="154"/>
      <c r="R395" s="126"/>
    </row>
    <row r="396" spans="1:18">
      <c r="A396" s="158">
        <f t="shared" si="6"/>
        <v>395</v>
      </c>
      <c r="B396" s="138">
        <v>46070</v>
      </c>
      <c r="C396" s="159" t="s">
        <v>1657</v>
      </c>
      <c r="D396" s="126" t="s">
        <v>1658</v>
      </c>
      <c r="E396" s="126" t="s">
        <v>308</v>
      </c>
      <c r="F396" s="126" t="s">
        <v>71</v>
      </c>
      <c r="G396" s="129" t="s">
        <v>1268</v>
      </c>
      <c r="H396" s="1">
        <v>9358616517</v>
      </c>
      <c r="I396" s="169" t="s">
        <v>1659</v>
      </c>
      <c r="J396" s="154" t="s">
        <v>34</v>
      </c>
      <c r="K396" s="126" t="s">
        <v>1660</v>
      </c>
      <c r="L396" s="126" t="s">
        <v>76</v>
      </c>
      <c r="M396" s="126" t="s">
        <v>77</v>
      </c>
      <c r="N396" s="126"/>
      <c r="O396" s="161"/>
      <c r="P396" s="170"/>
      <c r="Q396" s="154"/>
      <c r="R396" s="126"/>
    </row>
    <row r="397" spans="1:18">
      <c r="A397" s="158">
        <f t="shared" si="6"/>
        <v>396</v>
      </c>
      <c r="B397" s="138">
        <v>46071</v>
      </c>
      <c r="C397" s="159" t="s">
        <v>1661</v>
      </c>
      <c r="D397" s="126" t="s">
        <v>1662</v>
      </c>
      <c r="E397" s="126" t="s">
        <v>65</v>
      </c>
      <c r="F397" s="126" t="s">
        <v>32</v>
      </c>
      <c r="G397" s="163" t="s">
        <v>1663</v>
      </c>
      <c r="H397" s="1">
        <v>9154751665</v>
      </c>
      <c r="I397" s="169" t="s">
        <v>1664</v>
      </c>
      <c r="J397" s="154" t="s">
        <v>86</v>
      </c>
      <c r="K397" s="159" t="s">
        <v>1665</v>
      </c>
      <c r="L397" s="126" t="s">
        <v>76</v>
      </c>
      <c r="M397" s="126" t="s">
        <v>69</v>
      </c>
      <c r="N397" s="126"/>
      <c r="O397" s="161"/>
      <c r="P397" s="170"/>
      <c r="Q397" s="154"/>
      <c r="R397" s="126"/>
    </row>
    <row r="398" spans="1:18">
      <c r="A398" s="158">
        <f t="shared" si="6"/>
        <v>397</v>
      </c>
      <c r="B398" s="138">
        <v>46071</v>
      </c>
      <c r="C398" s="159" t="s">
        <v>1666</v>
      </c>
      <c r="D398" s="126" t="s">
        <v>1667</v>
      </c>
      <c r="E398" s="126" t="s">
        <v>41</v>
      </c>
      <c r="F398" s="126" t="s">
        <v>90</v>
      </c>
      <c r="G398" s="129" t="s">
        <v>423</v>
      </c>
      <c r="H398" s="1">
        <v>9324113190</v>
      </c>
      <c r="I398" s="169" t="s">
        <v>1668</v>
      </c>
      <c r="J398" s="64" t="s">
        <v>272</v>
      </c>
      <c r="K398" s="126" t="s">
        <v>1669</v>
      </c>
      <c r="L398" s="126" t="s">
        <v>76</v>
      </c>
      <c r="M398" s="126" t="s">
        <v>69</v>
      </c>
      <c r="N398" s="126"/>
      <c r="O398" s="161"/>
      <c r="P398" s="170"/>
      <c r="Q398" s="154"/>
      <c r="R398" s="126"/>
    </row>
    <row r="399" spans="1:18">
      <c r="A399" s="158">
        <f t="shared" si="6"/>
        <v>398</v>
      </c>
      <c r="B399" s="138">
        <v>46071</v>
      </c>
      <c r="C399" s="159" t="s">
        <v>1670</v>
      </c>
      <c r="D399" s="126" t="s">
        <v>1671</v>
      </c>
      <c r="E399" s="126" t="s">
        <v>41</v>
      </c>
      <c r="F399" s="126" t="s">
        <v>71</v>
      </c>
      <c r="G399" s="126" t="s">
        <v>1672</v>
      </c>
      <c r="H399" s="154">
        <v>7887471519</v>
      </c>
      <c r="I399" s="126" t="s">
        <v>1673</v>
      </c>
      <c r="J399" s="64" t="s">
        <v>272</v>
      </c>
      <c r="K399" s="126" t="s">
        <v>976</v>
      </c>
      <c r="L399" s="126" t="s">
        <v>76</v>
      </c>
      <c r="M399" s="126" t="s">
        <v>77</v>
      </c>
      <c r="N399" s="126"/>
      <c r="O399" s="161"/>
      <c r="P399" s="170"/>
      <c r="Q399" s="154"/>
      <c r="R399" s="126"/>
    </row>
    <row r="400" spans="1:18">
      <c r="A400" s="158">
        <f t="shared" si="6"/>
        <v>399</v>
      </c>
      <c r="B400" s="138">
        <v>46071</v>
      </c>
      <c r="C400" s="159"/>
      <c r="D400" s="126" t="s">
        <v>1674</v>
      </c>
      <c r="E400" s="126" t="s">
        <v>41</v>
      </c>
      <c r="F400" s="126" t="s">
        <v>71</v>
      </c>
      <c r="G400" s="132" t="s">
        <v>1634</v>
      </c>
      <c r="H400" s="1">
        <v>9823933539</v>
      </c>
      <c r="I400" s="126"/>
      <c r="J400" s="154" t="s">
        <v>248</v>
      </c>
      <c r="K400" s="126" t="s">
        <v>1675</v>
      </c>
      <c r="L400" s="126" t="s">
        <v>54</v>
      </c>
      <c r="M400" s="126" t="s">
        <v>77</v>
      </c>
      <c r="N400" s="126"/>
      <c r="O400" s="161"/>
      <c r="P400" s="170"/>
      <c r="Q400" s="154"/>
      <c r="R400" s="126"/>
    </row>
    <row r="401" spans="1:18">
      <c r="A401" s="158">
        <f t="shared" si="6"/>
        <v>400</v>
      </c>
      <c r="B401" s="138">
        <v>46071</v>
      </c>
      <c r="C401" s="159" t="s">
        <v>264</v>
      </c>
      <c r="D401" s="126" t="s">
        <v>264</v>
      </c>
      <c r="E401" s="126" t="s">
        <v>41</v>
      </c>
      <c r="F401" s="126" t="s">
        <v>32</v>
      </c>
      <c r="G401" s="126" t="s">
        <v>1676</v>
      </c>
      <c r="H401" s="1">
        <v>8600490968</v>
      </c>
      <c r="I401" s="169" t="s">
        <v>1677</v>
      </c>
      <c r="J401" s="64" t="s">
        <v>86</v>
      </c>
      <c r="K401" s="126" t="s">
        <v>1678</v>
      </c>
      <c r="L401" s="126" t="s">
        <v>76</v>
      </c>
      <c r="M401" s="126" t="s">
        <v>55</v>
      </c>
      <c r="N401" s="126"/>
      <c r="O401" s="161"/>
      <c r="P401" s="170"/>
      <c r="Q401" s="154"/>
      <c r="R401" s="126"/>
    </row>
    <row r="402" spans="1:18">
      <c r="A402" s="158">
        <f t="shared" si="6"/>
        <v>401</v>
      </c>
      <c r="B402" s="138">
        <v>46071</v>
      </c>
      <c r="C402" s="159"/>
      <c r="D402" s="126" t="s">
        <v>909</v>
      </c>
      <c r="E402" s="126" t="s">
        <v>65</v>
      </c>
      <c r="F402" s="126" t="s">
        <v>80</v>
      </c>
      <c r="G402" s="132" t="s">
        <v>1679</v>
      </c>
      <c r="H402" s="1">
        <v>8003899523</v>
      </c>
      <c r="I402" s="169" t="s">
        <v>1680</v>
      </c>
      <c r="J402" s="154" t="s">
        <v>86</v>
      </c>
      <c r="K402" s="159" t="s">
        <v>1681</v>
      </c>
      <c r="L402" s="126" t="s">
        <v>76</v>
      </c>
      <c r="M402" s="126" t="s">
        <v>69</v>
      </c>
      <c r="N402" s="126"/>
      <c r="O402" s="161"/>
      <c r="P402" s="170"/>
      <c r="Q402" s="154"/>
      <c r="R402" s="126"/>
    </row>
    <row r="403" spans="1:18">
      <c r="A403" s="158">
        <f t="shared" si="6"/>
        <v>402</v>
      </c>
      <c r="B403" s="138">
        <v>46071</v>
      </c>
      <c r="C403" s="159" t="s">
        <v>1682</v>
      </c>
      <c r="D403" s="126" t="s">
        <v>1683</v>
      </c>
      <c r="E403" s="126" t="s">
        <v>41</v>
      </c>
      <c r="F403" s="126" t="s">
        <v>32</v>
      </c>
      <c r="G403" s="129" t="s">
        <v>1684</v>
      </c>
      <c r="H403" s="64">
        <v>9930496142</v>
      </c>
      <c r="I403" s="178" t="s">
        <v>1685</v>
      </c>
      <c r="J403" s="64" t="s">
        <v>86</v>
      </c>
      <c r="K403" s="129" t="s">
        <v>1686</v>
      </c>
      <c r="L403" s="126" t="s">
        <v>76</v>
      </c>
      <c r="M403" s="126" t="s">
        <v>55</v>
      </c>
      <c r="N403" s="126"/>
      <c r="O403" s="161"/>
      <c r="P403" s="170"/>
      <c r="Q403" s="154"/>
      <c r="R403" s="126"/>
    </row>
    <row r="404" spans="1:18">
      <c r="A404" s="158">
        <f t="shared" si="6"/>
        <v>403</v>
      </c>
      <c r="B404" s="138">
        <v>46072</v>
      </c>
      <c r="C404" s="126" t="s">
        <v>1687</v>
      </c>
      <c r="D404" s="126" t="s">
        <v>264</v>
      </c>
      <c r="E404" s="126" t="s">
        <v>41</v>
      </c>
      <c r="F404" s="126" t="s">
        <v>71</v>
      </c>
      <c r="G404" s="129" t="s">
        <v>1268</v>
      </c>
      <c r="H404" s="179">
        <v>9960646213</v>
      </c>
      <c r="I404" s="163" t="s">
        <v>1688</v>
      </c>
      <c r="J404" s="154" t="s">
        <v>248</v>
      </c>
      <c r="K404" s="126"/>
      <c r="L404" s="126" t="s">
        <v>76</v>
      </c>
      <c r="M404" s="126" t="s">
        <v>77</v>
      </c>
      <c r="N404" s="126"/>
      <c r="O404" s="161"/>
      <c r="P404" s="170"/>
      <c r="Q404" s="154"/>
      <c r="R404" s="126"/>
    </row>
    <row r="405" spans="1:18">
      <c r="A405" s="158">
        <f t="shared" si="6"/>
        <v>404</v>
      </c>
      <c r="B405" s="138">
        <v>46072</v>
      </c>
      <c r="C405" s="159" t="s">
        <v>1689</v>
      </c>
      <c r="D405" s="163" t="s">
        <v>264</v>
      </c>
      <c r="E405" s="126" t="s">
        <v>41</v>
      </c>
      <c r="F405" s="126" t="s">
        <v>71</v>
      </c>
      <c r="G405" s="132" t="s">
        <v>126</v>
      </c>
      <c r="H405" s="157">
        <v>9172651954</v>
      </c>
      <c r="I405" s="169" t="s">
        <v>1690</v>
      </c>
      <c r="J405" s="1" t="s">
        <v>81</v>
      </c>
      <c r="K405" s="64"/>
      <c r="L405" s="126" t="s">
        <v>76</v>
      </c>
      <c r="M405" s="163" t="s">
        <v>77</v>
      </c>
      <c r="N405" s="163"/>
      <c r="O405" s="161"/>
      <c r="P405" s="170"/>
      <c r="Q405" s="1"/>
      <c r="R405" s="163"/>
    </row>
    <row r="406" spans="1:18">
      <c r="A406" s="158">
        <f t="shared" si="6"/>
        <v>405</v>
      </c>
      <c r="B406" s="138">
        <v>46072</v>
      </c>
      <c r="C406" s="159" t="s">
        <v>1691</v>
      </c>
      <c r="D406" s="126" t="s">
        <v>710</v>
      </c>
      <c r="E406" s="126" t="s">
        <v>711</v>
      </c>
      <c r="F406" s="126" t="s">
        <v>32</v>
      </c>
      <c r="G406" s="159" t="s">
        <v>1691</v>
      </c>
      <c r="H406" s="157">
        <v>9740124707</v>
      </c>
      <c r="I406" s="169" t="s">
        <v>1692</v>
      </c>
      <c r="J406" s="154" t="s">
        <v>86</v>
      </c>
      <c r="K406" s="129" t="s">
        <v>1693</v>
      </c>
      <c r="L406" s="126" t="s">
        <v>76</v>
      </c>
      <c r="M406" s="126" t="s">
        <v>69</v>
      </c>
      <c r="N406" s="126"/>
      <c r="O406" s="161"/>
      <c r="P406" s="170"/>
      <c r="Q406" s="154"/>
      <c r="R406" s="126"/>
    </row>
    <row r="407" spans="1:18">
      <c r="A407" s="158">
        <f t="shared" si="6"/>
        <v>406</v>
      </c>
      <c r="B407" s="138">
        <v>46072</v>
      </c>
      <c r="C407" s="159" t="s">
        <v>1694</v>
      </c>
      <c r="D407" s="126" t="s">
        <v>176</v>
      </c>
      <c r="E407" s="126" t="s">
        <v>41</v>
      </c>
      <c r="F407" s="126" t="s">
        <v>201</v>
      </c>
      <c r="G407" s="169" t="s">
        <v>1381</v>
      </c>
      <c r="H407" s="168">
        <v>8693809958</v>
      </c>
      <c r="I407" s="169" t="s">
        <v>1695</v>
      </c>
      <c r="J407" s="64" t="s">
        <v>86</v>
      </c>
      <c r="K407" s="126" t="s">
        <v>1696</v>
      </c>
      <c r="L407" s="126" t="s">
        <v>76</v>
      </c>
      <c r="M407" s="126" t="s">
        <v>55</v>
      </c>
      <c r="N407" s="126"/>
      <c r="O407" s="161"/>
      <c r="P407" s="170"/>
      <c r="Q407" s="154"/>
      <c r="R407" s="126"/>
    </row>
    <row r="408" spans="1:18">
      <c r="A408" s="158">
        <f t="shared" si="6"/>
        <v>407</v>
      </c>
      <c r="B408" s="138">
        <v>46072</v>
      </c>
      <c r="C408" s="159" t="s">
        <v>1697</v>
      </c>
      <c r="D408" s="126" t="s">
        <v>1698</v>
      </c>
      <c r="E408" s="126" t="s">
        <v>131</v>
      </c>
      <c r="F408" s="126" t="s">
        <v>90</v>
      </c>
      <c r="G408" s="159" t="s">
        <v>423</v>
      </c>
      <c r="H408" s="64">
        <v>9566828504</v>
      </c>
      <c r="I408" s="169" t="s">
        <v>1699</v>
      </c>
      <c r="J408" s="168" t="s">
        <v>86</v>
      </c>
      <c r="K408" s="132" t="s">
        <v>1700</v>
      </c>
      <c r="L408" s="126" t="s">
        <v>76</v>
      </c>
      <c r="M408" s="126" t="s">
        <v>69</v>
      </c>
      <c r="N408" s="126"/>
      <c r="O408" s="161"/>
      <c r="P408" s="170"/>
      <c r="Q408" s="154"/>
      <c r="R408" s="126"/>
    </row>
    <row r="409" spans="1:18" ht="45">
      <c r="A409" s="158">
        <f t="shared" si="6"/>
        <v>408</v>
      </c>
      <c r="B409" s="138">
        <v>46072</v>
      </c>
      <c r="C409" s="159" t="s">
        <v>1701</v>
      </c>
      <c r="D409" s="126" t="s">
        <v>1702</v>
      </c>
      <c r="E409" s="126" t="s">
        <v>41</v>
      </c>
      <c r="F409" s="126" t="s">
        <v>90</v>
      </c>
      <c r="G409" s="159" t="s">
        <v>423</v>
      </c>
      <c r="H409" s="64">
        <v>9321140114</v>
      </c>
      <c r="I409" s="169"/>
      <c r="J409" s="64" t="s">
        <v>81</v>
      </c>
      <c r="K409" s="132" t="s">
        <v>1703</v>
      </c>
      <c r="L409" s="126" t="s">
        <v>76</v>
      </c>
      <c r="M409" s="126" t="s">
        <v>55</v>
      </c>
      <c r="N409" s="126"/>
      <c r="O409" s="161"/>
      <c r="P409" s="170"/>
      <c r="Q409" s="154"/>
      <c r="R409" s="126"/>
    </row>
    <row r="410" spans="1:18">
      <c r="A410" s="158">
        <f t="shared" si="6"/>
        <v>409</v>
      </c>
      <c r="B410" s="138">
        <v>46072</v>
      </c>
      <c r="C410" s="159"/>
      <c r="D410" s="126" t="s">
        <v>1704</v>
      </c>
      <c r="E410" s="126" t="s">
        <v>711</v>
      </c>
      <c r="F410" s="126" t="s">
        <v>80</v>
      </c>
      <c r="G410" s="129" t="s">
        <v>887</v>
      </c>
      <c r="H410" s="64">
        <v>7899355451</v>
      </c>
      <c r="I410" s="169" t="s">
        <v>1705</v>
      </c>
      <c r="J410" s="168" t="s">
        <v>86</v>
      </c>
      <c r="K410" s="132" t="s">
        <v>1706</v>
      </c>
      <c r="L410" s="126" t="s">
        <v>76</v>
      </c>
      <c r="M410" s="126" t="s">
        <v>69</v>
      </c>
      <c r="N410" s="126"/>
      <c r="O410" s="161"/>
      <c r="P410" s="170"/>
      <c r="Q410" s="154"/>
      <c r="R410" s="126"/>
    </row>
    <row r="411" spans="1:18">
      <c r="A411" s="158">
        <f t="shared" si="6"/>
        <v>410</v>
      </c>
      <c r="B411" s="138">
        <v>46073</v>
      </c>
      <c r="C411" s="159" t="s">
        <v>1707</v>
      </c>
      <c r="D411" s="126" t="s">
        <v>1028</v>
      </c>
      <c r="E411" s="126" t="s">
        <v>41</v>
      </c>
      <c r="F411" s="126" t="s">
        <v>117</v>
      </c>
      <c r="G411" s="129" t="s">
        <v>1708</v>
      </c>
      <c r="H411" s="64"/>
      <c r="I411" s="169" t="s">
        <v>1709</v>
      </c>
      <c r="J411" s="168" t="s">
        <v>34</v>
      </c>
      <c r="K411" s="132"/>
      <c r="L411" s="126" t="s">
        <v>122</v>
      </c>
      <c r="M411" s="126" t="s">
        <v>69</v>
      </c>
      <c r="N411" s="126" t="s">
        <v>1710</v>
      </c>
      <c r="O411" s="161">
        <v>46074</v>
      </c>
      <c r="P411" s="170">
        <v>1587735</v>
      </c>
      <c r="Q411" s="154" t="s">
        <v>38</v>
      </c>
      <c r="R411" s="126"/>
    </row>
    <row r="412" spans="1:18">
      <c r="A412" s="158">
        <f t="shared" si="6"/>
        <v>411</v>
      </c>
      <c r="B412" s="138">
        <v>46073</v>
      </c>
      <c r="C412" s="159"/>
      <c r="D412" s="126" t="s">
        <v>1711</v>
      </c>
      <c r="E412" s="126" t="s">
        <v>131</v>
      </c>
      <c r="F412" s="126" t="s">
        <v>32</v>
      </c>
      <c r="G412" s="159" t="s">
        <v>572</v>
      </c>
      <c r="H412" s="64">
        <v>9994739719</v>
      </c>
      <c r="I412" s="182"/>
      <c r="J412" s="154" t="s">
        <v>81</v>
      </c>
      <c r="K412" s="132"/>
      <c r="L412" s="126" t="s">
        <v>76</v>
      </c>
      <c r="M412" s="126" t="s">
        <v>69</v>
      </c>
      <c r="N412" s="126"/>
      <c r="O412" s="161"/>
      <c r="P412" s="170"/>
      <c r="Q412" s="154"/>
      <c r="R412" s="126"/>
    </row>
    <row r="413" spans="1:18">
      <c r="A413" s="158">
        <f t="shared" si="6"/>
        <v>412</v>
      </c>
      <c r="B413" s="138">
        <v>46073</v>
      </c>
      <c r="C413" s="159" t="s">
        <v>1712</v>
      </c>
      <c r="D413" s="126" t="s">
        <v>1713</v>
      </c>
      <c r="E413" s="126" t="s">
        <v>84</v>
      </c>
      <c r="F413" s="126" t="s">
        <v>32</v>
      </c>
      <c r="G413" s="159" t="s">
        <v>32</v>
      </c>
      <c r="H413" s="64">
        <v>9825773828</v>
      </c>
      <c r="I413" s="182"/>
      <c r="J413" s="154" t="s">
        <v>272</v>
      </c>
      <c r="K413" s="132"/>
      <c r="L413" s="126" t="s">
        <v>76</v>
      </c>
      <c r="M413" s="126" t="s">
        <v>55</v>
      </c>
      <c r="N413" s="126"/>
      <c r="O413" s="161"/>
      <c r="P413" s="170"/>
      <c r="Q413" s="154"/>
      <c r="R413" s="126"/>
    </row>
    <row r="414" spans="1:18" ht="24.75" customHeight="1">
      <c r="A414" s="158">
        <f t="shared" si="6"/>
        <v>413</v>
      </c>
      <c r="B414" s="138">
        <v>46073</v>
      </c>
      <c r="C414" s="159" t="s">
        <v>1714</v>
      </c>
      <c r="D414" s="126" t="s">
        <v>264</v>
      </c>
      <c r="E414" s="126" t="s">
        <v>41</v>
      </c>
      <c r="F414" s="126" t="s">
        <v>201</v>
      </c>
      <c r="G414" s="159" t="s">
        <v>376</v>
      </c>
      <c r="H414" s="64">
        <v>9960886710</v>
      </c>
      <c r="I414" s="169" t="s">
        <v>1715</v>
      </c>
      <c r="J414" s="154" t="s">
        <v>81</v>
      </c>
      <c r="K414" s="129" t="s">
        <v>1716</v>
      </c>
      <c r="L414" s="126" t="s">
        <v>76</v>
      </c>
      <c r="M414" s="126" t="s">
        <v>55</v>
      </c>
      <c r="N414" s="126"/>
      <c r="O414" s="161"/>
      <c r="P414" s="170"/>
      <c r="Q414" s="154"/>
      <c r="R414" s="126"/>
    </row>
    <row r="415" spans="1:18">
      <c r="A415" s="158">
        <f t="shared" si="6"/>
        <v>414</v>
      </c>
      <c r="B415" s="138">
        <v>46073</v>
      </c>
      <c r="C415" s="159"/>
      <c r="D415" s="126" t="s">
        <v>1717</v>
      </c>
      <c r="E415" s="126" t="s">
        <v>1718</v>
      </c>
      <c r="F415" s="126" t="s">
        <v>201</v>
      </c>
      <c r="G415" s="126" t="s">
        <v>376</v>
      </c>
      <c r="H415" s="64">
        <v>9459053825</v>
      </c>
      <c r="I415" s="159" t="s">
        <v>1719</v>
      </c>
      <c r="J415" s="154" t="s">
        <v>86</v>
      </c>
      <c r="K415" s="147" t="s">
        <v>1006</v>
      </c>
      <c r="L415" s="126" t="s">
        <v>76</v>
      </c>
      <c r="M415" s="126" t="s">
        <v>55</v>
      </c>
      <c r="N415" s="126"/>
      <c r="O415" s="161"/>
      <c r="P415" s="170"/>
      <c r="Q415" s="154"/>
      <c r="R415" s="126"/>
    </row>
    <row r="416" spans="1:18">
      <c r="A416" s="158">
        <f t="shared" si="6"/>
        <v>415</v>
      </c>
      <c r="B416" s="138">
        <v>46073</v>
      </c>
      <c r="C416" s="159" t="s">
        <v>1720</v>
      </c>
      <c r="D416" s="126" t="s">
        <v>1721</v>
      </c>
      <c r="E416" s="126" t="s">
        <v>131</v>
      </c>
      <c r="F416" s="126" t="s">
        <v>80</v>
      </c>
      <c r="G416" s="126" t="s">
        <v>495</v>
      </c>
      <c r="H416" s="64">
        <v>8870937391</v>
      </c>
      <c r="I416" s="126" t="s">
        <v>1722</v>
      </c>
      <c r="J416" s="154" t="s">
        <v>99</v>
      </c>
      <c r="K416" s="129" t="s">
        <v>1723</v>
      </c>
      <c r="L416" s="126" t="s">
        <v>76</v>
      </c>
      <c r="M416" s="126" t="s">
        <v>69</v>
      </c>
      <c r="N416" s="126"/>
      <c r="O416" s="161"/>
      <c r="P416" s="170"/>
      <c r="Q416" s="154"/>
      <c r="R416" s="126"/>
    </row>
    <row r="417" spans="1:18">
      <c r="A417" s="158">
        <f t="shared" si="6"/>
        <v>416</v>
      </c>
      <c r="B417" s="138">
        <v>46073</v>
      </c>
      <c r="C417" s="159" t="s">
        <v>1724</v>
      </c>
      <c r="D417" s="126" t="s">
        <v>274</v>
      </c>
      <c r="E417" s="126" t="s">
        <v>84</v>
      </c>
      <c r="F417" s="126" t="s">
        <v>117</v>
      </c>
      <c r="G417" s="126" t="s">
        <v>1725</v>
      </c>
      <c r="H417" s="64">
        <v>9727765204</v>
      </c>
      <c r="I417" s="126" t="s">
        <v>1726</v>
      </c>
      <c r="J417" s="154" t="s">
        <v>86</v>
      </c>
      <c r="K417" s="126" t="s">
        <v>1727</v>
      </c>
      <c r="L417" s="126" t="s">
        <v>76</v>
      </c>
      <c r="M417" s="126" t="s">
        <v>55</v>
      </c>
      <c r="N417" s="126"/>
      <c r="O417" s="161"/>
      <c r="P417" s="170"/>
      <c r="Q417" s="154"/>
      <c r="R417" s="126"/>
    </row>
    <row r="418" spans="1:18">
      <c r="A418" s="158">
        <f t="shared" si="6"/>
        <v>417</v>
      </c>
      <c r="B418" s="138">
        <v>46073</v>
      </c>
      <c r="C418" s="159" t="s">
        <v>1728</v>
      </c>
      <c r="D418" s="126" t="s">
        <v>1729</v>
      </c>
      <c r="E418" s="126" t="s">
        <v>84</v>
      </c>
      <c r="F418" s="126" t="s">
        <v>32</v>
      </c>
      <c r="G418" s="159" t="s">
        <v>1730</v>
      </c>
      <c r="H418" s="64">
        <v>9904766195</v>
      </c>
      <c r="I418" s="126" t="s">
        <v>1731</v>
      </c>
      <c r="J418" s="154" t="s">
        <v>81</v>
      </c>
      <c r="K418" s="159" t="s">
        <v>1728</v>
      </c>
      <c r="L418" s="126" t="s">
        <v>76</v>
      </c>
      <c r="M418" s="126" t="s">
        <v>55</v>
      </c>
      <c r="N418" s="126"/>
      <c r="O418" s="161"/>
      <c r="P418" s="170"/>
      <c r="Q418" s="154"/>
      <c r="R418" s="126"/>
    </row>
    <row r="419" spans="1:18">
      <c r="A419" s="158">
        <f t="shared" si="6"/>
        <v>418</v>
      </c>
      <c r="B419" s="138">
        <v>46074</v>
      </c>
      <c r="C419" s="159" t="s">
        <v>1732</v>
      </c>
      <c r="D419" s="126" t="s">
        <v>1733</v>
      </c>
      <c r="E419" s="126" t="s">
        <v>171</v>
      </c>
      <c r="F419" s="126" t="s">
        <v>90</v>
      </c>
      <c r="G419" s="159" t="s">
        <v>423</v>
      </c>
      <c r="H419" s="64">
        <v>9811427982</v>
      </c>
      <c r="I419" s="182"/>
      <c r="J419" s="154" t="s">
        <v>81</v>
      </c>
      <c r="K419" s="159" t="s">
        <v>1734</v>
      </c>
      <c r="L419" s="126" t="s">
        <v>76</v>
      </c>
      <c r="M419" s="126" t="s">
        <v>55</v>
      </c>
      <c r="N419" s="126"/>
      <c r="O419" s="161"/>
      <c r="P419" s="170"/>
      <c r="Q419" s="154"/>
      <c r="R419" s="126"/>
    </row>
    <row r="420" spans="1:18" ht="27" customHeight="1">
      <c r="A420" s="158">
        <f t="shared" si="6"/>
        <v>419</v>
      </c>
      <c r="B420" s="138">
        <v>46074</v>
      </c>
      <c r="C420" s="159"/>
      <c r="D420" s="126" t="s">
        <v>1729</v>
      </c>
      <c r="E420" s="126" t="s">
        <v>84</v>
      </c>
      <c r="F420" s="126" t="s">
        <v>32</v>
      </c>
      <c r="G420" s="129" t="s">
        <v>697</v>
      </c>
      <c r="H420" s="64">
        <v>9904766195</v>
      </c>
      <c r="I420" s="177" t="s">
        <v>1731</v>
      </c>
      <c r="J420" s="64" t="s">
        <v>81</v>
      </c>
      <c r="K420" s="159" t="s">
        <v>1728</v>
      </c>
      <c r="L420" s="126" t="s">
        <v>76</v>
      </c>
      <c r="M420" s="126" t="s">
        <v>55</v>
      </c>
      <c r="N420" s="126"/>
      <c r="O420" s="161"/>
      <c r="P420" s="170"/>
      <c r="Q420" s="154"/>
      <c r="R420" s="126"/>
    </row>
    <row r="421" spans="1:18" ht="18.75" customHeight="1">
      <c r="A421" s="158">
        <f t="shared" si="6"/>
        <v>420</v>
      </c>
      <c r="B421" s="138">
        <v>46074</v>
      </c>
      <c r="C421" s="159" t="s">
        <v>1732</v>
      </c>
      <c r="D421" s="128" t="s">
        <v>1733</v>
      </c>
      <c r="E421" s="126" t="s">
        <v>171</v>
      </c>
      <c r="F421" s="126" t="s">
        <v>90</v>
      </c>
      <c r="G421" s="129" t="s">
        <v>423</v>
      </c>
      <c r="H421" s="64">
        <v>9811427982</v>
      </c>
      <c r="I421" s="182"/>
      <c r="J421" s="154" t="s">
        <v>86</v>
      </c>
      <c r="K421" s="159"/>
      <c r="L421" s="126" t="s">
        <v>76</v>
      </c>
      <c r="M421" s="126" t="s">
        <v>69</v>
      </c>
      <c r="N421" s="126"/>
      <c r="O421" s="161"/>
      <c r="P421" s="170"/>
      <c r="Q421" s="154"/>
      <c r="R421" s="126"/>
    </row>
    <row r="422" spans="1:18">
      <c r="A422" s="158">
        <f t="shared" si="6"/>
        <v>421</v>
      </c>
      <c r="B422" s="138">
        <v>46074</v>
      </c>
      <c r="C422" s="159" t="s">
        <v>1735</v>
      </c>
      <c r="D422" s="126" t="s">
        <v>1736</v>
      </c>
      <c r="E422" s="126" t="s">
        <v>415</v>
      </c>
      <c r="F422" s="126" t="s">
        <v>117</v>
      </c>
      <c r="G422" s="129" t="s">
        <v>1737</v>
      </c>
      <c r="H422" s="64">
        <v>9059902006</v>
      </c>
      <c r="I422" s="177" t="s">
        <v>1738</v>
      </c>
      <c r="J422" s="154" t="s">
        <v>248</v>
      </c>
      <c r="K422" s="159"/>
      <c r="L422" s="126" t="s">
        <v>76</v>
      </c>
      <c r="M422" s="126" t="s">
        <v>69</v>
      </c>
      <c r="N422" s="126"/>
      <c r="O422" s="161"/>
      <c r="P422" s="170"/>
      <c r="Q422" s="154"/>
      <c r="R422" s="126"/>
    </row>
    <row r="423" spans="1:18" ht="18.75" customHeight="1">
      <c r="A423" s="158">
        <f t="shared" si="6"/>
        <v>422</v>
      </c>
      <c r="B423" s="138">
        <v>46074</v>
      </c>
      <c r="C423" s="159" t="s">
        <v>1739</v>
      </c>
      <c r="D423" s="126" t="s">
        <v>1740</v>
      </c>
      <c r="E423" s="126" t="s">
        <v>58</v>
      </c>
      <c r="F423" s="126" t="s">
        <v>80</v>
      </c>
      <c r="G423" s="129" t="s">
        <v>1741</v>
      </c>
      <c r="H423" s="64"/>
      <c r="I423" s="177" t="s">
        <v>1742</v>
      </c>
      <c r="J423" s="64" t="s">
        <v>272</v>
      </c>
      <c r="K423" s="159" t="s">
        <v>1743</v>
      </c>
      <c r="L423" s="126" t="s">
        <v>76</v>
      </c>
      <c r="M423" s="126" t="s">
        <v>55</v>
      </c>
      <c r="N423" s="126"/>
      <c r="O423" s="161"/>
      <c r="P423" s="170"/>
      <c r="Q423" s="154"/>
      <c r="R423" s="126"/>
    </row>
    <row r="424" spans="1:18" ht="21.75" customHeight="1">
      <c r="A424" s="158">
        <f t="shared" si="6"/>
        <v>423</v>
      </c>
      <c r="B424" s="138">
        <v>46074</v>
      </c>
      <c r="C424" s="159" t="s">
        <v>45</v>
      </c>
      <c r="D424" s="126" t="s">
        <v>1744</v>
      </c>
      <c r="E424" s="126" t="s">
        <v>41</v>
      </c>
      <c r="F424" s="126" t="s">
        <v>80</v>
      </c>
      <c r="G424" s="129" t="s">
        <v>1745</v>
      </c>
      <c r="H424" s="64">
        <v>8669660939</v>
      </c>
      <c r="I424" s="169" t="s">
        <v>49</v>
      </c>
      <c r="J424" s="154" t="s">
        <v>34</v>
      </c>
      <c r="K424" s="132" t="s">
        <v>1746</v>
      </c>
      <c r="L424" s="126" t="s">
        <v>54</v>
      </c>
      <c r="M424" s="126" t="s">
        <v>77</v>
      </c>
      <c r="N424" s="126" t="s">
        <v>1747</v>
      </c>
      <c r="O424" s="161">
        <v>46074</v>
      </c>
      <c r="P424" s="170">
        <v>350000</v>
      </c>
      <c r="Q424" s="154" t="s">
        <v>38</v>
      </c>
      <c r="R424" s="126"/>
    </row>
    <row r="425" spans="1:18">
      <c r="A425" s="158">
        <f t="shared" si="6"/>
        <v>424</v>
      </c>
      <c r="B425" s="138">
        <v>46074</v>
      </c>
      <c r="C425" s="159" t="s">
        <v>1748</v>
      </c>
      <c r="D425" s="126" t="s">
        <v>1749</v>
      </c>
      <c r="E425" s="126" t="s">
        <v>65</v>
      </c>
      <c r="F425" s="126" t="s">
        <v>32</v>
      </c>
      <c r="G425" s="129" t="s">
        <v>1750</v>
      </c>
      <c r="H425" s="64">
        <v>8197298608</v>
      </c>
      <c r="I425" s="169" t="s">
        <v>1751</v>
      </c>
      <c r="J425" s="154" t="s">
        <v>34</v>
      </c>
      <c r="K425" s="132" t="s">
        <v>1752</v>
      </c>
      <c r="L425" s="126" t="s">
        <v>54</v>
      </c>
      <c r="M425" s="126" t="s">
        <v>368</v>
      </c>
      <c r="N425" s="126" t="s">
        <v>1753</v>
      </c>
      <c r="O425" s="161">
        <v>46074</v>
      </c>
      <c r="P425" s="170" t="s">
        <v>1754</v>
      </c>
      <c r="Q425" s="154" t="s">
        <v>336</v>
      </c>
      <c r="R425" s="126"/>
    </row>
    <row r="426" spans="1:18">
      <c r="A426" s="158">
        <f t="shared" si="6"/>
        <v>425</v>
      </c>
      <c r="B426" s="138">
        <v>46074</v>
      </c>
      <c r="C426" s="159" t="s">
        <v>1755</v>
      </c>
      <c r="D426" s="126" t="s">
        <v>46</v>
      </c>
      <c r="E426" s="126" t="s">
        <v>41</v>
      </c>
      <c r="F426" s="126" t="s">
        <v>80</v>
      </c>
      <c r="G426" s="129" t="s">
        <v>1756</v>
      </c>
      <c r="H426" s="64"/>
      <c r="I426" s="169" t="s">
        <v>1757</v>
      </c>
      <c r="J426" s="154" t="s">
        <v>34</v>
      </c>
      <c r="K426" s="132"/>
      <c r="L426" s="126" t="s">
        <v>36</v>
      </c>
      <c r="M426" s="126" t="s">
        <v>69</v>
      </c>
      <c r="N426" s="126" t="s">
        <v>1747</v>
      </c>
      <c r="O426" s="161">
        <v>46074</v>
      </c>
      <c r="P426" s="170">
        <v>950000</v>
      </c>
      <c r="Q426" s="154" t="s">
        <v>336</v>
      </c>
      <c r="R426" s="126"/>
    </row>
    <row r="427" spans="1:18" ht="30">
      <c r="A427" s="158">
        <f t="shared" si="6"/>
        <v>426</v>
      </c>
      <c r="B427" s="138">
        <v>46074</v>
      </c>
      <c r="C427" s="159" t="s">
        <v>45</v>
      </c>
      <c r="D427" s="126" t="s">
        <v>1744</v>
      </c>
      <c r="E427" s="126" t="s">
        <v>41</v>
      </c>
      <c r="F427" s="126" t="s">
        <v>71</v>
      </c>
      <c r="G427" s="129" t="s">
        <v>1758</v>
      </c>
      <c r="H427" s="64">
        <v>8669660939</v>
      </c>
      <c r="I427" s="169" t="s">
        <v>49</v>
      </c>
      <c r="J427" s="154" t="s">
        <v>34</v>
      </c>
      <c r="K427" s="132" t="s">
        <v>1746</v>
      </c>
      <c r="L427" s="126" t="s">
        <v>54</v>
      </c>
      <c r="M427" s="126" t="s">
        <v>77</v>
      </c>
      <c r="N427" s="126" t="s">
        <v>1759</v>
      </c>
      <c r="O427" s="161">
        <v>46074</v>
      </c>
      <c r="P427" s="170">
        <v>274744</v>
      </c>
      <c r="Q427" s="154" t="s">
        <v>124</v>
      </c>
      <c r="R427" s="126"/>
    </row>
    <row r="428" spans="1:18">
      <c r="A428" s="158">
        <f t="shared" si="6"/>
        <v>427</v>
      </c>
      <c r="B428" s="138">
        <v>46074</v>
      </c>
      <c r="C428" s="159"/>
      <c r="D428" s="126" t="s">
        <v>730</v>
      </c>
      <c r="E428" s="126" t="s">
        <v>657</v>
      </c>
      <c r="F428" s="126" t="s">
        <v>32</v>
      </c>
      <c r="G428" s="126" t="s">
        <v>32</v>
      </c>
      <c r="H428" s="64">
        <v>9007976995</v>
      </c>
      <c r="I428" s="126" t="s">
        <v>1760</v>
      </c>
      <c r="J428" s="154" t="s">
        <v>81</v>
      </c>
      <c r="K428" s="132" t="s">
        <v>1761</v>
      </c>
      <c r="L428" s="126" t="s">
        <v>76</v>
      </c>
      <c r="M428" s="126" t="s">
        <v>69</v>
      </c>
      <c r="N428" s="126"/>
      <c r="O428" s="161"/>
      <c r="P428" s="170"/>
      <c r="Q428" s="154"/>
      <c r="R428" s="126"/>
    </row>
    <row r="429" spans="1:18">
      <c r="A429" s="158">
        <f t="shared" si="6"/>
        <v>428</v>
      </c>
      <c r="B429" s="138">
        <v>46074</v>
      </c>
      <c r="C429" s="159"/>
      <c r="D429" s="126" t="s">
        <v>46</v>
      </c>
      <c r="E429" s="126" t="s">
        <v>41</v>
      </c>
      <c r="F429" s="126" t="s">
        <v>32</v>
      </c>
      <c r="G429" s="126" t="s">
        <v>32</v>
      </c>
      <c r="H429" s="64">
        <v>9422181248</v>
      </c>
      <c r="I429" s="64" t="s">
        <v>1762</v>
      </c>
      <c r="J429" s="64" t="s">
        <v>81</v>
      </c>
      <c r="K429" s="132" t="s">
        <v>1763</v>
      </c>
      <c r="L429" s="126" t="s">
        <v>76</v>
      </c>
      <c r="M429" s="126" t="s">
        <v>55</v>
      </c>
      <c r="N429" s="126"/>
      <c r="O429" s="161"/>
      <c r="P429" s="170"/>
      <c r="Q429" s="154"/>
      <c r="R429" s="126"/>
    </row>
    <row r="430" spans="1:18">
      <c r="A430" s="158">
        <f t="shared" si="6"/>
        <v>429</v>
      </c>
      <c r="B430" s="138">
        <v>46074</v>
      </c>
      <c r="C430" s="159"/>
      <c r="D430" s="126" t="s">
        <v>1764</v>
      </c>
      <c r="E430" s="126"/>
      <c r="F430" s="126" t="s">
        <v>32</v>
      </c>
      <c r="G430" s="126" t="s">
        <v>32</v>
      </c>
      <c r="H430" s="64">
        <v>9992000407</v>
      </c>
      <c r="I430" s="182"/>
      <c r="J430" s="64" t="s">
        <v>272</v>
      </c>
      <c r="K430" s="132" t="s">
        <v>1765</v>
      </c>
      <c r="L430" s="126" t="s">
        <v>76</v>
      </c>
      <c r="M430" s="126" t="s">
        <v>55</v>
      </c>
      <c r="N430" s="126"/>
      <c r="O430" s="161"/>
      <c r="P430" s="170"/>
      <c r="Q430" s="154"/>
      <c r="R430" s="126"/>
    </row>
    <row r="431" spans="1:18">
      <c r="A431" s="158">
        <f t="shared" si="6"/>
        <v>430</v>
      </c>
      <c r="B431" s="138">
        <v>46074</v>
      </c>
      <c r="C431" s="159"/>
      <c r="D431" s="126" t="s">
        <v>414</v>
      </c>
      <c r="E431" s="126" t="s">
        <v>415</v>
      </c>
      <c r="F431" s="126" t="s">
        <v>32</v>
      </c>
      <c r="G431" s="126" t="s">
        <v>1766</v>
      </c>
      <c r="H431" s="64">
        <v>9992000407</v>
      </c>
      <c r="I431" s="126" t="s">
        <v>1767</v>
      </c>
      <c r="J431" s="154" t="s">
        <v>86</v>
      </c>
      <c r="K431" s="126" t="s">
        <v>1768</v>
      </c>
      <c r="L431" s="126" t="s">
        <v>76</v>
      </c>
      <c r="M431" s="126" t="s">
        <v>69</v>
      </c>
      <c r="N431" s="126"/>
      <c r="O431" s="161"/>
      <c r="P431" s="170"/>
      <c r="Q431" s="154"/>
      <c r="R431" s="126"/>
    </row>
    <row r="432" spans="1:18">
      <c r="A432" s="158">
        <f t="shared" si="6"/>
        <v>431</v>
      </c>
      <c r="B432" s="138">
        <v>46075</v>
      </c>
      <c r="C432" s="159" t="s">
        <v>1769</v>
      </c>
      <c r="D432" s="126" t="s">
        <v>1770</v>
      </c>
      <c r="E432" s="126" t="s">
        <v>41</v>
      </c>
      <c r="F432" s="126" t="s">
        <v>90</v>
      </c>
      <c r="G432" s="129" t="s">
        <v>1771</v>
      </c>
      <c r="H432" s="64">
        <v>9765009443</v>
      </c>
      <c r="I432" s="169" t="s">
        <v>1318</v>
      </c>
      <c r="J432" s="154" t="s">
        <v>34</v>
      </c>
      <c r="K432" s="132" t="s">
        <v>1772</v>
      </c>
      <c r="L432" s="126" t="s">
        <v>54</v>
      </c>
      <c r="M432" s="126" t="s">
        <v>69</v>
      </c>
      <c r="N432" s="126" t="s">
        <v>1773</v>
      </c>
      <c r="O432" s="161">
        <v>46075</v>
      </c>
      <c r="P432" s="170" t="s">
        <v>1774</v>
      </c>
      <c r="Q432" s="154" t="s">
        <v>124</v>
      </c>
      <c r="R432" s="126"/>
    </row>
    <row r="433" spans="1:18">
      <c r="A433" s="158">
        <f t="shared" si="6"/>
        <v>432</v>
      </c>
      <c r="B433" s="138">
        <v>46075</v>
      </c>
      <c r="C433" s="159" t="s">
        <v>726</v>
      </c>
      <c r="D433" s="126" t="s">
        <v>1775</v>
      </c>
      <c r="E433" s="126" t="s">
        <v>41</v>
      </c>
      <c r="F433" s="126" t="s">
        <v>71</v>
      </c>
      <c r="G433" s="129" t="s">
        <v>1776</v>
      </c>
      <c r="H433" s="64">
        <v>9822577592</v>
      </c>
      <c r="I433" s="169" t="s">
        <v>728</v>
      </c>
      <c r="J433" s="154" t="s">
        <v>34</v>
      </c>
      <c r="K433" s="132" t="s">
        <v>1777</v>
      </c>
      <c r="L433" s="126" t="s">
        <v>54</v>
      </c>
      <c r="M433" s="126" t="s">
        <v>77</v>
      </c>
      <c r="N433" s="181" t="s">
        <v>1778</v>
      </c>
      <c r="O433" s="161">
        <v>46075</v>
      </c>
      <c r="P433" s="170">
        <v>276046</v>
      </c>
      <c r="Q433" s="154" t="s">
        <v>336</v>
      </c>
      <c r="R433" s="126"/>
    </row>
    <row r="434" spans="1:18" ht="30">
      <c r="A434" s="158">
        <f t="shared" si="6"/>
        <v>433</v>
      </c>
      <c r="B434" s="138">
        <v>46075</v>
      </c>
      <c r="C434" s="159" t="s">
        <v>1779</v>
      </c>
      <c r="D434" s="126" t="s">
        <v>1780</v>
      </c>
      <c r="E434" s="126" t="s">
        <v>41</v>
      </c>
      <c r="F434" s="126" t="s">
        <v>90</v>
      </c>
      <c r="G434" s="129" t="s">
        <v>1781</v>
      </c>
      <c r="H434" s="64" t="s">
        <v>1782</v>
      </c>
      <c r="I434" s="169" t="s">
        <v>1783</v>
      </c>
      <c r="J434" s="154" t="s">
        <v>34</v>
      </c>
      <c r="K434" s="132" t="s">
        <v>1784</v>
      </c>
      <c r="L434" s="126" t="s">
        <v>54</v>
      </c>
      <c r="M434" s="126" t="s">
        <v>77</v>
      </c>
      <c r="N434" s="126" t="s">
        <v>1785</v>
      </c>
      <c r="O434" s="161">
        <v>46075</v>
      </c>
      <c r="P434" s="170" t="s">
        <v>1786</v>
      </c>
      <c r="Q434" s="154" t="s">
        <v>336</v>
      </c>
      <c r="R434" s="126"/>
    </row>
    <row r="435" spans="1:18" ht="30">
      <c r="A435" s="158">
        <f t="shared" si="6"/>
        <v>434</v>
      </c>
      <c r="B435" s="138">
        <v>46075</v>
      </c>
      <c r="C435" s="159" t="s">
        <v>1787</v>
      </c>
      <c r="D435" s="126" t="s">
        <v>1780</v>
      </c>
      <c r="E435" s="126" t="s">
        <v>41</v>
      </c>
      <c r="F435" s="126" t="s">
        <v>90</v>
      </c>
      <c r="G435" s="129" t="s">
        <v>1788</v>
      </c>
      <c r="H435" s="64">
        <v>9972999933</v>
      </c>
      <c r="I435" s="169" t="s">
        <v>1789</v>
      </c>
      <c r="J435" s="154" t="s">
        <v>34</v>
      </c>
      <c r="K435" s="132" t="s">
        <v>1790</v>
      </c>
      <c r="L435" s="126" t="s">
        <v>76</v>
      </c>
      <c r="M435" s="126" t="s">
        <v>77</v>
      </c>
      <c r="N435" s="126" t="s">
        <v>1791</v>
      </c>
      <c r="O435" s="161">
        <v>46075</v>
      </c>
      <c r="P435" s="170" t="s">
        <v>1792</v>
      </c>
      <c r="Q435" s="154" t="s">
        <v>336</v>
      </c>
      <c r="R435" s="126"/>
    </row>
    <row r="436" spans="1:18" ht="30">
      <c r="A436" s="158">
        <f t="shared" si="6"/>
        <v>435</v>
      </c>
      <c r="B436" s="138">
        <v>46075</v>
      </c>
      <c r="C436" s="159" t="s">
        <v>1793</v>
      </c>
      <c r="D436" s="126" t="s">
        <v>46</v>
      </c>
      <c r="E436" s="126" t="s">
        <v>41</v>
      </c>
      <c r="F436" s="126" t="s">
        <v>117</v>
      </c>
      <c r="G436" s="129" t="s">
        <v>1794</v>
      </c>
      <c r="H436" s="64" t="s">
        <v>1605</v>
      </c>
      <c r="I436" s="169" t="s">
        <v>1795</v>
      </c>
      <c r="J436" s="154" t="s">
        <v>34</v>
      </c>
      <c r="K436" s="132" t="s">
        <v>1796</v>
      </c>
      <c r="L436" s="126" t="s">
        <v>54</v>
      </c>
      <c r="M436" s="126" t="s">
        <v>37</v>
      </c>
      <c r="N436" s="126"/>
      <c r="O436" s="161">
        <v>46075</v>
      </c>
      <c r="P436" s="170" t="s">
        <v>1797</v>
      </c>
      <c r="Q436" s="154" t="s">
        <v>336</v>
      </c>
      <c r="R436" s="126"/>
    </row>
    <row r="437" spans="1:18">
      <c r="A437" s="158">
        <f t="shared" si="6"/>
        <v>436</v>
      </c>
      <c r="B437" s="138">
        <v>46075</v>
      </c>
      <c r="C437" s="159"/>
      <c r="D437" s="126" t="s">
        <v>1798</v>
      </c>
      <c r="E437" s="126" t="s">
        <v>711</v>
      </c>
      <c r="F437" s="126" t="s">
        <v>71</v>
      </c>
      <c r="G437" s="64" t="s">
        <v>491</v>
      </c>
      <c r="H437" s="64">
        <v>9686968657</v>
      </c>
      <c r="I437" s="182"/>
      <c r="J437" s="154" t="s">
        <v>272</v>
      </c>
      <c r="K437" s="132" t="s">
        <v>640</v>
      </c>
      <c r="L437" s="126" t="s">
        <v>76</v>
      </c>
      <c r="M437" s="126" t="s">
        <v>77</v>
      </c>
      <c r="N437" s="126"/>
      <c r="O437" s="161"/>
      <c r="P437" s="170"/>
      <c r="Q437" s="154"/>
      <c r="R437" s="126"/>
    </row>
    <row r="438" spans="1:18">
      <c r="A438" s="158">
        <f t="shared" si="6"/>
        <v>437</v>
      </c>
      <c r="B438" s="138">
        <v>46076</v>
      </c>
      <c r="C438" s="159"/>
      <c r="D438" s="126" t="s">
        <v>647</v>
      </c>
      <c r="E438" s="126" t="s">
        <v>131</v>
      </c>
      <c r="F438" s="126" t="s">
        <v>80</v>
      </c>
      <c r="G438" s="64" t="s">
        <v>1799</v>
      </c>
      <c r="H438" s="64">
        <v>9600954412</v>
      </c>
      <c r="I438" s="126" t="s">
        <v>1800</v>
      </c>
      <c r="J438" s="154" t="s">
        <v>272</v>
      </c>
      <c r="K438" s="132" t="s">
        <v>1801</v>
      </c>
      <c r="L438" s="126" t="s">
        <v>76</v>
      </c>
      <c r="M438" s="126" t="s">
        <v>69</v>
      </c>
      <c r="N438" s="126"/>
      <c r="O438" s="161"/>
      <c r="P438" s="170"/>
      <c r="Q438" s="154"/>
      <c r="R438" s="126"/>
    </row>
    <row r="439" spans="1:18">
      <c r="A439" s="158">
        <f t="shared" si="6"/>
        <v>438</v>
      </c>
      <c r="B439" s="138">
        <v>46076</v>
      </c>
      <c r="C439" s="159" t="s">
        <v>1802</v>
      </c>
      <c r="D439" s="126" t="s">
        <v>1803</v>
      </c>
      <c r="E439" s="126" t="s">
        <v>41</v>
      </c>
      <c r="F439" s="126" t="s">
        <v>80</v>
      </c>
      <c r="G439" s="126" t="s">
        <v>80</v>
      </c>
      <c r="H439" s="64">
        <v>9922510037</v>
      </c>
      <c r="I439" s="126" t="s">
        <v>1804</v>
      </c>
      <c r="J439" s="154" t="s">
        <v>272</v>
      </c>
      <c r="K439" s="132"/>
      <c r="L439" s="126" t="s">
        <v>76</v>
      </c>
      <c r="M439" s="126" t="s">
        <v>69</v>
      </c>
      <c r="N439" s="126"/>
      <c r="O439" s="161"/>
      <c r="P439" s="170"/>
      <c r="Q439" s="154"/>
      <c r="R439" s="126"/>
    </row>
    <row r="440" spans="1:18">
      <c r="A440" s="158">
        <f t="shared" si="6"/>
        <v>439</v>
      </c>
      <c r="B440" s="138">
        <v>46076</v>
      </c>
      <c r="C440" s="159" t="s">
        <v>1805</v>
      </c>
      <c r="D440" s="126" t="s">
        <v>460</v>
      </c>
      <c r="E440" s="126" t="s">
        <v>41</v>
      </c>
      <c r="F440" s="126" t="s">
        <v>42</v>
      </c>
      <c r="G440" s="129" t="s">
        <v>1806</v>
      </c>
      <c r="H440" s="64">
        <v>7391051663</v>
      </c>
      <c r="I440" s="169" t="s">
        <v>1807</v>
      </c>
      <c r="J440" s="168" t="s">
        <v>34</v>
      </c>
      <c r="K440" s="132" t="s">
        <v>1808</v>
      </c>
      <c r="L440" s="126" t="s">
        <v>54</v>
      </c>
      <c r="M440" s="126" t="s">
        <v>37</v>
      </c>
      <c r="N440" s="126" t="s">
        <v>1809</v>
      </c>
      <c r="O440" s="161">
        <v>46076</v>
      </c>
      <c r="P440" s="170">
        <v>1756360</v>
      </c>
      <c r="Q440" s="154" t="s">
        <v>38</v>
      </c>
      <c r="R440" s="126"/>
    </row>
    <row r="441" spans="1:18" ht="45">
      <c r="A441" s="158">
        <f t="shared" si="6"/>
        <v>440</v>
      </c>
      <c r="B441" s="187">
        <v>46076</v>
      </c>
      <c r="C441" s="209" t="s">
        <v>1810</v>
      </c>
      <c r="D441" s="128" t="s">
        <v>460</v>
      </c>
      <c r="E441" s="128" t="s">
        <v>41</v>
      </c>
      <c r="F441" s="128" t="s">
        <v>1147</v>
      </c>
      <c r="G441" s="147" t="s">
        <v>1811</v>
      </c>
      <c r="H441" s="157">
        <v>9637834272</v>
      </c>
      <c r="I441" s="132" t="s">
        <v>1812</v>
      </c>
      <c r="J441" s="168" t="s">
        <v>34</v>
      </c>
      <c r="K441" s="132" t="s">
        <v>1813</v>
      </c>
      <c r="L441" s="128" t="s">
        <v>54</v>
      </c>
      <c r="M441" s="128" t="s">
        <v>55</v>
      </c>
      <c r="N441" s="128" t="s">
        <v>1814</v>
      </c>
      <c r="O441" s="161">
        <v>46076</v>
      </c>
      <c r="P441" s="170">
        <v>890000</v>
      </c>
      <c r="Q441" s="154" t="s">
        <v>336</v>
      </c>
      <c r="R441" s="126"/>
    </row>
    <row r="442" spans="1:18">
      <c r="A442" s="158">
        <f t="shared" si="6"/>
        <v>441</v>
      </c>
      <c r="B442" s="138">
        <v>46077</v>
      </c>
      <c r="C442" s="159" t="s">
        <v>1815</v>
      </c>
      <c r="D442" s="126" t="s">
        <v>46</v>
      </c>
      <c r="E442" s="126" t="s">
        <v>41</v>
      </c>
      <c r="F442" s="126" t="s">
        <v>32</v>
      </c>
      <c r="G442" s="129" t="s">
        <v>1816</v>
      </c>
      <c r="H442" s="64">
        <v>7989369015</v>
      </c>
      <c r="I442" s="132" t="s">
        <v>1817</v>
      </c>
      <c r="J442" s="168" t="s">
        <v>34</v>
      </c>
      <c r="K442" s="132" t="s">
        <v>1818</v>
      </c>
      <c r="L442" s="126" t="s">
        <v>54</v>
      </c>
      <c r="M442" s="126" t="s">
        <v>37</v>
      </c>
      <c r="N442" s="126" t="s">
        <v>1819</v>
      </c>
      <c r="O442" s="161">
        <v>46076</v>
      </c>
      <c r="P442" s="170" t="s">
        <v>1820</v>
      </c>
      <c r="Q442" s="154" t="s">
        <v>124</v>
      </c>
      <c r="R442" s="126"/>
    </row>
    <row r="443" spans="1:18">
      <c r="A443" s="158">
        <f t="shared" si="6"/>
        <v>442</v>
      </c>
      <c r="B443" s="138">
        <v>46077</v>
      </c>
      <c r="C443" s="159" t="s">
        <v>1821</v>
      </c>
      <c r="D443" s="126" t="s">
        <v>46</v>
      </c>
      <c r="E443" s="126" t="s">
        <v>41</v>
      </c>
      <c r="F443" s="126" t="s">
        <v>90</v>
      </c>
      <c r="G443" s="129" t="s">
        <v>1370</v>
      </c>
      <c r="H443" s="64">
        <v>7030967105</v>
      </c>
      <c r="I443" s="64" t="s">
        <v>1822</v>
      </c>
      <c r="J443" s="154" t="s">
        <v>34</v>
      </c>
      <c r="K443" s="132" t="s">
        <v>1823</v>
      </c>
      <c r="L443" s="126" t="s">
        <v>36</v>
      </c>
      <c r="M443" s="126" t="s">
        <v>55</v>
      </c>
      <c r="N443" s="126"/>
      <c r="O443" s="161"/>
      <c r="P443" s="170"/>
      <c r="Q443" s="154"/>
      <c r="R443" s="126"/>
    </row>
    <row r="444" spans="1:18">
      <c r="A444" s="158">
        <f t="shared" si="6"/>
        <v>443</v>
      </c>
      <c r="B444" s="138">
        <v>46077</v>
      </c>
      <c r="C444" s="159" t="s">
        <v>717</v>
      </c>
      <c r="D444" s="126" t="s">
        <v>718</v>
      </c>
      <c r="E444" s="126" t="s">
        <v>41</v>
      </c>
      <c r="F444" s="126" t="s">
        <v>71</v>
      </c>
      <c r="G444" s="129" t="s">
        <v>212</v>
      </c>
      <c r="H444" s="64">
        <v>9359646764</v>
      </c>
      <c r="I444" s="129" t="s">
        <v>719</v>
      </c>
      <c r="J444" s="154" t="s">
        <v>81</v>
      </c>
      <c r="K444" s="129" t="s">
        <v>720</v>
      </c>
      <c r="L444" s="126" t="s">
        <v>76</v>
      </c>
      <c r="M444" s="126" t="s">
        <v>77</v>
      </c>
      <c r="N444" s="126"/>
      <c r="O444" s="161"/>
      <c r="P444" s="170"/>
      <c r="Q444" s="154"/>
      <c r="R444" s="126"/>
    </row>
    <row r="445" spans="1:18">
      <c r="A445" s="158">
        <f t="shared" si="6"/>
        <v>444</v>
      </c>
      <c r="B445" s="138">
        <v>46077</v>
      </c>
      <c r="C445" s="159"/>
      <c r="D445" s="163"/>
      <c r="E445" s="126" t="s">
        <v>41</v>
      </c>
      <c r="F445" s="126" t="s">
        <v>80</v>
      </c>
      <c r="G445" s="126" t="s">
        <v>1824</v>
      </c>
      <c r="H445" s="64">
        <v>8545847991</v>
      </c>
      <c r="I445" s="132"/>
      <c r="J445" s="154" t="s">
        <v>272</v>
      </c>
      <c r="K445" s="129" t="s">
        <v>1825</v>
      </c>
      <c r="L445" s="126" t="s">
        <v>76</v>
      </c>
      <c r="M445" s="126" t="s">
        <v>69</v>
      </c>
      <c r="N445" s="163"/>
      <c r="O445" s="161"/>
      <c r="P445" s="170"/>
      <c r="Q445" s="154"/>
      <c r="R445" s="126"/>
    </row>
    <row r="446" spans="1:18">
      <c r="A446" s="158">
        <f t="shared" si="6"/>
        <v>445</v>
      </c>
      <c r="B446" s="138">
        <v>46078</v>
      </c>
      <c r="C446" s="159" t="s">
        <v>1826</v>
      </c>
      <c r="D446" s="163" t="s">
        <v>1827</v>
      </c>
      <c r="E446" s="126" t="s">
        <v>41</v>
      </c>
      <c r="F446" s="126" t="s">
        <v>90</v>
      </c>
      <c r="G446" s="129" t="s">
        <v>423</v>
      </c>
      <c r="H446" s="64">
        <v>9595300409</v>
      </c>
      <c r="I446" s="129" t="s">
        <v>1828</v>
      </c>
      <c r="J446" s="154" t="s">
        <v>99</v>
      </c>
      <c r="K446" s="126" t="s">
        <v>1829</v>
      </c>
      <c r="L446" s="126" t="s">
        <v>54</v>
      </c>
      <c r="M446" s="126" t="s">
        <v>69</v>
      </c>
      <c r="N446" s="163"/>
      <c r="O446" s="161"/>
      <c r="P446" s="170"/>
      <c r="Q446" s="154"/>
      <c r="R446" s="126"/>
    </row>
    <row r="447" spans="1:18">
      <c r="A447" s="158">
        <f t="shared" si="6"/>
        <v>446</v>
      </c>
      <c r="B447" s="138">
        <v>46078</v>
      </c>
      <c r="C447" s="159" t="s">
        <v>1830</v>
      </c>
      <c r="D447" s="126" t="s">
        <v>849</v>
      </c>
      <c r="E447" s="126" t="s">
        <v>41</v>
      </c>
      <c r="F447" s="126" t="s">
        <v>32</v>
      </c>
      <c r="G447" s="129" t="s">
        <v>1831</v>
      </c>
      <c r="H447" s="64">
        <v>7620644822</v>
      </c>
      <c r="I447" s="64"/>
      <c r="J447" s="64" t="s">
        <v>81</v>
      </c>
      <c r="K447" s="129" t="s">
        <v>1832</v>
      </c>
      <c r="L447" s="126" t="s">
        <v>76</v>
      </c>
      <c r="M447" s="126" t="s">
        <v>55</v>
      </c>
      <c r="N447" s="126"/>
      <c r="O447" s="161"/>
      <c r="P447" s="170"/>
      <c r="Q447" s="154"/>
      <c r="R447" s="126"/>
    </row>
    <row r="448" spans="1:18">
      <c r="A448" s="158">
        <f t="shared" si="6"/>
        <v>447</v>
      </c>
      <c r="B448" s="138">
        <v>46078</v>
      </c>
      <c r="C448" s="159" t="s">
        <v>1833</v>
      </c>
      <c r="D448" s="126" t="s">
        <v>1834</v>
      </c>
      <c r="E448" s="126" t="s">
        <v>84</v>
      </c>
      <c r="F448" s="126" t="s">
        <v>80</v>
      </c>
      <c r="G448" s="129" t="s">
        <v>300</v>
      </c>
      <c r="H448" s="64">
        <v>8320725467</v>
      </c>
      <c r="I448" s="64"/>
      <c r="J448" s="64" t="s">
        <v>81</v>
      </c>
      <c r="K448" s="129" t="s">
        <v>1835</v>
      </c>
      <c r="L448" s="126" t="s">
        <v>76</v>
      </c>
      <c r="M448" s="126" t="s">
        <v>55</v>
      </c>
      <c r="N448" s="126"/>
      <c r="O448" s="161"/>
      <c r="P448" s="170"/>
      <c r="Q448" s="154"/>
      <c r="R448" s="126"/>
    </row>
    <row r="449" spans="1:18">
      <c r="A449" s="158">
        <f t="shared" si="6"/>
        <v>448</v>
      </c>
      <c r="B449" s="138">
        <v>46078</v>
      </c>
      <c r="C449" s="159" t="s">
        <v>1836</v>
      </c>
      <c r="D449" s="126" t="s">
        <v>176</v>
      </c>
      <c r="E449" s="126" t="s">
        <v>41</v>
      </c>
      <c r="F449" s="126" t="s">
        <v>90</v>
      </c>
      <c r="G449" s="129" t="s">
        <v>423</v>
      </c>
      <c r="H449" s="1">
        <v>8433688886</v>
      </c>
      <c r="I449" s="160" t="s">
        <v>1837</v>
      </c>
      <c r="J449" s="154" t="s">
        <v>248</v>
      </c>
      <c r="K449" s="126" t="s">
        <v>1838</v>
      </c>
      <c r="L449" s="126" t="s">
        <v>76</v>
      </c>
      <c r="M449" s="126" t="s">
        <v>69</v>
      </c>
      <c r="N449" s="126"/>
      <c r="O449" s="161"/>
      <c r="P449" s="170"/>
      <c r="Q449" s="154"/>
      <c r="R449" s="126"/>
    </row>
    <row r="450" spans="1:18">
      <c r="A450" s="158">
        <f t="shared" ref="A450:A510" si="7">ROW()-1</f>
        <v>449</v>
      </c>
      <c r="B450" s="138">
        <v>46080</v>
      </c>
      <c r="C450" s="159" t="s">
        <v>79</v>
      </c>
      <c r="D450" s="126" t="s">
        <v>1839</v>
      </c>
      <c r="E450" s="126" t="s">
        <v>41</v>
      </c>
      <c r="F450" s="126" t="s">
        <v>71</v>
      </c>
      <c r="G450" s="129" t="s">
        <v>212</v>
      </c>
      <c r="H450" s="1">
        <v>8767054324</v>
      </c>
      <c r="I450" s="160" t="s">
        <v>1840</v>
      </c>
      <c r="J450" s="154" t="s">
        <v>86</v>
      </c>
      <c r="K450" s="126" t="s">
        <v>1841</v>
      </c>
      <c r="L450" s="126" t="s">
        <v>76</v>
      </c>
      <c r="M450" s="126" t="s">
        <v>77</v>
      </c>
      <c r="N450" s="126"/>
      <c r="O450" s="161"/>
      <c r="P450" s="170"/>
      <c r="Q450" s="154"/>
      <c r="R450" s="126"/>
    </row>
    <row r="451" spans="1:18">
      <c r="A451" s="158">
        <f t="shared" si="7"/>
        <v>450</v>
      </c>
      <c r="B451" s="138">
        <v>46080</v>
      </c>
      <c r="C451" s="159" t="s">
        <v>1842</v>
      </c>
      <c r="D451" s="126" t="s">
        <v>1289</v>
      </c>
      <c r="E451" s="126" t="s">
        <v>131</v>
      </c>
      <c r="F451" s="126" t="s">
        <v>201</v>
      </c>
      <c r="G451" s="129" t="s">
        <v>692</v>
      </c>
      <c r="H451" s="1">
        <v>8428960431</v>
      </c>
      <c r="I451" s="160" t="s">
        <v>1843</v>
      </c>
      <c r="J451" s="154" t="s">
        <v>81</v>
      </c>
      <c r="K451" t="s">
        <v>1016</v>
      </c>
      <c r="L451" s="126" t="s">
        <v>76</v>
      </c>
      <c r="M451" s="126" t="s">
        <v>55</v>
      </c>
      <c r="N451" s="126"/>
      <c r="O451" s="161"/>
      <c r="P451" s="170"/>
      <c r="Q451" s="154"/>
      <c r="R451" s="126"/>
    </row>
    <row r="452" spans="1:18">
      <c r="A452" s="158">
        <f t="shared" si="7"/>
        <v>451</v>
      </c>
      <c r="B452" s="138">
        <v>46080</v>
      </c>
      <c r="C452" s="159" t="s">
        <v>79</v>
      </c>
      <c r="D452" s="126" t="s">
        <v>58</v>
      </c>
      <c r="E452" s="126" t="s">
        <v>58</v>
      </c>
      <c r="F452" s="126" t="s">
        <v>80</v>
      </c>
      <c r="G452" s="129" t="s">
        <v>1844</v>
      </c>
      <c r="H452" s="1">
        <v>9826020085</v>
      </c>
      <c r="J452" s="154" t="s">
        <v>81</v>
      </c>
      <c r="K452" s="159" t="s">
        <v>1845</v>
      </c>
      <c r="L452" s="126" t="s">
        <v>101</v>
      </c>
      <c r="M452" s="126" t="s">
        <v>69</v>
      </c>
      <c r="N452" s="126"/>
      <c r="O452" s="161"/>
      <c r="P452" s="170"/>
      <c r="Q452" s="154"/>
      <c r="R452" s="126"/>
    </row>
    <row r="453" spans="1:18">
      <c r="A453" s="158">
        <f t="shared" si="7"/>
        <v>452</v>
      </c>
      <c r="B453" s="138">
        <v>46080</v>
      </c>
      <c r="C453" s="159" t="s">
        <v>79</v>
      </c>
      <c r="D453" s="126" t="s">
        <v>1846</v>
      </c>
      <c r="E453" s="126" t="s">
        <v>41</v>
      </c>
      <c r="F453" s="126" t="s">
        <v>80</v>
      </c>
      <c r="G453" s="129" t="s">
        <v>1844</v>
      </c>
      <c r="H453" s="1">
        <v>9565558179</v>
      </c>
      <c r="J453" s="154" t="s">
        <v>272</v>
      </c>
      <c r="L453" s="126" t="s">
        <v>101</v>
      </c>
      <c r="M453" s="126" t="s">
        <v>69</v>
      </c>
      <c r="N453" s="126"/>
      <c r="O453" s="161"/>
      <c r="P453" s="170"/>
      <c r="Q453" s="154"/>
      <c r="R453" s="126"/>
    </row>
    <row r="454" spans="1:18">
      <c r="A454" s="158">
        <f t="shared" si="7"/>
        <v>453</v>
      </c>
      <c r="B454" s="138">
        <v>46080</v>
      </c>
      <c r="C454" s="159" t="s">
        <v>1847</v>
      </c>
      <c r="D454" s="126" t="s">
        <v>1848</v>
      </c>
      <c r="E454" s="126" t="s">
        <v>41</v>
      </c>
      <c r="F454" s="126" t="s">
        <v>80</v>
      </c>
      <c r="G454" s="126" t="s">
        <v>80</v>
      </c>
      <c r="H454" s="1">
        <v>9325778198</v>
      </c>
      <c r="I454" s="126" t="s">
        <v>1849</v>
      </c>
      <c r="J454" s="154" t="s">
        <v>86</v>
      </c>
      <c r="K454" s="126" t="s">
        <v>1850</v>
      </c>
      <c r="L454" s="126" t="s">
        <v>76</v>
      </c>
      <c r="M454" s="126" t="s">
        <v>55</v>
      </c>
      <c r="N454" s="126"/>
      <c r="O454" s="161"/>
      <c r="P454" s="170"/>
      <c r="Q454" s="154"/>
      <c r="R454" s="126"/>
    </row>
    <row r="455" spans="1:18">
      <c r="A455" s="158">
        <f t="shared" si="7"/>
        <v>454</v>
      </c>
      <c r="B455" s="138">
        <v>46080</v>
      </c>
      <c r="C455" s="159" t="s">
        <v>1851</v>
      </c>
      <c r="D455" s="126" t="s">
        <v>1852</v>
      </c>
      <c r="E455" s="126" t="s">
        <v>131</v>
      </c>
      <c r="F455" s="126" t="s">
        <v>71</v>
      </c>
      <c r="G455" s="129" t="s">
        <v>1853</v>
      </c>
      <c r="H455" s="1"/>
      <c r="J455" s="154" t="s">
        <v>34</v>
      </c>
      <c r="K455" s="126" t="s">
        <v>1854</v>
      </c>
      <c r="L455" s="126" t="s">
        <v>54</v>
      </c>
      <c r="M455" s="126" t="s">
        <v>77</v>
      </c>
      <c r="N455" s="126"/>
      <c r="O455" s="161"/>
      <c r="P455" s="170"/>
      <c r="Q455" s="154"/>
      <c r="R455" s="126"/>
    </row>
    <row r="456" spans="1:18">
      <c r="A456" s="158">
        <f t="shared" si="7"/>
        <v>455</v>
      </c>
      <c r="B456" s="138">
        <v>46080</v>
      </c>
      <c r="C456" s="159" t="s">
        <v>1810</v>
      </c>
      <c r="D456" s="126" t="s">
        <v>1401</v>
      </c>
      <c r="E456" s="126" t="s">
        <v>41</v>
      </c>
      <c r="F456" s="126" t="s">
        <v>71</v>
      </c>
      <c r="G456" s="129" t="s">
        <v>1855</v>
      </c>
      <c r="H456" s="1">
        <v>8390009933</v>
      </c>
      <c r="I456" s="183" t="s">
        <v>1856</v>
      </c>
      <c r="J456" s="154" t="s">
        <v>34</v>
      </c>
      <c r="K456" s="126" t="s">
        <v>1857</v>
      </c>
      <c r="L456" s="126" t="s">
        <v>54</v>
      </c>
      <c r="M456" s="126" t="s">
        <v>77</v>
      </c>
      <c r="N456" s="128" t="s">
        <v>1858</v>
      </c>
      <c r="O456" s="161">
        <v>46080</v>
      </c>
      <c r="P456" s="170">
        <v>280988</v>
      </c>
      <c r="Q456" s="154" t="s">
        <v>38</v>
      </c>
      <c r="R456" s="126"/>
    </row>
    <row r="457" spans="1:18" ht="30">
      <c r="A457" s="158">
        <f t="shared" si="7"/>
        <v>456</v>
      </c>
      <c r="B457" s="187">
        <v>46080</v>
      </c>
      <c r="C457" s="209" t="s">
        <v>1859</v>
      </c>
      <c r="D457" s="128" t="s">
        <v>324</v>
      </c>
      <c r="E457" s="128" t="s">
        <v>41</v>
      </c>
      <c r="F457" s="128" t="s">
        <v>80</v>
      </c>
      <c r="G457" s="147" t="s">
        <v>1860</v>
      </c>
      <c r="H457" s="168" t="s">
        <v>1605</v>
      </c>
      <c r="I457" s="186" t="s">
        <v>1606</v>
      </c>
      <c r="J457" s="208" t="s">
        <v>34</v>
      </c>
      <c r="K457" s="128" t="s">
        <v>1796</v>
      </c>
      <c r="L457" s="128" t="s">
        <v>54</v>
      </c>
      <c r="M457" s="128" t="s">
        <v>37</v>
      </c>
      <c r="N457" s="128" t="s">
        <v>1861</v>
      </c>
      <c r="O457" s="272">
        <v>46080</v>
      </c>
      <c r="P457" s="219">
        <v>450000</v>
      </c>
      <c r="Q457" s="208" t="s">
        <v>336</v>
      </c>
      <c r="R457" s="128"/>
    </row>
    <row r="458" spans="1:18">
      <c r="A458" s="158">
        <f t="shared" si="7"/>
        <v>457</v>
      </c>
      <c r="B458" s="138">
        <v>46080</v>
      </c>
      <c r="C458" s="159" t="s">
        <v>1862</v>
      </c>
      <c r="D458" s="126" t="s">
        <v>1846</v>
      </c>
      <c r="E458" s="126" t="s">
        <v>41</v>
      </c>
      <c r="F458" s="126" t="s">
        <v>32</v>
      </c>
      <c r="G458" s="129" t="s">
        <v>1863</v>
      </c>
      <c r="H458" s="1">
        <v>9920435411</v>
      </c>
      <c r="I458" s="186" t="s">
        <v>1864</v>
      </c>
      <c r="J458" s="154" t="s">
        <v>34</v>
      </c>
      <c r="K458" s="126" t="s">
        <v>1865</v>
      </c>
      <c r="L458" s="126" t="s">
        <v>54</v>
      </c>
      <c r="M458" s="126" t="s">
        <v>69</v>
      </c>
      <c r="N458" s="126" t="s">
        <v>1866</v>
      </c>
      <c r="O458" s="161">
        <v>46080</v>
      </c>
      <c r="P458" s="185" t="s">
        <v>1867</v>
      </c>
      <c r="Q458" s="154" t="s">
        <v>336</v>
      </c>
      <c r="R458" s="126"/>
    </row>
    <row r="459" spans="1:18" ht="15.75">
      <c r="A459" s="158">
        <f t="shared" si="7"/>
        <v>458</v>
      </c>
      <c r="B459" s="138">
        <v>46080</v>
      </c>
      <c r="C459" s="159" t="s">
        <v>1336</v>
      </c>
      <c r="D459" s="126" t="s">
        <v>1337</v>
      </c>
      <c r="E459" s="126" t="s">
        <v>41</v>
      </c>
      <c r="F459" s="126" t="s">
        <v>71</v>
      </c>
      <c r="G459" s="129" t="s">
        <v>1868</v>
      </c>
      <c r="H459" s="1" t="s">
        <v>1869</v>
      </c>
      <c r="I459" s="186" t="s">
        <v>1870</v>
      </c>
      <c r="J459" s="154" t="s">
        <v>74</v>
      </c>
      <c r="K459" s="126" t="s">
        <v>1871</v>
      </c>
      <c r="L459" s="126" t="s">
        <v>54</v>
      </c>
      <c r="M459" s="126" t="s">
        <v>77</v>
      </c>
      <c r="N459" s="126" t="s">
        <v>1872</v>
      </c>
      <c r="O459" s="161">
        <v>46080</v>
      </c>
      <c r="P459" s="170">
        <v>840000</v>
      </c>
      <c r="Q459" s="154" t="s">
        <v>78</v>
      </c>
      <c r="R459" s="126"/>
    </row>
    <row r="460" spans="1:18">
      <c r="A460" s="158">
        <f t="shared" si="7"/>
        <v>459</v>
      </c>
      <c r="B460" s="187">
        <v>46081</v>
      </c>
      <c r="C460" s="159" t="s">
        <v>1873</v>
      </c>
      <c r="D460" s="128" t="s">
        <v>460</v>
      </c>
      <c r="E460" s="128" t="s">
        <v>41</v>
      </c>
      <c r="F460" s="128" t="s">
        <v>71</v>
      </c>
      <c r="G460" s="159" t="s">
        <v>1874</v>
      </c>
      <c r="H460" s="168"/>
      <c r="I460" s="186" t="s">
        <v>1875</v>
      </c>
      <c r="J460" s="208" t="s">
        <v>34</v>
      </c>
      <c r="K460" s="126" t="s">
        <v>1876</v>
      </c>
      <c r="L460" s="128" t="s">
        <v>54</v>
      </c>
      <c r="M460" s="128" t="s">
        <v>77</v>
      </c>
      <c r="N460" s="126" t="s">
        <v>1877</v>
      </c>
      <c r="O460" s="161">
        <v>46081</v>
      </c>
      <c r="P460" s="175" t="s">
        <v>1878</v>
      </c>
      <c r="Q460" s="154" t="s">
        <v>38</v>
      </c>
      <c r="R460" s="126"/>
    </row>
    <row r="461" spans="1:18" ht="30">
      <c r="A461" s="158">
        <f t="shared" si="7"/>
        <v>460</v>
      </c>
      <c r="B461" s="187">
        <v>46081</v>
      </c>
      <c r="C461" s="209" t="s">
        <v>1879</v>
      </c>
      <c r="D461" s="128" t="s">
        <v>1880</v>
      </c>
      <c r="E461" s="128" t="s">
        <v>41</v>
      </c>
      <c r="F461" s="128" t="s">
        <v>71</v>
      </c>
      <c r="G461" s="169" t="s">
        <v>1881</v>
      </c>
      <c r="H461" s="1">
        <v>7722050915</v>
      </c>
      <c r="I461" s="186" t="s">
        <v>1882</v>
      </c>
      <c r="J461" s="154" t="s">
        <v>74</v>
      </c>
      <c r="K461" s="126" t="s">
        <v>1883</v>
      </c>
      <c r="L461" s="128" t="s">
        <v>54</v>
      </c>
      <c r="M461" s="128" t="s">
        <v>77</v>
      </c>
      <c r="N461" s="128" t="s">
        <v>1884</v>
      </c>
      <c r="O461" s="272">
        <v>46081</v>
      </c>
      <c r="P461" s="219"/>
      <c r="Q461" s="208" t="s">
        <v>78</v>
      </c>
      <c r="R461" s="128"/>
    </row>
    <row r="462" spans="1:18">
      <c r="A462" s="158">
        <f t="shared" si="7"/>
        <v>461</v>
      </c>
      <c r="B462" s="138">
        <v>46081</v>
      </c>
      <c r="C462" s="159" t="s">
        <v>1859</v>
      </c>
      <c r="D462" s="126" t="s">
        <v>324</v>
      </c>
      <c r="E462" s="126" t="s">
        <v>41</v>
      </c>
      <c r="F462" s="126" t="s">
        <v>117</v>
      </c>
      <c r="G462" s="126"/>
      <c r="H462" s="1" t="s">
        <v>1605</v>
      </c>
      <c r="I462" s="186" t="s">
        <v>1885</v>
      </c>
      <c r="J462" s="154" t="s">
        <v>34</v>
      </c>
      <c r="K462" s="126" t="s">
        <v>1886</v>
      </c>
      <c r="L462" s="126" t="s">
        <v>54</v>
      </c>
      <c r="M462" s="126" t="s">
        <v>77</v>
      </c>
      <c r="N462" s="126"/>
      <c r="O462" s="161"/>
      <c r="P462" s="170" t="s">
        <v>1887</v>
      </c>
      <c r="Q462" s="154" t="s">
        <v>336</v>
      </c>
      <c r="R462" s="126"/>
    </row>
    <row r="463" spans="1:18">
      <c r="A463" s="158">
        <f t="shared" si="7"/>
        <v>462</v>
      </c>
      <c r="B463" s="138">
        <v>46081</v>
      </c>
      <c r="C463" s="159" t="s">
        <v>1888</v>
      </c>
      <c r="D463" s="126" t="s">
        <v>71</v>
      </c>
      <c r="E463" s="126" t="s">
        <v>131</v>
      </c>
      <c r="F463" s="126" t="s">
        <v>71</v>
      </c>
      <c r="G463" s="126" t="s">
        <v>1889</v>
      </c>
      <c r="H463" s="64">
        <v>7010086437</v>
      </c>
      <c r="I463" s="126" t="s">
        <v>1890</v>
      </c>
      <c r="J463" s="154" t="s">
        <v>248</v>
      </c>
      <c r="K463" s="160" t="s">
        <v>1891</v>
      </c>
      <c r="L463" s="126" t="s">
        <v>76</v>
      </c>
      <c r="M463" s="126" t="s">
        <v>69</v>
      </c>
      <c r="N463" s="126"/>
      <c r="O463" s="161"/>
      <c r="P463" s="170"/>
      <c r="Q463" s="154"/>
      <c r="R463" s="126"/>
    </row>
    <row r="464" spans="1:18">
      <c r="A464" s="158">
        <f t="shared" si="7"/>
        <v>463</v>
      </c>
      <c r="B464" s="138">
        <v>46081</v>
      </c>
      <c r="C464" s="159" t="s">
        <v>1892</v>
      </c>
      <c r="D464" s="126" t="s">
        <v>1893</v>
      </c>
      <c r="E464" s="126" t="s">
        <v>131</v>
      </c>
      <c r="F464" s="126" t="s">
        <v>32</v>
      </c>
      <c r="G464" s="126" t="s">
        <v>1101</v>
      </c>
      <c r="H464" s="64">
        <v>7708500105</v>
      </c>
      <c r="I464" s="126" t="s">
        <v>1894</v>
      </c>
      <c r="J464" s="154" t="s">
        <v>248</v>
      </c>
      <c r="K464" s="129" t="s">
        <v>1895</v>
      </c>
      <c r="L464" s="126" t="s">
        <v>76</v>
      </c>
      <c r="M464" s="126" t="s">
        <v>69</v>
      </c>
      <c r="N464" s="126"/>
      <c r="O464" s="161"/>
      <c r="P464" s="170"/>
      <c r="Q464" s="154"/>
      <c r="R464" s="126"/>
    </row>
    <row r="465" spans="1:20">
      <c r="A465" s="158">
        <f t="shared" si="7"/>
        <v>464</v>
      </c>
      <c r="B465" s="187">
        <v>46081</v>
      </c>
      <c r="C465" s="159" t="s">
        <v>1896</v>
      </c>
      <c r="D465" s="126" t="s">
        <v>1897</v>
      </c>
      <c r="E465" s="126" t="s">
        <v>41</v>
      </c>
      <c r="F465" s="126" t="s">
        <v>1423</v>
      </c>
      <c r="G465" s="126" t="s">
        <v>1424</v>
      </c>
      <c r="H465" s="64">
        <v>9011453773</v>
      </c>
      <c r="I465" s="126" t="s">
        <v>1898</v>
      </c>
      <c r="J465" s="154" t="s">
        <v>272</v>
      </c>
      <c r="K465" s="126" t="s">
        <v>1899</v>
      </c>
      <c r="L465" s="126" t="s">
        <v>76</v>
      </c>
      <c r="M465" s="126" t="s">
        <v>55</v>
      </c>
      <c r="N465" s="126"/>
      <c r="O465" s="161"/>
      <c r="P465" s="170"/>
      <c r="Q465" s="154"/>
      <c r="R465" s="126"/>
    </row>
    <row r="466" spans="1:20">
      <c r="A466" s="158">
        <f t="shared" si="7"/>
        <v>465</v>
      </c>
      <c r="B466" s="138">
        <v>46082</v>
      </c>
      <c r="C466" s="159" t="s">
        <v>1900</v>
      </c>
      <c r="D466" s="126" t="s">
        <v>810</v>
      </c>
      <c r="E466" s="126" t="s">
        <v>41</v>
      </c>
      <c r="F466" s="126" t="s">
        <v>1423</v>
      </c>
      <c r="G466" s="129" t="s">
        <v>1901</v>
      </c>
      <c r="H466" s="129">
        <v>9657099011</v>
      </c>
      <c r="I466" s="129" t="s">
        <v>1902</v>
      </c>
      <c r="J466" s="154" t="s">
        <v>74</v>
      </c>
      <c r="K466" s="126" t="s">
        <v>1903</v>
      </c>
      <c r="L466" s="126" t="s">
        <v>54</v>
      </c>
      <c r="M466" s="126" t="s">
        <v>55</v>
      </c>
      <c r="N466" s="126" t="s">
        <v>1904</v>
      </c>
      <c r="O466" s="161">
        <v>46082</v>
      </c>
      <c r="P466" s="170" t="s">
        <v>1905</v>
      </c>
      <c r="Q466" s="154" t="s">
        <v>78</v>
      </c>
      <c r="R466" s="126"/>
    </row>
    <row r="467" spans="1:20">
      <c r="A467" s="158">
        <f t="shared" si="7"/>
        <v>466</v>
      </c>
      <c r="B467" s="138">
        <v>46082</v>
      </c>
      <c r="C467" s="159" t="s">
        <v>1906</v>
      </c>
      <c r="D467" s="126" t="s">
        <v>1069</v>
      </c>
      <c r="E467" s="126" t="s">
        <v>41</v>
      </c>
      <c r="F467" s="126" t="s">
        <v>1423</v>
      </c>
      <c r="G467" s="129" t="s">
        <v>1907</v>
      </c>
      <c r="H467" s="129"/>
      <c r="I467" s="129" t="s">
        <v>1908</v>
      </c>
      <c r="J467" s="154" t="s">
        <v>34</v>
      </c>
      <c r="K467" s="126"/>
      <c r="L467" s="126" t="s">
        <v>122</v>
      </c>
      <c r="M467" s="126" t="s">
        <v>69</v>
      </c>
      <c r="N467" s="126" t="s">
        <v>1909</v>
      </c>
      <c r="O467" s="161">
        <v>46082</v>
      </c>
      <c r="P467" s="170" t="s">
        <v>1910</v>
      </c>
      <c r="Q467" s="154" t="s">
        <v>336</v>
      </c>
      <c r="R467" s="126"/>
    </row>
    <row r="468" spans="1:20">
      <c r="A468" s="158">
        <f t="shared" si="7"/>
        <v>467</v>
      </c>
      <c r="B468" s="138">
        <v>46082</v>
      </c>
      <c r="C468" s="159" t="s">
        <v>1911</v>
      </c>
      <c r="D468" s="126" t="s">
        <v>1463</v>
      </c>
      <c r="E468" s="126" t="s">
        <v>41</v>
      </c>
      <c r="F468" s="126" t="s">
        <v>80</v>
      </c>
      <c r="G468" s="129" t="s">
        <v>1912</v>
      </c>
      <c r="H468" s="129"/>
      <c r="I468" s="129" t="s">
        <v>1913</v>
      </c>
      <c r="J468" s="154" t="s">
        <v>34</v>
      </c>
      <c r="K468" s="126" t="s">
        <v>1914</v>
      </c>
      <c r="L468" s="126" t="s">
        <v>36</v>
      </c>
      <c r="M468" s="126" t="s">
        <v>55</v>
      </c>
      <c r="N468" s="126" t="s">
        <v>1915</v>
      </c>
      <c r="O468" s="161">
        <v>46082</v>
      </c>
      <c r="P468" s="170" t="s">
        <v>1916</v>
      </c>
      <c r="Q468" s="154" t="s">
        <v>336</v>
      </c>
      <c r="R468" s="126"/>
    </row>
    <row r="469" spans="1:20">
      <c r="A469" s="158">
        <f t="shared" si="7"/>
        <v>468</v>
      </c>
      <c r="B469" s="138">
        <v>46082</v>
      </c>
      <c r="C469" s="159" t="s">
        <v>355</v>
      </c>
      <c r="D469" s="126" t="s">
        <v>946</v>
      </c>
      <c r="E469" s="126" t="s">
        <v>65</v>
      </c>
      <c r="F469" s="126" t="s">
        <v>90</v>
      </c>
      <c r="G469" s="129" t="s">
        <v>1917</v>
      </c>
      <c r="H469" s="129"/>
      <c r="I469" s="129" t="s">
        <v>1918</v>
      </c>
      <c r="J469" s="154" t="s">
        <v>34</v>
      </c>
      <c r="K469" s="126" t="s">
        <v>1919</v>
      </c>
      <c r="L469" s="126" t="s">
        <v>36</v>
      </c>
      <c r="M469" s="126" t="s">
        <v>55</v>
      </c>
      <c r="N469" s="126"/>
      <c r="O469" s="161">
        <v>46082</v>
      </c>
      <c r="P469" s="170"/>
      <c r="Q469" s="154" t="s">
        <v>336</v>
      </c>
      <c r="R469" s="126"/>
    </row>
    <row r="470" spans="1:20">
      <c r="A470" s="158">
        <f t="shared" si="7"/>
        <v>469</v>
      </c>
      <c r="B470" s="138">
        <v>46082</v>
      </c>
      <c r="C470" s="159" t="s">
        <v>1920</v>
      </c>
      <c r="D470" s="126" t="s">
        <v>46</v>
      </c>
      <c r="E470" s="126" t="s">
        <v>41</v>
      </c>
      <c r="F470" s="126" t="s">
        <v>32</v>
      </c>
      <c r="G470" s="129" t="s">
        <v>1921</v>
      </c>
      <c r="H470" s="129">
        <v>9962317389</v>
      </c>
      <c r="I470" s="129" t="s">
        <v>1922</v>
      </c>
      <c r="J470" s="154" t="s">
        <v>34</v>
      </c>
      <c r="K470" s="126" t="s">
        <v>1923</v>
      </c>
      <c r="L470" s="126" t="s">
        <v>36</v>
      </c>
      <c r="M470" s="126" t="s">
        <v>37</v>
      </c>
      <c r="N470" s="126"/>
      <c r="O470" s="161">
        <v>46082</v>
      </c>
      <c r="P470" s="170"/>
      <c r="Q470" s="154" t="s">
        <v>38</v>
      </c>
      <c r="R470" s="126"/>
    </row>
    <row r="471" spans="1:20">
      <c r="A471" s="158">
        <f t="shared" si="7"/>
        <v>470</v>
      </c>
      <c r="B471" s="138">
        <v>46083</v>
      </c>
      <c r="C471" s="159" t="s">
        <v>1924</v>
      </c>
      <c r="D471" s="126" t="s">
        <v>1069</v>
      </c>
      <c r="E471" s="126" t="s">
        <v>41</v>
      </c>
      <c r="F471" s="126" t="s">
        <v>117</v>
      </c>
      <c r="G471" s="129" t="s">
        <v>1925</v>
      </c>
      <c r="H471" s="129">
        <v>9763314647</v>
      </c>
      <c r="I471" s="129" t="s">
        <v>1926</v>
      </c>
      <c r="J471" s="154" t="s">
        <v>74</v>
      </c>
      <c r="K471" s="126" t="s">
        <v>1927</v>
      </c>
      <c r="L471" s="126" t="s">
        <v>36</v>
      </c>
      <c r="M471" s="126" t="s">
        <v>69</v>
      </c>
      <c r="N471" s="126"/>
      <c r="O471" s="161">
        <v>46083</v>
      </c>
      <c r="P471" s="170"/>
      <c r="Q471" s="154" t="s">
        <v>78</v>
      </c>
      <c r="R471" s="126"/>
    </row>
    <row r="472" spans="1:20">
      <c r="A472" s="158">
        <f t="shared" si="7"/>
        <v>471</v>
      </c>
      <c r="B472" s="138">
        <v>46083</v>
      </c>
      <c r="C472" s="126" t="s">
        <v>1928</v>
      </c>
      <c r="D472" s="126" t="s">
        <v>1929</v>
      </c>
      <c r="E472" s="126"/>
      <c r="F472" s="126" t="s">
        <v>71</v>
      </c>
      <c r="G472" s="126" t="s">
        <v>1106</v>
      </c>
      <c r="H472" s="64">
        <v>9997204127</v>
      </c>
      <c r="I472" s="126" t="s">
        <v>1930</v>
      </c>
      <c r="J472" s="64" t="s">
        <v>248</v>
      </c>
      <c r="K472" s="126" t="s">
        <v>1931</v>
      </c>
      <c r="L472" s="126" t="s">
        <v>76</v>
      </c>
      <c r="M472" s="126" t="s">
        <v>77</v>
      </c>
      <c r="N472" s="126"/>
      <c r="O472" s="161"/>
      <c r="P472" s="170"/>
      <c r="Q472" s="154"/>
      <c r="R472" s="126"/>
    </row>
    <row r="473" spans="1:20">
      <c r="A473" s="158">
        <f t="shared" si="7"/>
        <v>472</v>
      </c>
      <c r="B473" s="138">
        <v>46083</v>
      </c>
      <c r="C473" s="159"/>
      <c r="D473" s="163" t="s">
        <v>1932</v>
      </c>
      <c r="E473" s="126" t="s">
        <v>191</v>
      </c>
      <c r="F473" s="126" t="s">
        <v>1423</v>
      </c>
      <c r="G473" s="126" t="s">
        <v>1933</v>
      </c>
      <c r="H473" s="64">
        <v>9853759672</v>
      </c>
      <c r="I473" s="126" t="s">
        <v>1934</v>
      </c>
      <c r="J473" s="1" t="s">
        <v>86</v>
      </c>
      <c r="K473" s="126" t="s">
        <v>1935</v>
      </c>
      <c r="L473" s="163" t="s">
        <v>76</v>
      </c>
      <c r="M473" s="163" t="s">
        <v>69</v>
      </c>
      <c r="N473" s="163"/>
      <c r="O473" s="161"/>
      <c r="P473" s="170"/>
      <c r="Q473" s="154"/>
      <c r="R473" s="163"/>
    </row>
    <row r="474" spans="1:20">
      <c r="A474" s="158">
        <f t="shared" si="7"/>
        <v>473</v>
      </c>
      <c r="B474" s="138">
        <v>46084</v>
      </c>
      <c r="C474" s="138" t="s">
        <v>1936</v>
      </c>
      <c r="D474" s="138" t="s">
        <v>1937</v>
      </c>
      <c r="E474" s="138"/>
      <c r="F474" s="138" t="s">
        <v>80</v>
      </c>
      <c r="G474" s="138" t="s">
        <v>1938</v>
      </c>
      <c r="H474" s="64">
        <v>9970186627</v>
      </c>
      <c r="I474" s="126" t="s">
        <v>1939</v>
      </c>
      <c r="J474" s="207" t="s">
        <v>99</v>
      </c>
      <c r="K474" s="126" t="s">
        <v>1940</v>
      </c>
      <c r="L474" s="138" t="s">
        <v>76</v>
      </c>
      <c r="M474" s="138" t="s">
        <v>69</v>
      </c>
      <c r="N474" s="138"/>
      <c r="O474" s="138"/>
      <c r="P474" s="138"/>
      <c r="Q474" s="154"/>
      <c r="R474" s="138"/>
      <c r="S474" s="20"/>
      <c r="T474" s="20"/>
    </row>
    <row r="475" spans="1:20">
      <c r="A475" s="158">
        <f t="shared" si="7"/>
        <v>474</v>
      </c>
      <c r="B475" s="138">
        <v>46084</v>
      </c>
      <c r="C475" s="171" t="s">
        <v>1941</v>
      </c>
      <c r="D475" s="188" t="s">
        <v>324</v>
      </c>
      <c r="E475" s="126" t="s">
        <v>41</v>
      </c>
      <c r="F475" s="126" t="s">
        <v>71</v>
      </c>
      <c r="G475" s="138" t="s">
        <v>1268</v>
      </c>
      <c r="H475" s="64">
        <v>8624992294</v>
      </c>
      <c r="I475" s="129" t="s">
        <v>1942</v>
      </c>
      <c r="J475" s="64" t="s">
        <v>99</v>
      </c>
      <c r="K475" s="64" t="s">
        <v>1943</v>
      </c>
      <c r="L475" s="188" t="s">
        <v>76</v>
      </c>
      <c r="M475" s="188" t="s">
        <v>77</v>
      </c>
      <c r="N475" s="138"/>
      <c r="O475" s="161"/>
      <c r="P475" s="189"/>
      <c r="Q475" s="154"/>
      <c r="R475" s="138"/>
      <c r="S475" s="84"/>
      <c r="T475" s="84"/>
    </row>
    <row r="476" spans="1:20">
      <c r="A476" s="158">
        <f t="shared" si="7"/>
        <v>475</v>
      </c>
      <c r="B476" s="138">
        <v>46084</v>
      </c>
      <c r="C476" s="171"/>
      <c r="D476" s="188" t="s">
        <v>264</v>
      </c>
      <c r="E476" s="188" t="s">
        <v>41</v>
      </c>
      <c r="F476" s="188" t="s">
        <v>90</v>
      </c>
      <c r="G476" s="138" t="s">
        <v>1944</v>
      </c>
      <c r="H476" s="64">
        <v>9834682815</v>
      </c>
      <c r="I476" s="129"/>
      <c r="J476" s="194" t="s">
        <v>1420</v>
      </c>
      <c r="K476" s="126" t="s">
        <v>1945</v>
      </c>
      <c r="L476" s="188" t="s">
        <v>76</v>
      </c>
      <c r="M476" s="188" t="s">
        <v>69</v>
      </c>
      <c r="N476" s="138"/>
      <c r="O476" s="161"/>
      <c r="P476" s="189"/>
      <c r="Q476" s="154"/>
      <c r="R476" s="138"/>
      <c r="S476" s="84"/>
      <c r="T476" s="84"/>
    </row>
    <row r="477" spans="1:20">
      <c r="A477" s="158">
        <f t="shared" si="7"/>
        <v>476</v>
      </c>
      <c r="B477" s="138">
        <v>46085</v>
      </c>
      <c r="C477" s="126" t="s">
        <v>1946</v>
      </c>
      <c r="D477" s="126" t="s">
        <v>1947</v>
      </c>
      <c r="E477" s="126" t="s">
        <v>41</v>
      </c>
      <c r="F477" s="126" t="s">
        <v>71</v>
      </c>
      <c r="G477" s="126" t="s">
        <v>72</v>
      </c>
      <c r="H477" s="129">
        <v>9823821678</v>
      </c>
      <c r="I477" s="129"/>
      <c r="J477" s="154" t="s">
        <v>34</v>
      </c>
      <c r="K477" s="126" t="s">
        <v>1948</v>
      </c>
      <c r="L477" s="126" t="s">
        <v>76</v>
      </c>
      <c r="M477" s="126" t="s">
        <v>77</v>
      </c>
      <c r="N477" s="126"/>
      <c r="O477" s="161"/>
      <c r="P477" s="170"/>
      <c r="Q477" s="154"/>
      <c r="R477" s="126"/>
    </row>
    <row r="478" spans="1:20">
      <c r="A478" s="158">
        <f t="shared" si="7"/>
        <v>477</v>
      </c>
      <c r="B478" s="138">
        <v>46085</v>
      </c>
      <c r="C478" s="159" t="s">
        <v>1949</v>
      </c>
      <c r="D478" s="126" t="s">
        <v>1950</v>
      </c>
      <c r="E478" s="126" t="s">
        <v>171</v>
      </c>
      <c r="F478" s="126" t="s">
        <v>71</v>
      </c>
      <c r="G478" s="126" t="s">
        <v>928</v>
      </c>
      <c r="H478" s="64">
        <v>9211071117</v>
      </c>
      <c r="I478" s="126" t="s">
        <v>1951</v>
      </c>
      <c r="J478" s="154" t="s">
        <v>248</v>
      </c>
      <c r="K478" s="126" t="s">
        <v>1952</v>
      </c>
      <c r="L478" s="126" t="s">
        <v>76</v>
      </c>
      <c r="M478" s="126" t="s">
        <v>77</v>
      </c>
      <c r="N478" s="126"/>
      <c r="O478" s="161"/>
      <c r="P478" s="170"/>
      <c r="Q478" s="154"/>
      <c r="R478" s="126"/>
    </row>
    <row r="479" spans="1:20">
      <c r="A479" s="158">
        <f t="shared" si="7"/>
        <v>478</v>
      </c>
      <c r="B479" s="138">
        <v>46085</v>
      </c>
      <c r="C479" s="126" t="s">
        <v>1953</v>
      </c>
      <c r="D479" s="126" t="s">
        <v>1954</v>
      </c>
      <c r="E479" s="126"/>
      <c r="F479" s="126" t="s">
        <v>71</v>
      </c>
      <c r="G479" s="126" t="s">
        <v>72</v>
      </c>
      <c r="H479" s="1">
        <v>9312250839</v>
      </c>
      <c r="I479" s="129" t="s">
        <v>1955</v>
      </c>
      <c r="J479" s="64" t="s">
        <v>81</v>
      </c>
      <c r="K479" s="129" t="s">
        <v>1956</v>
      </c>
      <c r="L479" s="126" t="s">
        <v>76</v>
      </c>
      <c r="M479" s="126" t="s">
        <v>77</v>
      </c>
      <c r="N479" s="126"/>
      <c r="O479" s="161"/>
      <c r="P479" s="170"/>
      <c r="Q479" s="154"/>
      <c r="R479" s="126"/>
    </row>
    <row r="480" spans="1:20">
      <c r="A480" s="158">
        <f t="shared" si="7"/>
        <v>479</v>
      </c>
      <c r="B480" s="138">
        <v>46085</v>
      </c>
      <c r="C480" s="159"/>
      <c r="D480" s="126" t="s">
        <v>176</v>
      </c>
      <c r="E480" s="126" t="s">
        <v>41</v>
      </c>
      <c r="F480" s="126" t="s">
        <v>80</v>
      </c>
      <c r="G480" s="126" t="s">
        <v>1957</v>
      </c>
      <c r="H480" s="1">
        <v>8149459139</v>
      </c>
      <c r="I480" s="129"/>
      <c r="J480" s="64" t="s">
        <v>81</v>
      </c>
      <c r="K480" s="126" t="s">
        <v>1958</v>
      </c>
      <c r="L480" s="126" t="s">
        <v>76</v>
      </c>
      <c r="M480" s="126" t="s">
        <v>55</v>
      </c>
      <c r="N480" s="126"/>
      <c r="O480" s="161"/>
      <c r="P480" s="170"/>
      <c r="Q480" s="154"/>
      <c r="R480" s="126"/>
    </row>
    <row r="481" spans="1:20">
      <c r="A481" s="158">
        <f t="shared" si="7"/>
        <v>480</v>
      </c>
      <c r="B481" s="138">
        <v>46085</v>
      </c>
      <c r="C481" s="159" t="s">
        <v>1959</v>
      </c>
      <c r="D481" s="126" t="s">
        <v>460</v>
      </c>
      <c r="E481" s="126" t="s">
        <v>41</v>
      </c>
      <c r="F481" s="126" t="s">
        <v>201</v>
      </c>
      <c r="G481" s="126" t="s">
        <v>1960</v>
      </c>
      <c r="I481" s="129" t="s">
        <v>1516</v>
      </c>
      <c r="J481" s="154" t="s">
        <v>34</v>
      </c>
      <c r="K481" s="126" t="s">
        <v>1961</v>
      </c>
      <c r="L481" s="126" t="s">
        <v>54</v>
      </c>
      <c r="M481" s="126" t="s">
        <v>37</v>
      </c>
      <c r="N481" s="126" t="s">
        <v>1962</v>
      </c>
      <c r="O481" s="161">
        <v>46085</v>
      </c>
      <c r="P481" s="170">
        <v>1290000</v>
      </c>
      <c r="Q481" s="154" t="s">
        <v>38</v>
      </c>
      <c r="R481" s="126"/>
    </row>
    <row r="482" spans="1:20">
      <c r="A482" s="158">
        <f t="shared" si="7"/>
        <v>481</v>
      </c>
      <c r="B482" s="138">
        <v>46086</v>
      </c>
      <c r="C482" s="159" t="s">
        <v>1963</v>
      </c>
      <c r="D482" s="126" t="s">
        <v>1964</v>
      </c>
      <c r="E482" s="126" t="s">
        <v>191</v>
      </c>
      <c r="F482" s="126" t="s">
        <v>32</v>
      </c>
      <c r="G482" s="129" t="s">
        <v>1965</v>
      </c>
      <c r="H482" s="1">
        <v>8598906665</v>
      </c>
      <c r="I482" s="129"/>
      <c r="J482" s="154" t="s">
        <v>81</v>
      </c>
      <c r="K482" s="126" t="s">
        <v>1966</v>
      </c>
      <c r="L482" s="126" t="s">
        <v>76</v>
      </c>
      <c r="M482" s="126" t="s">
        <v>69</v>
      </c>
      <c r="N482" s="126"/>
      <c r="O482" s="161"/>
      <c r="P482" s="170"/>
      <c r="Q482" s="154"/>
      <c r="R482" s="126"/>
    </row>
    <row r="483" spans="1:20">
      <c r="A483" s="158">
        <f t="shared" si="7"/>
        <v>482</v>
      </c>
      <c r="B483" s="138">
        <v>46087</v>
      </c>
      <c r="C483" s="126" t="s">
        <v>1967</v>
      </c>
      <c r="D483" s="163" t="s">
        <v>1968</v>
      </c>
      <c r="E483" s="126" t="s">
        <v>65</v>
      </c>
      <c r="F483" s="126" t="s">
        <v>32</v>
      </c>
      <c r="G483" s="190" t="s">
        <v>697</v>
      </c>
      <c r="H483" s="64">
        <v>9550216129</v>
      </c>
      <c r="I483" s="129" t="s">
        <v>1969</v>
      </c>
      <c r="J483" s="1" t="s">
        <v>81</v>
      </c>
      <c r="K483" s="126" t="s">
        <v>1970</v>
      </c>
      <c r="L483" s="163" t="s">
        <v>76</v>
      </c>
      <c r="M483" s="126" t="s">
        <v>69</v>
      </c>
      <c r="N483" s="163"/>
      <c r="O483" s="161"/>
      <c r="P483" s="170"/>
      <c r="Q483" s="154"/>
      <c r="R483" s="163"/>
    </row>
    <row r="484" spans="1:20">
      <c r="A484" s="158">
        <f t="shared" si="7"/>
        <v>483</v>
      </c>
      <c r="B484" s="138">
        <v>46087</v>
      </c>
      <c r="C484" s="159" t="s">
        <v>1971</v>
      </c>
      <c r="D484" s="126" t="s">
        <v>1972</v>
      </c>
      <c r="E484" s="126" t="s">
        <v>41</v>
      </c>
      <c r="F484" s="138" t="s">
        <v>80</v>
      </c>
      <c r="G484" s="129" t="s">
        <v>495</v>
      </c>
      <c r="H484" s="129">
        <v>9970002507</v>
      </c>
      <c r="I484" s="129" t="s">
        <v>1973</v>
      </c>
      <c r="J484" s="1" t="s">
        <v>34</v>
      </c>
      <c r="K484" s="126" t="s">
        <v>1974</v>
      </c>
      <c r="L484" s="126" t="s">
        <v>76</v>
      </c>
      <c r="M484" s="126" t="s">
        <v>55</v>
      </c>
      <c r="N484" s="126"/>
      <c r="O484" s="161"/>
      <c r="P484" s="170"/>
      <c r="Q484" s="154"/>
      <c r="R484" s="126"/>
    </row>
    <row r="485" spans="1:20">
      <c r="A485" s="158">
        <f t="shared" si="7"/>
        <v>484</v>
      </c>
      <c r="B485" s="138">
        <v>46087</v>
      </c>
      <c r="C485" s="159"/>
      <c r="D485" s="126" t="s">
        <v>264</v>
      </c>
      <c r="E485" s="126" t="s">
        <v>41</v>
      </c>
      <c r="F485" s="159" t="s">
        <v>201</v>
      </c>
      <c r="G485" s="190" t="s">
        <v>376</v>
      </c>
      <c r="H485" s="64">
        <v>7385752675</v>
      </c>
      <c r="I485" s="129" t="s">
        <v>1975</v>
      </c>
      <c r="J485" s="1" t="s">
        <v>81</v>
      </c>
      <c r="K485" s="126" t="s">
        <v>1976</v>
      </c>
      <c r="L485" s="126" t="s">
        <v>76</v>
      </c>
      <c r="M485" s="126" t="s">
        <v>55</v>
      </c>
      <c r="N485" s="126"/>
      <c r="O485" s="161"/>
      <c r="P485" s="170"/>
      <c r="Q485" s="154"/>
      <c r="R485" s="126"/>
    </row>
    <row r="486" spans="1:20">
      <c r="A486" s="158">
        <f t="shared" si="7"/>
        <v>485</v>
      </c>
      <c r="B486" s="138">
        <v>46087</v>
      </c>
      <c r="C486" s="159" t="s">
        <v>1977</v>
      </c>
      <c r="D486" s="126" t="s">
        <v>1978</v>
      </c>
      <c r="E486" s="126" t="s">
        <v>41</v>
      </c>
      <c r="F486" s="159" t="s">
        <v>201</v>
      </c>
      <c r="G486" s="190" t="s">
        <v>376</v>
      </c>
      <c r="H486" s="179">
        <v>8698774664</v>
      </c>
      <c r="I486" s="129" t="s">
        <v>1979</v>
      </c>
      <c r="J486" s="154" t="s">
        <v>81</v>
      </c>
      <c r="K486" s="126" t="s">
        <v>1980</v>
      </c>
      <c r="L486" s="126" t="s">
        <v>76</v>
      </c>
      <c r="M486" s="126" t="s">
        <v>55</v>
      </c>
      <c r="N486" s="126"/>
      <c r="O486" s="161"/>
      <c r="P486" s="170"/>
      <c r="Q486" s="154"/>
      <c r="R486" s="126"/>
    </row>
    <row r="487" spans="1:20" ht="30.75">
      <c r="A487" s="158">
        <f t="shared" si="7"/>
        <v>486</v>
      </c>
      <c r="B487" s="138">
        <v>46087</v>
      </c>
      <c r="C487" s="159" t="s">
        <v>1981</v>
      </c>
      <c r="D487" s="126" t="s">
        <v>1982</v>
      </c>
      <c r="E487" s="126" t="s">
        <v>41</v>
      </c>
      <c r="F487" s="126" t="s">
        <v>117</v>
      </c>
      <c r="G487" s="129" t="s">
        <v>1983</v>
      </c>
      <c r="H487" s="190"/>
      <c r="I487" s="235" t="s">
        <v>1984</v>
      </c>
      <c r="J487" s="154" t="s">
        <v>34</v>
      </c>
      <c r="K487" s="126" t="s">
        <v>1985</v>
      </c>
      <c r="L487" s="126" t="s">
        <v>36</v>
      </c>
      <c r="M487" s="126" t="s">
        <v>69</v>
      </c>
      <c r="N487" s="126" t="s">
        <v>1986</v>
      </c>
      <c r="O487" s="161">
        <v>46088</v>
      </c>
      <c r="P487" s="175" t="s">
        <v>1987</v>
      </c>
      <c r="Q487" s="154" t="s">
        <v>336</v>
      </c>
      <c r="R487" s="126"/>
    </row>
    <row r="488" spans="1:20" ht="21" customHeight="1">
      <c r="A488" s="158">
        <f t="shared" si="7"/>
        <v>487</v>
      </c>
      <c r="B488" s="138">
        <v>46087</v>
      </c>
      <c r="C488" s="159" t="s">
        <v>1988</v>
      </c>
      <c r="D488" s="126" t="s">
        <v>1989</v>
      </c>
      <c r="E488" s="126" t="s">
        <v>41</v>
      </c>
      <c r="F488" s="126" t="s">
        <v>42</v>
      </c>
      <c r="G488" s="129" t="s">
        <v>1990</v>
      </c>
      <c r="H488" s="190">
        <v>9321723446</v>
      </c>
      <c r="I488" s="132" t="s">
        <v>1991</v>
      </c>
      <c r="J488" s="154" t="s">
        <v>34</v>
      </c>
      <c r="K488" s="182" t="s">
        <v>1992</v>
      </c>
      <c r="L488" s="126" t="s">
        <v>54</v>
      </c>
      <c r="M488" s="126" t="s">
        <v>37</v>
      </c>
      <c r="N488" s="126" t="s">
        <v>1993</v>
      </c>
      <c r="O488" s="161">
        <v>46087</v>
      </c>
      <c r="P488" s="170">
        <v>5675</v>
      </c>
      <c r="Q488" s="154" t="s">
        <v>336</v>
      </c>
      <c r="R488" s="126"/>
    </row>
    <row r="489" spans="1:20" ht="18" customHeight="1">
      <c r="A489" s="158">
        <f t="shared" si="7"/>
        <v>488</v>
      </c>
      <c r="B489" s="138">
        <v>46087</v>
      </c>
      <c r="C489" s="159" t="s">
        <v>1994</v>
      </c>
      <c r="D489" s="126" t="s">
        <v>1995</v>
      </c>
      <c r="E489" s="126" t="s">
        <v>41</v>
      </c>
      <c r="F489" s="126" t="s">
        <v>42</v>
      </c>
      <c r="G489" s="129" t="s">
        <v>1996</v>
      </c>
      <c r="H489" s="190">
        <v>7042817546</v>
      </c>
      <c r="I489" s="178" t="s">
        <v>1997</v>
      </c>
      <c r="J489" s="64" t="s">
        <v>74</v>
      </c>
      <c r="K489" s="126" t="s">
        <v>1998</v>
      </c>
      <c r="L489" s="126" t="s">
        <v>54</v>
      </c>
      <c r="M489" s="126" t="s">
        <v>77</v>
      </c>
      <c r="N489" s="126" t="s">
        <v>1999</v>
      </c>
      <c r="O489" s="161">
        <v>46087</v>
      </c>
      <c r="P489" s="170">
        <v>8750</v>
      </c>
      <c r="Q489" s="154" t="s">
        <v>78</v>
      </c>
      <c r="R489" s="126"/>
    </row>
    <row r="490" spans="1:20">
      <c r="A490" s="158">
        <f t="shared" si="7"/>
        <v>489</v>
      </c>
      <c r="B490" s="138">
        <v>46088</v>
      </c>
      <c r="C490" s="159" t="s">
        <v>2000</v>
      </c>
      <c r="D490" s="126"/>
      <c r="E490" s="159" t="s">
        <v>1764</v>
      </c>
      <c r="F490" s="126" t="s">
        <v>71</v>
      </c>
      <c r="G490" s="126" t="s">
        <v>72</v>
      </c>
      <c r="H490" s="64">
        <v>9810070136</v>
      </c>
      <c r="I490" s="126"/>
      <c r="J490" s="154" t="s">
        <v>81</v>
      </c>
      <c r="K490" s="126" t="s">
        <v>2001</v>
      </c>
      <c r="L490" s="126" t="s">
        <v>101</v>
      </c>
      <c r="M490" s="126" t="s">
        <v>77</v>
      </c>
      <c r="N490" s="126"/>
      <c r="O490" s="161"/>
      <c r="P490" s="170"/>
      <c r="Q490" s="154"/>
      <c r="R490" s="126"/>
    </row>
    <row r="491" spans="1:20">
      <c r="A491" s="158">
        <f t="shared" si="7"/>
        <v>490</v>
      </c>
      <c r="B491" s="138">
        <v>46088</v>
      </c>
      <c r="C491" s="159" t="s">
        <v>2002</v>
      </c>
      <c r="D491" s="126" t="s">
        <v>1642</v>
      </c>
      <c r="E491" s="126" t="s">
        <v>206</v>
      </c>
      <c r="F491" s="126" t="s">
        <v>80</v>
      </c>
      <c r="G491" s="126" t="s">
        <v>2003</v>
      </c>
      <c r="H491" s="64">
        <v>9716909416</v>
      </c>
      <c r="I491" s="129" t="s">
        <v>2004</v>
      </c>
      <c r="J491" s="154" t="s">
        <v>81</v>
      </c>
      <c r="K491" s="129" t="s">
        <v>2005</v>
      </c>
      <c r="L491" s="126" t="s">
        <v>76</v>
      </c>
      <c r="M491" s="126" t="s">
        <v>69</v>
      </c>
      <c r="N491" s="126"/>
      <c r="O491" s="161"/>
      <c r="P491" s="170"/>
      <c r="Q491" s="154"/>
      <c r="R491" s="126"/>
    </row>
    <row r="492" spans="1:20">
      <c r="A492" s="158">
        <f t="shared" si="7"/>
        <v>491</v>
      </c>
      <c r="B492" s="138">
        <v>46088</v>
      </c>
      <c r="C492" s="159" t="s">
        <v>2006</v>
      </c>
      <c r="D492" s="126" t="s">
        <v>2007</v>
      </c>
      <c r="E492" s="126" t="s">
        <v>41</v>
      </c>
      <c r="F492" s="159" t="s">
        <v>71</v>
      </c>
      <c r="G492" s="129" t="s">
        <v>1268</v>
      </c>
      <c r="H492" s="129">
        <v>8485098958</v>
      </c>
      <c r="I492" s="178" t="s">
        <v>2008</v>
      </c>
      <c r="J492" s="154" t="s">
        <v>99</v>
      </c>
      <c r="K492" t="s">
        <v>2009</v>
      </c>
      <c r="L492" s="126" t="s">
        <v>76</v>
      </c>
      <c r="M492" s="126" t="s">
        <v>77</v>
      </c>
      <c r="N492" s="126" t="s">
        <v>2010</v>
      </c>
      <c r="O492" s="161">
        <v>46092</v>
      </c>
      <c r="P492" s="170">
        <v>454857</v>
      </c>
      <c r="Q492" s="154" t="s">
        <v>145</v>
      </c>
      <c r="R492" s="126"/>
    </row>
    <row r="493" spans="1:20">
      <c r="A493" s="158">
        <f t="shared" si="7"/>
        <v>492</v>
      </c>
      <c r="B493" s="138">
        <v>46088</v>
      </c>
      <c r="C493" s="159"/>
      <c r="D493" s="126" t="s">
        <v>2011</v>
      </c>
      <c r="E493" s="126" t="s">
        <v>58</v>
      </c>
      <c r="F493" s="126" t="s">
        <v>32</v>
      </c>
      <c r="G493" s="129" t="s">
        <v>2012</v>
      </c>
      <c r="H493" s="64">
        <v>9644418067</v>
      </c>
      <c r="I493" s="126"/>
      <c r="J493" s="64" t="s">
        <v>81</v>
      </c>
      <c r="K493" s="126" t="s">
        <v>2013</v>
      </c>
      <c r="L493" s="126" t="s">
        <v>76</v>
      </c>
      <c r="M493" s="126" t="s">
        <v>55</v>
      </c>
      <c r="N493" s="126"/>
      <c r="O493" s="161"/>
      <c r="P493" s="170"/>
      <c r="Q493" s="154"/>
      <c r="R493" s="126"/>
    </row>
    <row r="494" spans="1:20">
      <c r="A494" s="158">
        <f t="shared" si="7"/>
        <v>493</v>
      </c>
      <c r="B494" s="138">
        <v>46088</v>
      </c>
      <c r="C494" s="159" t="s">
        <v>2014</v>
      </c>
      <c r="D494" s="163" t="s">
        <v>2015</v>
      </c>
      <c r="E494" s="126" t="s">
        <v>41</v>
      </c>
      <c r="F494" s="126" t="s">
        <v>71</v>
      </c>
      <c r="G494" s="126" t="s">
        <v>2016</v>
      </c>
      <c r="H494" s="64">
        <v>9922066259</v>
      </c>
      <c r="I494" s="126" t="s">
        <v>2017</v>
      </c>
      <c r="J494" s="64" t="s">
        <v>86</v>
      </c>
      <c r="K494" s="126" t="s">
        <v>2018</v>
      </c>
      <c r="L494" s="126" t="s">
        <v>76</v>
      </c>
      <c r="M494" s="163" t="s">
        <v>77</v>
      </c>
      <c r="N494" s="163"/>
      <c r="O494" s="161"/>
      <c r="P494" s="170"/>
      <c r="Q494" s="154"/>
      <c r="R494" s="163"/>
    </row>
    <row r="495" spans="1:20">
      <c r="A495" s="158">
        <f t="shared" si="7"/>
        <v>494</v>
      </c>
      <c r="B495" s="138">
        <v>46088</v>
      </c>
      <c r="C495" s="158"/>
      <c r="D495" s="158" t="s">
        <v>2019</v>
      </c>
      <c r="E495" s="158" t="s">
        <v>308</v>
      </c>
      <c r="F495" s="158" t="s">
        <v>32</v>
      </c>
      <c r="G495" s="158" t="s">
        <v>572</v>
      </c>
      <c r="H495" s="158">
        <v>9358603727</v>
      </c>
      <c r="I495" s="158"/>
      <c r="J495" s="271" t="s">
        <v>1420</v>
      </c>
      <c r="K495" s="126" t="s">
        <v>2020</v>
      </c>
      <c r="L495" s="192" t="s">
        <v>76</v>
      </c>
      <c r="M495" s="192" t="s">
        <v>69</v>
      </c>
      <c r="N495" s="158"/>
      <c r="O495" s="158"/>
      <c r="P495" s="158"/>
      <c r="Q495" s="158"/>
      <c r="R495" s="158"/>
      <c r="S495" s="76"/>
      <c r="T495" s="76"/>
    </row>
    <row r="496" spans="1:20">
      <c r="A496" s="158">
        <f t="shared" si="7"/>
        <v>495</v>
      </c>
      <c r="B496" s="138">
        <v>46088</v>
      </c>
      <c r="C496" s="159" t="s">
        <v>2021</v>
      </c>
      <c r="D496" s="126" t="s">
        <v>2022</v>
      </c>
      <c r="E496" s="126" t="s">
        <v>41</v>
      </c>
      <c r="F496" s="126" t="s">
        <v>80</v>
      </c>
      <c r="G496" s="129" t="s">
        <v>300</v>
      </c>
      <c r="H496" s="64">
        <v>9372791367</v>
      </c>
      <c r="I496" s="126" t="s">
        <v>2023</v>
      </c>
      <c r="J496" s="64" t="s">
        <v>272</v>
      </c>
      <c r="K496" s="126" t="s">
        <v>2024</v>
      </c>
      <c r="L496" s="126" t="s">
        <v>76</v>
      </c>
      <c r="M496" s="126" t="s">
        <v>69</v>
      </c>
      <c r="N496" s="126"/>
      <c r="O496" s="161"/>
      <c r="P496" s="170"/>
      <c r="Q496" s="154"/>
      <c r="R496" s="126"/>
    </row>
    <row r="497" spans="1:20">
      <c r="A497" s="158">
        <f t="shared" si="7"/>
        <v>496</v>
      </c>
      <c r="B497" s="138">
        <v>46088</v>
      </c>
      <c r="C497" s="159" t="s">
        <v>2025</v>
      </c>
      <c r="D497" s="126" t="s">
        <v>2026</v>
      </c>
      <c r="E497" s="126"/>
      <c r="F497" s="126" t="s">
        <v>32</v>
      </c>
      <c r="G497" s="129" t="s">
        <v>1491</v>
      </c>
      <c r="H497" s="64">
        <v>7709602174</v>
      </c>
      <c r="I497" s="126" t="s">
        <v>2027</v>
      </c>
      <c r="J497" s="64" t="s">
        <v>272</v>
      </c>
      <c r="K497" s="126" t="s">
        <v>2028</v>
      </c>
      <c r="L497" s="126" t="s">
        <v>76</v>
      </c>
      <c r="M497" s="126" t="s">
        <v>55</v>
      </c>
      <c r="N497" s="126"/>
      <c r="O497" s="161"/>
      <c r="P497" s="170"/>
      <c r="Q497" s="154"/>
      <c r="R497" s="126"/>
      <c r="T497" s="76"/>
    </row>
    <row r="498" spans="1:20">
      <c r="A498" s="158">
        <f t="shared" si="7"/>
        <v>497</v>
      </c>
      <c r="B498" s="138">
        <v>46088</v>
      </c>
      <c r="C498" s="159" t="s">
        <v>2029</v>
      </c>
      <c r="D498" s="126" t="s">
        <v>1289</v>
      </c>
      <c r="E498" s="126" t="s">
        <v>131</v>
      </c>
      <c r="F498" s="126" t="s">
        <v>71</v>
      </c>
      <c r="G498" s="129" t="s">
        <v>1268</v>
      </c>
      <c r="H498" s="64">
        <v>7825885858</v>
      </c>
      <c r="I498" s="128"/>
      <c r="J498" s="154" t="s">
        <v>81</v>
      </c>
      <c r="K498" t="s">
        <v>2029</v>
      </c>
      <c r="L498" s="126" t="s">
        <v>101</v>
      </c>
      <c r="M498" s="126" t="s">
        <v>77</v>
      </c>
      <c r="N498" s="126"/>
      <c r="O498" s="161"/>
      <c r="P498" s="170"/>
      <c r="Q498" s="154"/>
      <c r="R498" s="126"/>
      <c r="T498" s="113"/>
    </row>
    <row r="499" spans="1:20">
      <c r="A499" s="158">
        <f t="shared" si="7"/>
        <v>498</v>
      </c>
      <c r="B499" s="138">
        <v>46088</v>
      </c>
      <c r="C499" s="159"/>
      <c r="D499" s="126" t="s">
        <v>1289</v>
      </c>
      <c r="E499" s="126" t="s">
        <v>131</v>
      </c>
      <c r="F499" s="126" t="s">
        <v>80</v>
      </c>
      <c r="G499" s="129" t="s">
        <v>2030</v>
      </c>
      <c r="H499" s="64">
        <v>8807519162</v>
      </c>
      <c r="I499" s="126"/>
      <c r="J499" s="159" t="s">
        <v>248</v>
      </c>
      <c r="K499" t="s">
        <v>2031</v>
      </c>
      <c r="L499" s="126" t="s">
        <v>101</v>
      </c>
      <c r="M499" s="126" t="s">
        <v>69</v>
      </c>
      <c r="N499" s="126"/>
      <c r="O499" s="161"/>
      <c r="P499" s="170"/>
      <c r="Q499" s="154"/>
      <c r="R499" s="126"/>
      <c r="T499" s="113"/>
    </row>
    <row r="500" spans="1:20">
      <c r="A500" s="126">
        <f>ROW()-1</f>
        <v>499</v>
      </c>
      <c r="B500" s="138">
        <v>46088</v>
      </c>
      <c r="C500" s="126" t="s">
        <v>2032</v>
      </c>
      <c r="D500" s="126"/>
      <c r="E500" s="126"/>
      <c r="F500" s="126" t="s">
        <v>80</v>
      </c>
      <c r="G500" s="126" t="s">
        <v>2033</v>
      </c>
      <c r="H500" s="64">
        <v>9422158445</v>
      </c>
      <c r="I500" s="126"/>
      <c r="J500" s="64" t="s">
        <v>81</v>
      </c>
      <c r="K500" s="126" t="s">
        <v>2032</v>
      </c>
      <c r="L500" s="126" t="s">
        <v>101</v>
      </c>
      <c r="M500" s="126" t="s">
        <v>55</v>
      </c>
      <c r="N500" s="126"/>
      <c r="O500" s="126"/>
      <c r="P500" s="126"/>
      <c r="Q500" s="126"/>
      <c r="R500" s="126"/>
      <c r="S500" s="10"/>
      <c r="T500" s="10"/>
    </row>
    <row r="501" spans="1:20">
      <c r="A501" s="158">
        <f t="shared" si="7"/>
        <v>500</v>
      </c>
      <c r="B501" s="138">
        <v>46088</v>
      </c>
      <c r="C501" s="159" t="s">
        <v>2034</v>
      </c>
      <c r="D501" s="126"/>
      <c r="E501" s="126"/>
      <c r="F501" s="126" t="s">
        <v>71</v>
      </c>
      <c r="G501" s="126" t="s">
        <v>112</v>
      </c>
      <c r="H501" s="64">
        <v>9164169320</v>
      </c>
      <c r="I501" s="128"/>
      <c r="J501" s="154" t="s">
        <v>248</v>
      </c>
      <c r="L501" s="126" t="s">
        <v>101</v>
      </c>
      <c r="M501" s="126" t="s">
        <v>77</v>
      </c>
      <c r="N501" s="126"/>
      <c r="O501" s="161"/>
      <c r="P501" s="170"/>
      <c r="Q501" s="154"/>
      <c r="R501" s="126"/>
      <c r="T501" s="113"/>
    </row>
    <row r="502" spans="1:20">
      <c r="A502" s="158">
        <f t="shared" si="7"/>
        <v>501</v>
      </c>
      <c r="B502" s="138">
        <v>46088</v>
      </c>
      <c r="C502" s="159" t="s">
        <v>1879</v>
      </c>
      <c r="D502" s="126" t="s">
        <v>2035</v>
      </c>
      <c r="E502" s="126" t="s">
        <v>41</v>
      </c>
      <c r="F502" s="126" t="s">
        <v>71</v>
      </c>
      <c r="G502" s="126" t="s">
        <v>2016</v>
      </c>
      <c r="H502" s="64">
        <v>7722050915</v>
      </c>
      <c r="I502" s="182" t="s">
        <v>1882</v>
      </c>
      <c r="J502" s="64" t="s">
        <v>74</v>
      </c>
      <c r="K502" s="193" t="s">
        <v>1883</v>
      </c>
      <c r="L502" s="126" t="s">
        <v>54</v>
      </c>
      <c r="M502" s="126" t="s">
        <v>77</v>
      </c>
      <c r="N502" s="126" t="s">
        <v>2036</v>
      </c>
      <c r="O502" s="161">
        <v>46088</v>
      </c>
      <c r="P502" s="170" t="s">
        <v>2037</v>
      </c>
      <c r="Q502" s="154" t="s">
        <v>78</v>
      </c>
      <c r="R502" s="126"/>
    </row>
    <row r="503" spans="1:20">
      <c r="A503" s="158">
        <f t="shared" si="7"/>
        <v>502</v>
      </c>
      <c r="B503" s="138">
        <v>46089</v>
      </c>
      <c r="C503" s="159" t="s">
        <v>2038</v>
      </c>
      <c r="D503" s="126" t="s">
        <v>600</v>
      </c>
      <c r="E503" s="126" t="s">
        <v>41</v>
      </c>
      <c r="F503" s="126" t="s">
        <v>71</v>
      </c>
      <c r="G503" s="126" t="s">
        <v>1925</v>
      </c>
      <c r="H503" s="129"/>
      <c r="I503" s="165" t="s">
        <v>2039</v>
      </c>
      <c r="J503" s="154" t="s">
        <v>34</v>
      </c>
      <c r="L503" s="126" t="s">
        <v>76</v>
      </c>
      <c r="M503" s="126" t="s">
        <v>69</v>
      </c>
      <c r="N503" s="126" t="s">
        <v>2040</v>
      </c>
      <c r="O503" s="161">
        <v>46089</v>
      </c>
      <c r="P503" s="170" t="s">
        <v>2041</v>
      </c>
      <c r="Q503" s="154" t="s">
        <v>336</v>
      </c>
      <c r="R503" s="126"/>
    </row>
    <row r="504" spans="1:20">
      <c r="A504" s="158">
        <f t="shared" si="7"/>
        <v>503</v>
      </c>
      <c r="B504" s="138">
        <v>46089</v>
      </c>
      <c r="C504" s="159" t="s">
        <v>1360</v>
      </c>
      <c r="D504" s="126" t="s">
        <v>1361</v>
      </c>
      <c r="E504" s="126" t="s">
        <v>65</v>
      </c>
      <c r="F504" s="126" t="s">
        <v>71</v>
      </c>
      <c r="G504" s="129" t="s">
        <v>2042</v>
      </c>
      <c r="H504" s="129"/>
      <c r="I504" s="160" t="s">
        <v>1363</v>
      </c>
      <c r="J504" s="154" t="s">
        <v>74</v>
      </c>
      <c r="L504" s="126" t="s">
        <v>36</v>
      </c>
      <c r="M504" s="126" t="s">
        <v>77</v>
      </c>
      <c r="N504" s="126" t="s">
        <v>2043</v>
      </c>
      <c r="O504" s="161">
        <v>46089</v>
      </c>
      <c r="P504" s="170">
        <v>726000</v>
      </c>
      <c r="Q504" s="154" t="s">
        <v>78</v>
      </c>
      <c r="R504" s="126"/>
    </row>
    <row r="505" spans="1:20">
      <c r="A505" s="158">
        <f t="shared" si="7"/>
        <v>504</v>
      </c>
      <c r="B505" s="138">
        <v>46089</v>
      </c>
      <c r="C505" s="159" t="s">
        <v>2044</v>
      </c>
      <c r="D505" s="126" t="s">
        <v>2045</v>
      </c>
      <c r="E505" s="126" t="s">
        <v>41</v>
      </c>
      <c r="F505" s="126" t="s">
        <v>42</v>
      </c>
      <c r="G505" s="129" t="s">
        <v>2046</v>
      </c>
      <c r="H505" s="129"/>
      <c r="I505" s="267" t="s">
        <v>1783</v>
      </c>
      <c r="J505" s="154" t="s">
        <v>34</v>
      </c>
      <c r="K505" s="193" t="s">
        <v>1784</v>
      </c>
      <c r="L505" s="126" t="s">
        <v>36</v>
      </c>
      <c r="M505" s="126" t="s">
        <v>37</v>
      </c>
      <c r="N505" s="126" t="s">
        <v>2047</v>
      </c>
      <c r="O505" s="161">
        <v>46089</v>
      </c>
      <c r="P505" s="170" t="s">
        <v>2048</v>
      </c>
      <c r="Q505" s="154" t="s">
        <v>38</v>
      </c>
      <c r="R505" s="126"/>
    </row>
    <row r="506" spans="1:20">
      <c r="A506" s="158">
        <f t="shared" si="7"/>
        <v>505</v>
      </c>
      <c r="B506" s="138">
        <v>46089</v>
      </c>
      <c r="C506" s="159" t="s">
        <v>2049</v>
      </c>
      <c r="D506" s="126" t="s">
        <v>460</v>
      </c>
      <c r="E506" s="126" t="s">
        <v>41</v>
      </c>
      <c r="F506" s="126" t="s">
        <v>117</v>
      </c>
      <c r="G506" s="129" t="s">
        <v>2050</v>
      </c>
      <c r="H506" s="129"/>
      <c r="I506" s="160" t="s">
        <v>2051</v>
      </c>
      <c r="J506" s="154" t="s">
        <v>34</v>
      </c>
      <c r="K506" t="s">
        <v>2052</v>
      </c>
      <c r="L506" s="126" t="s">
        <v>36</v>
      </c>
      <c r="M506" s="126" t="s">
        <v>37</v>
      </c>
      <c r="N506" s="126" t="s">
        <v>2053</v>
      </c>
      <c r="O506" s="161">
        <v>46089</v>
      </c>
      <c r="P506" s="170" t="s">
        <v>2054</v>
      </c>
      <c r="Q506" s="154" t="s">
        <v>38</v>
      </c>
      <c r="R506" s="126"/>
    </row>
    <row r="507" spans="1:20">
      <c r="A507" s="158">
        <f t="shared" si="7"/>
        <v>506</v>
      </c>
      <c r="B507" s="138">
        <v>46089</v>
      </c>
      <c r="C507" s="159" t="s">
        <v>2055</v>
      </c>
      <c r="D507" s="126" t="s">
        <v>2056</v>
      </c>
      <c r="E507" s="126" t="s">
        <v>41</v>
      </c>
      <c r="F507" s="126" t="s">
        <v>71</v>
      </c>
      <c r="G507" s="129" t="s">
        <v>2057</v>
      </c>
      <c r="H507" s="129"/>
      <c r="I507" s="267" t="s">
        <v>2058</v>
      </c>
      <c r="J507" s="154" t="s">
        <v>34</v>
      </c>
      <c r="K507" t="s">
        <v>2059</v>
      </c>
      <c r="L507" s="126" t="s">
        <v>36</v>
      </c>
      <c r="M507" s="126" t="s">
        <v>37</v>
      </c>
      <c r="N507" s="126" t="s">
        <v>2060</v>
      </c>
      <c r="O507" s="161">
        <v>46089</v>
      </c>
      <c r="P507" s="170" t="s">
        <v>2061</v>
      </c>
      <c r="Q507" s="154" t="s">
        <v>336</v>
      </c>
      <c r="R507" s="126"/>
    </row>
    <row r="508" spans="1:20">
      <c r="A508" s="158">
        <f t="shared" si="7"/>
        <v>507</v>
      </c>
      <c r="B508" s="138">
        <v>46089</v>
      </c>
      <c r="C508" s="159"/>
      <c r="D508" s="126" t="s">
        <v>1289</v>
      </c>
      <c r="E508" s="126" t="s">
        <v>131</v>
      </c>
      <c r="F508" s="126" t="s">
        <v>71</v>
      </c>
      <c r="G508" s="129" t="s">
        <v>2062</v>
      </c>
      <c r="H508" s="64">
        <v>8925899388</v>
      </c>
      <c r="I508" s="160"/>
      <c r="J508" s="154" t="s">
        <v>86</v>
      </c>
      <c r="K508" s="129" t="s">
        <v>2063</v>
      </c>
      <c r="L508" s="126" t="s">
        <v>76</v>
      </c>
      <c r="M508" s="126" t="s">
        <v>77</v>
      </c>
      <c r="N508" s="126"/>
      <c r="O508" s="161"/>
      <c r="P508" s="170"/>
      <c r="Q508" s="154"/>
      <c r="R508" s="126"/>
    </row>
    <row r="509" spans="1:20">
      <c r="A509" s="158">
        <f t="shared" si="7"/>
        <v>508</v>
      </c>
      <c r="B509" s="138">
        <v>46089</v>
      </c>
      <c r="C509" s="159" t="s">
        <v>2064</v>
      </c>
      <c r="D509" s="126" t="s">
        <v>2065</v>
      </c>
      <c r="E509" s="126" t="s">
        <v>131</v>
      </c>
      <c r="F509" s="126" t="s">
        <v>71</v>
      </c>
      <c r="G509" s="129" t="s">
        <v>2062</v>
      </c>
      <c r="H509" s="64">
        <v>9176501640</v>
      </c>
      <c r="I509" s="126" t="s">
        <v>2066</v>
      </c>
      <c r="J509" s="154" t="s">
        <v>86</v>
      </c>
      <c r="K509" s="129" t="s">
        <v>2067</v>
      </c>
      <c r="L509" s="126" t="s">
        <v>76</v>
      </c>
      <c r="M509" s="126" t="s">
        <v>77</v>
      </c>
      <c r="N509" s="126"/>
      <c r="O509" s="161"/>
      <c r="P509" s="170"/>
      <c r="Q509" s="154"/>
      <c r="R509" s="126"/>
    </row>
    <row r="510" spans="1:20">
      <c r="A510" s="158">
        <f t="shared" si="7"/>
        <v>509</v>
      </c>
      <c r="B510" s="138">
        <v>46089</v>
      </c>
      <c r="C510" s="159" t="s">
        <v>2068</v>
      </c>
      <c r="D510" s="126" t="s">
        <v>2069</v>
      </c>
      <c r="E510" s="126" t="s">
        <v>165</v>
      </c>
      <c r="F510" s="126" t="s">
        <v>32</v>
      </c>
      <c r="G510" s="129" t="s">
        <v>1684</v>
      </c>
      <c r="H510" s="64">
        <v>9012649545</v>
      </c>
      <c r="I510" s="126" t="s">
        <v>2070</v>
      </c>
      <c r="J510" s="154" t="s">
        <v>272</v>
      </c>
      <c r="K510" s="129" t="s">
        <v>2071</v>
      </c>
      <c r="L510" s="126" t="s">
        <v>76</v>
      </c>
      <c r="M510" s="126" t="s">
        <v>55</v>
      </c>
      <c r="N510" s="126"/>
      <c r="O510" s="161"/>
      <c r="P510" s="170"/>
      <c r="Q510" s="154"/>
      <c r="R510" s="126"/>
    </row>
    <row r="511" spans="1:20">
      <c r="A511" s="158">
        <f t="shared" ref="A511:A522" si="8">ROW()-1</f>
        <v>510</v>
      </c>
      <c r="B511" s="138">
        <v>46089</v>
      </c>
      <c r="C511" s="159" t="s">
        <v>2072</v>
      </c>
      <c r="D511" s="126" t="s">
        <v>584</v>
      </c>
      <c r="E511" s="126" t="s">
        <v>41</v>
      </c>
      <c r="F511" s="126" t="s">
        <v>71</v>
      </c>
      <c r="G511" s="129" t="s">
        <v>2073</v>
      </c>
      <c r="H511" s="64">
        <v>9473749978</v>
      </c>
      <c r="I511" s="126" t="s">
        <v>2074</v>
      </c>
      <c r="J511" s="154" t="s">
        <v>81</v>
      </c>
      <c r="K511" s="126" t="s">
        <v>2075</v>
      </c>
      <c r="L511" s="126" t="s">
        <v>76</v>
      </c>
      <c r="M511" s="126" t="s">
        <v>77</v>
      </c>
      <c r="N511" s="126"/>
      <c r="O511" s="161"/>
      <c r="P511" s="170"/>
      <c r="Q511" s="154"/>
      <c r="R511" s="126"/>
    </row>
    <row r="512" spans="1:20">
      <c r="A512" s="158">
        <f t="shared" si="8"/>
        <v>511</v>
      </c>
      <c r="B512" s="138">
        <v>46089</v>
      </c>
      <c r="C512" s="159"/>
      <c r="D512" s="126" t="s">
        <v>909</v>
      </c>
      <c r="E512" s="126" t="s">
        <v>65</v>
      </c>
      <c r="F512" s="126" t="s">
        <v>80</v>
      </c>
      <c r="G512" s="129" t="s">
        <v>2076</v>
      </c>
      <c r="H512" s="64">
        <v>7331185781</v>
      </c>
      <c r="I512" s="64" t="s">
        <v>2077</v>
      </c>
      <c r="J512" s="208" t="s">
        <v>272</v>
      </c>
      <c r="K512" s="129" t="s">
        <v>2078</v>
      </c>
      <c r="L512" s="126" t="s">
        <v>76</v>
      </c>
      <c r="M512" s="126" t="s">
        <v>69</v>
      </c>
      <c r="N512" s="126"/>
      <c r="O512" s="161"/>
      <c r="P512" s="170"/>
      <c r="Q512" s="154"/>
      <c r="R512" s="126"/>
    </row>
    <row r="513" spans="1:20">
      <c r="A513" s="158">
        <f t="shared" si="8"/>
        <v>512</v>
      </c>
      <c r="B513" s="138">
        <v>46089</v>
      </c>
      <c r="C513" s="159" t="s">
        <v>2079</v>
      </c>
      <c r="D513" s="126" t="s">
        <v>2080</v>
      </c>
      <c r="E513" s="126" t="s">
        <v>41</v>
      </c>
      <c r="F513" s="126" t="s">
        <v>71</v>
      </c>
      <c r="G513" s="129" t="s">
        <v>2081</v>
      </c>
      <c r="H513" s="64">
        <v>7410118046</v>
      </c>
      <c r="I513" s="64" t="s">
        <v>2082</v>
      </c>
      <c r="J513" s="154" t="s">
        <v>99</v>
      </c>
      <c r="K513" s="129" t="s">
        <v>2083</v>
      </c>
      <c r="L513" s="126" t="s">
        <v>76</v>
      </c>
      <c r="M513" s="126" t="s">
        <v>77</v>
      </c>
      <c r="N513" s="126"/>
      <c r="O513" s="161"/>
      <c r="P513" s="170"/>
      <c r="Q513" s="154"/>
      <c r="R513" s="126"/>
    </row>
    <row r="514" spans="1:20">
      <c r="A514" s="158">
        <f t="shared" si="8"/>
        <v>513</v>
      </c>
      <c r="B514" s="138">
        <v>46090</v>
      </c>
      <c r="C514" s="159" t="s">
        <v>2084</v>
      </c>
      <c r="D514" s="126" t="s">
        <v>2085</v>
      </c>
      <c r="E514" s="126" t="s">
        <v>41</v>
      </c>
      <c r="F514" s="126" t="s">
        <v>80</v>
      </c>
      <c r="G514" s="129" t="s">
        <v>2076</v>
      </c>
      <c r="H514" s="129">
        <v>9271641324</v>
      </c>
      <c r="I514" s="160" t="s">
        <v>2086</v>
      </c>
      <c r="J514" s="154" t="s">
        <v>74</v>
      </c>
      <c r="K514" s="129" t="s">
        <v>2087</v>
      </c>
      <c r="L514" s="126" t="s">
        <v>76</v>
      </c>
      <c r="M514" s="126" t="s">
        <v>69</v>
      </c>
      <c r="N514" s="126" t="s">
        <v>2088</v>
      </c>
      <c r="O514" s="161">
        <v>46090</v>
      </c>
      <c r="P514" s="170">
        <v>270000</v>
      </c>
      <c r="Q514" s="154" t="s">
        <v>78</v>
      </c>
      <c r="R514" s="126"/>
    </row>
    <row r="515" spans="1:20" ht="30">
      <c r="A515" s="158">
        <f t="shared" si="8"/>
        <v>514</v>
      </c>
      <c r="B515" s="138">
        <v>46090</v>
      </c>
      <c r="C515" s="159" t="s">
        <v>2089</v>
      </c>
      <c r="D515" s="126" t="s">
        <v>2090</v>
      </c>
      <c r="E515" s="126"/>
      <c r="F515" s="126" t="s">
        <v>71</v>
      </c>
      <c r="G515" s="129" t="s">
        <v>2091</v>
      </c>
      <c r="H515" s="64">
        <v>9868959501</v>
      </c>
      <c r="I515" s="128" t="s">
        <v>2092</v>
      </c>
      <c r="J515" s="154" t="s">
        <v>248</v>
      </c>
      <c r="K515" s="129" t="s">
        <v>2093</v>
      </c>
      <c r="L515" s="126" t="s">
        <v>76</v>
      </c>
      <c r="M515" s="126" t="s">
        <v>77</v>
      </c>
      <c r="N515" s="126"/>
      <c r="O515" s="161"/>
      <c r="P515" s="170"/>
      <c r="Q515" s="154"/>
      <c r="R515" s="126"/>
    </row>
    <row r="516" spans="1:20" ht="30">
      <c r="A516" s="158">
        <f t="shared" si="8"/>
        <v>515</v>
      </c>
      <c r="B516" s="138">
        <v>46090</v>
      </c>
      <c r="C516" s="159" t="s">
        <v>2094</v>
      </c>
      <c r="D516" s="126" t="s">
        <v>710</v>
      </c>
      <c r="E516" s="126" t="s">
        <v>711</v>
      </c>
      <c r="F516" s="126" t="s">
        <v>201</v>
      </c>
      <c r="G516" s="129" t="s">
        <v>376</v>
      </c>
      <c r="H516" s="64">
        <v>9008461772</v>
      </c>
      <c r="I516" s="128" t="s">
        <v>2095</v>
      </c>
      <c r="J516" s="154" t="s">
        <v>81</v>
      </c>
      <c r="K516" s="126" t="s">
        <v>424</v>
      </c>
      <c r="L516" s="126" t="s">
        <v>76</v>
      </c>
      <c r="M516" s="126" t="s">
        <v>55</v>
      </c>
      <c r="N516" s="126"/>
      <c r="O516" s="161"/>
      <c r="P516" s="131"/>
      <c r="Q516" s="154"/>
      <c r="R516" s="126"/>
      <c r="S516" s="10"/>
      <c r="T516" s="10"/>
    </row>
    <row r="517" spans="1:20">
      <c r="A517" s="158">
        <f>ROW()-1</f>
        <v>516</v>
      </c>
      <c r="B517" s="138">
        <v>46090</v>
      </c>
      <c r="C517" s="159" t="s">
        <v>1336</v>
      </c>
      <c r="D517" s="126" t="s">
        <v>1337</v>
      </c>
      <c r="E517" s="126" t="s">
        <v>41</v>
      </c>
      <c r="F517" s="126" t="s">
        <v>71</v>
      </c>
      <c r="G517" s="129" t="s">
        <v>2096</v>
      </c>
      <c r="H517" s="129"/>
      <c r="I517" s="169" t="s">
        <v>2097</v>
      </c>
      <c r="J517" s="154" t="s">
        <v>34</v>
      </c>
      <c r="K517" s="126" t="s">
        <v>598</v>
      </c>
      <c r="L517" s="126" t="s">
        <v>54</v>
      </c>
      <c r="M517" s="126" t="s">
        <v>77</v>
      </c>
      <c r="N517" s="126" t="s">
        <v>2098</v>
      </c>
      <c r="O517" s="161">
        <v>46090</v>
      </c>
      <c r="P517" s="170" t="s">
        <v>2099</v>
      </c>
      <c r="Q517" s="154" t="s">
        <v>38</v>
      </c>
      <c r="R517" s="126"/>
      <c r="S517" s="10"/>
      <c r="T517" s="10"/>
    </row>
    <row r="518" spans="1:20">
      <c r="A518" s="158">
        <f>ROW()-1</f>
        <v>517</v>
      </c>
      <c r="B518" s="138">
        <v>46090</v>
      </c>
      <c r="C518" s="159" t="s">
        <v>2100</v>
      </c>
      <c r="D518" s="126" t="s">
        <v>2101</v>
      </c>
      <c r="E518" s="126"/>
      <c r="F518" s="126"/>
      <c r="G518" s="129" t="s">
        <v>2102</v>
      </c>
      <c r="H518" s="129">
        <v>9922935474</v>
      </c>
      <c r="I518" s="178" t="s">
        <v>2103</v>
      </c>
      <c r="J518" s="154" t="s">
        <v>34</v>
      </c>
      <c r="K518" s="126" t="s">
        <v>2104</v>
      </c>
      <c r="L518" s="126" t="s">
        <v>54</v>
      </c>
      <c r="M518" s="126" t="s">
        <v>77</v>
      </c>
      <c r="N518" s="126" t="s">
        <v>2105</v>
      </c>
      <c r="O518" s="161">
        <v>46091</v>
      </c>
      <c r="P518" s="170" t="s">
        <v>2106</v>
      </c>
      <c r="Q518" s="154" t="s">
        <v>38</v>
      </c>
      <c r="R518" s="126"/>
      <c r="S518" s="10"/>
      <c r="T518" s="10"/>
    </row>
    <row r="519" spans="1:20" ht="30">
      <c r="A519" s="158">
        <f t="shared" si="8"/>
        <v>518</v>
      </c>
      <c r="B519" s="138">
        <v>46090</v>
      </c>
      <c r="C519" s="159" t="s">
        <v>2107</v>
      </c>
      <c r="D519" s="126" t="s">
        <v>176</v>
      </c>
      <c r="E519" s="126" t="s">
        <v>41</v>
      </c>
      <c r="F519" s="126" t="s">
        <v>71</v>
      </c>
      <c r="G519" s="129" t="s">
        <v>2108</v>
      </c>
      <c r="H519" s="64">
        <v>9619229338</v>
      </c>
      <c r="I519" s="128" t="s">
        <v>2109</v>
      </c>
      <c r="J519" s="154" t="s">
        <v>86</v>
      </c>
      <c r="K519" s="126" t="s">
        <v>2110</v>
      </c>
      <c r="L519" s="126" t="s">
        <v>76</v>
      </c>
      <c r="M519" s="126" t="s">
        <v>77</v>
      </c>
      <c r="N519" s="126"/>
      <c r="O519" s="161"/>
      <c r="P519" s="131"/>
      <c r="Q519" s="154"/>
      <c r="R519" s="126"/>
      <c r="S519" s="10"/>
      <c r="T519" s="10"/>
    </row>
    <row r="520" spans="1:20" ht="19.5" customHeight="1">
      <c r="A520" s="158">
        <f t="shared" si="8"/>
        <v>519</v>
      </c>
      <c r="B520" s="138">
        <v>46090</v>
      </c>
      <c r="C520" s="171" t="s">
        <v>2111</v>
      </c>
      <c r="D520" s="188" t="s">
        <v>2112</v>
      </c>
      <c r="E520" s="188"/>
      <c r="F520" s="188" t="s">
        <v>71</v>
      </c>
      <c r="G520" s="138" t="s">
        <v>788</v>
      </c>
      <c r="H520" s="64">
        <v>9386353893</v>
      </c>
      <c r="I520" s="128" t="s">
        <v>2113</v>
      </c>
      <c r="J520" s="154" t="s">
        <v>272</v>
      </c>
      <c r="K520" s="138" t="s">
        <v>2114</v>
      </c>
      <c r="L520" s="126" t="s">
        <v>76</v>
      </c>
      <c r="M520" s="126" t="s">
        <v>77</v>
      </c>
      <c r="N520" s="138"/>
      <c r="O520" s="161"/>
      <c r="P520" s="189"/>
      <c r="Q520" s="154"/>
      <c r="R520" s="138"/>
      <c r="S520" s="20"/>
      <c r="T520" s="20"/>
    </row>
    <row r="521" spans="1:20">
      <c r="A521" s="154">
        <f t="shared" si="8"/>
        <v>520</v>
      </c>
      <c r="B521" s="138">
        <v>46091</v>
      </c>
      <c r="C521" s="159" t="s">
        <v>2115</v>
      </c>
      <c r="D521" s="159" t="s">
        <v>1289</v>
      </c>
      <c r="E521" s="159" t="s">
        <v>131</v>
      </c>
      <c r="F521" s="159" t="s">
        <v>80</v>
      </c>
      <c r="G521" s="159" t="s">
        <v>260</v>
      </c>
      <c r="H521" s="159">
        <v>9843362231</v>
      </c>
      <c r="I521" s="159" t="s">
        <v>2116</v>
      </c>
      <c r="J521" s="208" t="s">
        <v>86</v>
      </c>
      <c r="K521" s="159" t="s">
        <v>2117</v>
      </c>
      <c r="L521" s="159" t="s">
        <v>76</v>
      </c>
      <c r="M521" s="126" t="s">
        <v>69</v>
      </c>
      <c r="N521" s="159"/>
      <c r="O521" s="159"/>
      <c r="P521" s="159"/>
      <c r="Q521" s="154"/>
      <c r="R521" s="159"/>
      <c r="S521" s="159"/>
      <c r="T521" s="159"/>
    </row>
    <row r="522" spans="1:20">
      <c r="A522" s="154">
        <f t="shared" si="8"/>
        <v>521</v>
      </c>
      <c r="B522" s="138">
        <v>46091</v>
      </c>
      <c r="C522" s="171" t="s">
        <v>2118</v>
      </c>
      <c r="D522" s="171" t="s">
        <v>2119</v>
      </c>
      <c r="E522" s="171" t="s">
        <v>131</v>
      </c>
      <c r="F522" s="171" t="s">
        <v>71</v>
      </c>
      <c r="G522" s="171" t="s">
        <v>72</v>
      </c>
      <c r="H522" s="159">
        <v>7667551112</v>
      </c>
      <c r="I522" s="171" t="s">
        <v>2120</v>
      </c>
      <c r="J522" s="194" t="s">
        <v>86</v>
      </c>
      <c r="K522" s="171" t="s">
        <v>2121</v>
      </c>
      <c r="L522" s="171" t="s">
        <v>76</v>
      </c>
      <c r="M522" s="126" t="s">
        <v>77</v>
      </c>
      <c r="N522" s="171"/>
      <c r="O522" s="171"/>
      <c r="P522" s="171"/>
      <c r="Q522" s="154"/>
      <c r="R522" s="171"/>
      <c r="S522" s="171"/>
      <c r="T522" s="171"/>
    </row>
    <row r="523" spans="1:20">
      <c r="A523" s="158">
        <f>ROW()-1</f>
        <v>522</v>
      </c>
      <c r="B523" s="138">
        <v>46091</v>
      </c>
      <c r="C523" s="159" t="s">
        <v>2122</v>
      </c>
      <c r="D523" s="159" t="s">
        <v>2123</v>
      </c>
      <c r="E523" s="126" t="s">
        <v>41</v>
      </c>
      <c r="F523" s="171" t="s">
        <v>90</v>
      </c>
      <c r="G523" s="171" t="s">
        <v>423</v>
      </c>
      <c r="H523" s="64">
        <v>9359407326</v>
      </c>
      <c r="I523" s="159" t="s">
        <v>2124</v>
      </c>
      <c r="J523" s="194" t="s">
        <v>81</v>
      </c>
      <c r="K523" t="s">
        <v>2125</v>
      </c>
      <c r="L523" s="126" t="s">
        <v>76</v>
      </c>
      <c r="M523" s="126" t="s">
        <v>55</v>
      </c>
      <c r="N523" s="126"/>
      <c r="O523" s="161"/>
      <c r="Q523" s="154"/>
      <c r="R523" s="126"/>
    </row>
    <row r="524" spans="1:20">
      <c r="A524" s="158">
        <f>ROW()-1</f>
        <v>523</v>
      </c>
      <c r="B524" s="138">
        <v>46091</v>
      </c>
      <c r="C524" s="203"/>
      <c r="D524" s="159" t="s">
        <v>1289</v>
      </c>
      <c r="E524" s="126" t="s">
        <v>131</v>
      </c>
      <c r="F524" s="171" t="s">
        <v>32</v>
      </c>
      <c r="G524" s="171" t="s">
        <v>2126</v>
      </c>
      <c r="H524" s="64">
        <v>9342845815</v>
      </c>
      <c r="I524" s="159" t="s">
        <v>2127</v>
      </c>
      <c r="J524" s="194" t="s">
        <v>272</v>
      </c>
      <c r="K524" s="171" t="s">
        <v>2128</v>
      </c>
      <c r="L524" s="126" t="s">
        <v>76</v>
      </c>
      <c r="M524" s="126" t="s">
        <v>69</v>
      </c>
      <c r="N524" s="126"/>
      <c r="O524" s="161"/>
      <c r="Q524" s="154"/>
      <c r="R524" s="126"/>
    </row>
    <row r="525" spans="1:20">
      <c r="A525" s="158">
        <f t="shared" ref="A525:A529" si="9">ROW()-1</f>
        <v>524</v>
      </c>
      <c r="B525" s="138">
        <v>46091</v>
      </c>
      <c r="C525" s="159"/>
      <c r="D525" s="126" t="s">
        <v>2129</v>
      </c>
      <c r="E525" s="126" t="s">
        <v>2130</v>
      </c>
      <c r="F525" s="171" t="s">
        <v>71</v>
      </c>
      <c r="G525" s="171" t="s">
        <v>745</v>
      </c>
      <c r="H525" s="64">
        <v>9446921519</v>
      </c>
      <c r="I525" s="128"/>
      <c r="J525" s="194" t="s">
        <v>81</v>
      </c>
      <c r="K525" s="171" t="s">
        <v>2131</v>
      </c>
      <c r="L525" s="126" t="s">
        <v>76</v>
      </c>
      <c r="M525" s="126" t="s">
        <v>77</v>
      </c>
      <c r="N525" s="126"/>
      <c r="O525" s="161"/>
      <c r="Q525" s="154"/>
      <c r="R525" s="126"/>
    </row>
    <row r="526" spans="1:20">
      <c r="A526" s="158">
        <f t="shared" si="9"/>
        <v>525</v>
      </c>
      <c r="B526" s="138">
        <v>46091</v>
      </c>
      <c r="C526" s="159"/>
      <c r="D526" s="126" t="s">
        <v>232</v>
      </c>
      <c r="E526" s="126"/>
      <c r="F526" s="171" t="s">
        <v>71</v>
      </c>
      <c r="G526" s="171" t="s">
        <v>2132</v>
      </c>
      <c r="H526" s="64">
        <v>7607074553</v>
      </c>
      <c r="I526" s="159" t="s">
        <v>2133</v>
      </c>
      <c r="J526" s="194" t="s">
        <v>81</v>
      </c>
      <c r="K526" t="s">
        <v>2134</v>
      </c>
      <c r="L526" s="126" t="s">
        <v>76</v>
      </c>
      <c r="M526" s="126" t="s">
        <v>77</v>
      </c>
      <c r="N526" s="126"/>
      <c r="O526" s="161"/>
      <c r="Q526" s="154"/>
      <c r="R526" s="126"/>
    </row>
    <row r="527" spans="1:20">
      <c r="A527" s="158">
        <f t="shared" si="9"/>
        <v>526</v>
      </c>
      <c r="B527" s="138">
        <v>46091</v>
      </c>
      <c r="C527" s="159" t="s">
        <v>2135</v>
      </c>
      <c r="D527" s="159" t="s">
        <v>2136</v>
      </c>
      <c r="E527" s="126" t="s">
        <v>41</v>
      </c>
      <c r="F527" s="171" t="s">
        <v>90</v>
      </c>
      <c r="G527" s="171" t="s">
        <v>132</v>
      </c>
      <c r="H527" s="64">
        <v>9067457111</v>
      </c>
      <c r="I527" s="159" t="s">
        <v>2137</v>
      </c>
      <c r="J527" s="194" t="s">
        <v>272</v>
      </c>
      <c r="K527" t="s">
        <v>2138</v>
      </c>
      <c r="L527" s="126" t="s">
        <v>76</v>
      </c>
      <c r="M527" s="126" t="s">
        <v>55</v>
      </c>
      <c r="N527" s="126"/>
      <c r="O527" s="161"/>
      <c r="Q527" s="154"/>
      <c r="R527" s="126"/>
    </row>
    <row r="528" spans="1:20">
      <c r="A528" s="158">
        <f t="shared" si="9"/>
        <v>527</v>
      </c>
      <c r="B528" s="138">
        <v>46091</v>
      </c>
      <c r="C528" s="126" t="s">
        <v>2139</v>
      </c>
      <c r="D528" s="126" t="s">
        <v>2140</v>
      </c>
      <c r="E528" s="126" t="s">
        <v>131</v>
      </c>
      <c r="F528" s="171" t="s">
        <v>1423</v>
      </c>
      <c r="G528" t="s">
        <v>2141</v>
      </c>
      <c r="H528" s="126">
        <v>7305505857</v>
      </c>
      <c r="I528" s="126" t="s">
        <v>2142</v>
      </c>
      <c r="J528" s="171" t="s">
        <v>81</v>
      </c>
      <c r="K528" s="126" t="s">
        <v>2139</v>
      </c>
      <c r="L528" s="126" t="s">
        <v>101</v>
      </c>
      <c r="M528" s="126" t="s">
        <v>69</v>
      </c>
      <c r="N528" s="126"/>
      <c r="O528" s="161"/>
      <c r="Q528" s="154"/>
      <c r="R528" s="126"/>
    </row>
    <row r="529" spans="1:18">
      <c r="A529" s="158">
        <f t="shared" si="9"/>
        <v>528</v>
      </c>
      <c r="B529" s="138">
        <v>46091</v>
      </c>
      <c r="C529" s="126" t="s">
        <v>2143</v>
      </c>
      <c r="D529" s="126" t="s">
        <v>2144</v>
      </c>
      <c r="E529" s="126" t="s">
        <v>65</v>
      </c>
      <c r="F529" s="171" t="s">
        <v>80</v>
      </c>
      <c r="G529" s="129" t="s">
        <v>260</v>
      </c>
      <c r="H529" s="126">
        <v>9443306268</v>
      </c>
      <c r="I529" s="126" t="s">
        <v>2145</v>
      </c>
      <c r="J529" s="214" t="s">
        <v>86</v>
      </c>
      <c r="K529" t="s">
        <v>2146</v>
      </c>
      <c r="L529" s="126" t="s">
        <v>101</v>
      </c>
      <c r="M529" s="126" t="s">
        <v>69</v>
      </c>
      <c r="N529" s="126"/>
      <c r="O529" s="161"/>
      <c r="Q529" s="154"/>
      <c r="R529" s="126"/>
    </row>
    <row r="530" spans="1:18">
      <c r="A530" s="158">
        <f>ROW()-1</f>
        <v>529</v>
      </c>
      <c r="B530" s="138">
        <v>46091</v>
      </c>
      <c r="C530" s="126" t="s">
        <v>2147</v>
      </c>
      <c r="D530" s="126" t="s">
        <v>324</v>
      </c>
      <c r="E530" s="126" t="s">
        <v>41</v>
      </c>
      <c r="F530" s="188" t="s">
        <v>32</v>
      </c>
      <c r="G530" s="129" t="s">
        <v>697</v>
      </c>
      <c r="H530" s="126">
        <v>8796168770</v>
      </c>
      <c r="I530" s="128"/>
      <c r="J530" s="194" t="s">
        <v>272</v>
      </c>
      <c r="L530" s="126" t="s">
        <v>101</v>
      </c>
      <c r="M530" s="126" t="s">
        <v>55</v>
      </c>
      <c r="N530" s="126"/>
      <c r="O530" s="161"/>
      <c r="Q530" s="154"/>
      <c r="R530" s="126"/>
    </row>
    <row r="531" spans="1:18">
      <c r="A531" s="158">
        <f>ROW()-1</f>
        <v>530</v>
      </c>
      <c r="B531" s="138">
        <v>46091</v>
      </c>
      <c r="C531" s="159" t="s">
        <v>2148</v>
      </c>
      <c r="D531" s="126" t="s">
        <v>2149</v>
      </c>
      <c r="E531" s="126" t="s">
        <v>41</v>
      </c>
      <c r="F531" s="188" t="s">
        <v>80</v>
      </c>
      <c r="G531" s="210" t="s">
        <v>2150</v>
      </c>
      <c r="H531" s="129">
        <v>8551070300</v>
      </c>
      <c r="I531" s="268" t="s">
        <v>2151</v>
      </c>
      <c r="J531" s="194" t="s">
        <v>34</v>
      </c>
      <c r="K531" t="s">
        <v>2152</v>
      </c>
      <c r="L531" s="126" t="s">
        <v>54</v>
      </c>
      <c r="M531" s="126" t="s">
        <v>77</v>
      </c>
      <c r="N531" s="126" t="s">
        <v>2153</v>
      </c>
      <c r="O531" s="161">
        <v>46091</v>
      </c>
      <c r="P531" s="220" t="s">
        <v>2154</v>
      </c>
      <c r="Q531" s="154" t="s">
        <v>38</v>
      </c>
      <c r="R531" s="126"/>
    </row>
    <row r="532" spans="1:18">
      <c r="A532" s="158">
        <f>ROW()-1</f>
        <v>531</v>
      </c>
      <c r="B532" s="138">
        <v>46092</v>
      </c>
      <c r="C532" s="159" t="s">
        <v>1981</v>
      </c>
      <c r="D532" s="126" t="s">
        <v>2155</v>
      </c>
      <c r="E532" s="126" t="s">
        <v>41</v>
      </c>
      <c r="F532" s="188" t="s">
        <v>201</v>
      </c>
      <c r="G532" s="129" t="s">
        <v>2156</v>
      </c>
      <c r="H532" s="129"/>
      <c r="I532" s="236" t="s">
        <v>2157</v>
      </c>
      <c r="J532" s="194" t="s">
        <v>34</v>
      </c>
      <c r="K532" s="184" t="s">
        <v>2158</v>
      </c>
      <c r="L532" s="126" t="s">
        <v>54</v>
      </c>
      <c r="M532" s="126" t="s">
        <v>69</v>
      </c>
      <c r="N532" s="126" t="s">
        <v>2159</v>
      </c>
      <c r="O532" s="161">
        <v>46092</v>
      </c>
      <c r="P532" s="211" t="s">
        <v>2160</v>
      </c>
      <c r="Q532" s="154" t="s">
        <v>336</v>
      </c>
      <c r="R532" s="126"/>
    </row>
    <row r="533" spans="1:18">
      <c r="A533" s="158">
        <f>ROW()-1</f>
        <v>532</v>
      </c>
      <c r="B533" s="138">
        <v>46092</v>
      </c>
      <c r="C533" s="159" t="s">
        <v>2161</v>
      </c>
      <c r="D533" s="126" t="s">
        <v>2162</v>
      </c>
      <c r="E533" s="126" t="s">
        <v>41</v>
      </c>
      <c r="F533" s="188" t="s">
        <v>90</v>
      </c>
      <c r="G533" s="129" t="s">
        <v>1788</v>
      </c>
      <c r="H533" s="129"/>
      <c r="I533" s="165" t="s">
        <v>2163</v>
      </c>
      <c r="J533" s="194" t="s">
        <v>34</v>
      </c>
      <c r="K533" t="s">
        <v>2164</v>
      </c>
      <c r="L533" s="126" t="s">
        <v>122</v>
      </c>
      <c r="M533" s="126" t="s">
        <v>69</v>
      </c>
      <c r="N533" s="126" t="s">
        <v>2165</v>
      </c>
      <c r="O533" s="161">
        <v>46092</v>
      </c>
      <c r="P533" s="170">
        <v>4538444</v>
      </c>
      <c r="Q533" s="154" t="s">
        <v>336</v>
      </c>
      <c r="R533" s="126"/>
    </row>
    <row r="534" spans="1:18">
      <c r="A534" s="158">
        <f>ROW()-1</f>
        <v>533</v>
      </c>
      <c r="B534" s="138">
        <v>46092</v>
      </c>
      <c r="C534" s="159" t="s">
        <v>2166</v>
      </c>
      <c r="D534" s="126" t="s">
        <v>2167</v>
      </c>
      <c r="E534" s="126" t="s">
        <v>711</v>
      </c>
      <c r="F534" s="188" t="s">
        <v>71</v>
      </c>
      <c r="G534" s="129" t="s">
        <v>2168</v>
      </c>
      <c r="H534" s="64">
        <v>7349652017</v>
      </c>
      <c r="I534" s="126" t="s">
        <v>2169</v>
      </c>
      <c r="J534" s="194" t="s">
        <v>99</v>
      </c>
      <c r="K534" t="s">
        <v>2170</v>
      </c>
      <c r="L534" s="126" t="s">
        <v>76</v>
      </c>
      <c r="M534" s="126" t="s">
        <v>77</v>
      </c>
      <c r="N534" s="126"/>
      <c r="O534" s="161"/>
      <c r="Q534" s="154"/>
      <c r="R534" s="126"/>
    </row>
    <row r="535" spans="1:18">
      <c r="A535" s="158">
        <f t="shared" ref="A535:A544" si="10">ROW()-1</f>
        <v>534</v>
      </c>
      <c r="B535" s="138">
        <v>46092</v>
      </c>
      <c r="C535" s="159" t="s">
        <v>2171</v>
      </c>
      <c r="D535" s="126" t="s">
        <v>647</v>
      </c>
      <c r="E535" s="126" t="s">
        <v>131</v>
      </c>
      <c r="F535" s="188" t="s">
        <v>71</v>
      </c>
      <c r="G535" s="129" t="s">
        <v>2172</v>
      </c>
      <c r="H535" s="64">
        <v>7418685349</v>
      </c>
      <c r="I535" s="64" t="s">
        <v>2173</v>
      </c>
      <c r="J535" s="194" t="s">
        <v>272</v>
      </c>
      <c r="K535" t="s">
        <v>2174</v>
      </c>
      <c r="L535" s="126" t="s">
        <v>76</v>
      </c>
      <c r="M535" s="126" t="s">
        <v>77</v>
      </c>
      <c r="N535" s="126"/>
      <c r="O535" s="161"/>
      <c r="Q535" s="154"/>
      <c r="R535" s="126"/>
    </row>
    <row r="536" spans="1:18">
      <c r="A536" s="158">
        <f t="shared" si="10"/>
        <v>535</v>
      </c>
      <c r="B536" s="138">
        <v>46092</v>
      </c>
      <c r="C536" s="159" t="s">
        <v>2175</v>
      </c>
      <c r="D536" s="126" t="s">
        <v>2176</v>
      </c>
      <c r="E536" s="126" t="s">
        <v>131</v>
      </c>
      <c r="F536" s="188" t="s">
        <v>32</v>
      </c>
      <c r="G536" s="159" t="s">
        <v>1101</v>
      </c>
      <c r="H536" s="64">
        <v>9840756085</v>
      </c>
      <c r="I536" s="64" t="s">
        <v>2177</v>
      </c>
      <c r="J536" s="194" t="s">
        <v>248</v>
      </c>
      <c r="K536" t="s">
        <v>2178</v>
      </c>
      <c r="L536" s="126" t="s">
        <v>76</v>
      </c>
      <c r="M536" s="126" t="s">
        <v>69</v>
      </c>
      <c r="N536" s="126"/>
      <c r="O536" s="161"/>
      <c r="Q536" s="154"/>
      <c r="R536" s="126"/>
    </row>
    <row r="537" spans="1:18">
      <c r="A537" s="158">
        <f t="shared" si="10"/>
        <v>536</v>
      </c>
      <c r="B537" s="138">
        <v>46092</v>
      </c>
      <c r="C537" s="159" t="s">
        <v>2179</v>
      </c>
      <c r="D537" s="159" t="s">
        <v>2179</v>
      </c>
      <c r="E537" s="126" t="s">
        <v>711</v>
      </c>
      <c r="F537" s="188" t="s">
        <v>71</v>
      </c>
      <c r="G537" s="159" t="s">
        <v>212</v>
      </c>
      <c r="H537" s="64">
        <v>9743010921</v>
      </c>
      <c r="I537" s="64" t="s">
        <v>2180</v>
      </c>
      <c r="J537" s="194" t="s">
        <v>81</v>
      </c>
      <c r="K537" t="s">
        <v>2181</v>
      </c>
      <c r="L537" s="126" t="s">
        <v>76</v>
      </c>
      <c r="M537" s="126" t="s">
        <v>77</v>
      </c>
      <c r="N537" s="126"/>
      <c r="O537" s="161"/>
      <c r="Q537" s="154"/>
      <c r="R537" s="126"/>
    </row>
    <row r="538" spans="1:18">
      <c r="A538" s="158">
        <f t="shared" si="10"/>
        <v>537</v>
      </c>
      <c r="B538" s="138">
        <v>46092</v>
      </c>
      <c r="C538" s="159" t="s">
        <v>2182</v>
      </c>
      <c r="D538" s="126" t="s">
        <v>2183</v>
      </c>
      <c r="E538" s="126" t="s">
        <v>84</v>
      </c>
      <c r="F538" s="188" t="s">
        <v>80</v>
      </c>
      <c r="G538" t="s">
        <v>260</v>
      </c>
      <c r="H538" s="64">
        <v>9825721149</v>
      </c>
      <c r="I538" s="64" t="s">
        <v>2184</v>
      </c>
      <c r="J538" s="194" t="s">
        <v>272</v>
      </c>
      <c r="K538" t="s">
        <v>2185</v>
      </c>
      <c r="L538" s="126" t="s">
        <v>76</v>
      </c>
      <c r="M538" s="126" t="s">
        <v>77</v>
      </c>
      <c r="N538" s="126"/>
      <c r="O538" s="161"/>
      <c r="Q538" s="154"/>
      <c r="R538" s="126"/>
    </row>
    <row r="539" spans="1:18">
      <c r="A539" s="158">
        <f t="shared" si="10"/>
        <v>538</v>
      </c>
      <c r="B539" s="138">
        <v>46092</v>
      </c>
      <c r="C539" s="159" t="s">
        <v>2186</v>
      </c>
      <c r="D539" s="126" t="s">
        <v>2187</v>
      </c>
      <c r="E539" s="126" t="s">
        <v>58</v>
      </c>
      <c r="F539" s="188" t="s">
        <v>1423</v>
      </c>
      <c r="G539" t="s">
        <v>2188</v>
      </c>
      <c r="H539" s="64">
        <v>9326451811</v>
      </c>
      <c r="I539" s="128"/>
      <c r="J539" s="194" t="s">
        <v>272</v>
      </c>
      <c r="K539" t="s">
        <v>2189</v>
      </c>
      <c r="L539" s="126" t="s">
        <v>101</v>
      </c>
      <c r="M539" s="126" t="s">
        <v>55</v>
      </c>
      <c r="N539" s="126"/>
      <c r="O539" s="161"/>
      <c r="Q539" s="154"/>
      <c r="R539" s="126"/>
    </row>
    <row r="540" spans="1:18">
      <c r="A540" s="158">
        <f t="shared" si="10"/>
        <v>539</v>
      </c>
      <c r="B540" s="138">
        <v>46093</v>
      </c>
      <c r="C540" s="159" t="s">
        <v>2190</v>
      </c>
      <c r="D540" s="126" t="s">
        <v>2191</v>
      </c>
      <c r="E540" s="126" t="s">
        <v>41</v>
      </c>
      <c r="F540" s="188" t="s">
        <v>80</v>
      </c>
      <c r="G540" s="129" t="s">
        <v>260</v>
      </c>
      <c r="H540" s="64">
        <v>9284421166</v>
      </c>
      <c r="I540" s="206" t="s">
        <v>2192</v>
      </c>
      <c r="J540" s="194" t="s">
        <v>1420</v>
      </c>
      <c r="K540" s="159" t="s">
        <v>2193</v>
      </c>
      <c r="L540" s="126" t="s">
        <v>76</v>
      </c>
      <c r="M540" s="126" t="s">
        <v>69</v>
      </c>
      <c r="N540" s="126"/>
      <c r="O540" s="161"/>
      <c r="Q540" s="154"/>
      <c r="R540" s="126"/>
    </row>
    <row r="541" spans="1:18">
      <c r="A541" s="158">
        <f t="shared" si="10"/>
        <v>540</v>
      </c>
      <c r="B541" s="138">
        <v>46093</v>
      </c>
      <c r="C541" s="159" t="s">
        <v>2194</v>
      </c>
      <c r="D541" s="126" t="s">
        <v>2195</v>
      </c>
      <c r="E541" s="126" t="s">
        <v>41</v>
      </c>
      <c r="F541" s="188" t="s">
        <v>71</v>
      </c>
      <c r="G541" s="129" t="s">
        <v>745</v>
      </c>
      <c r="H541" s="64">
        <v>7038573909</v>
      </c>
      <c r="I541" s="64" t="s">
        <v>2196</v>
      </c>
      <c r="J541" s="194" t="s">
        <v>248</v>
      </c>
      <c r="L541" s="126" t="s">
        <v>76</v>
      </c>
      <c r="M541" s="126" t="s">
        <v>77</v>
      </c>
      <c r="N541" s="126"/>
      <c r="O541" s="161"/>
      <c r="Q541" s="154"/>
      <c r="R541" s="126"/>
    </row>
    <row r="542" spans="1:18">
      <c r="A542" s="158">
        <f t="shared" si="10"/>
        <v>541</v>
      </c>
      <c r="B542" s="138">
        <v>46093</v>
      </c>
      <c r="C542" s="159"/>
      <c r="D542" s="126" t="s">
        <v>2197</v>
      </c>
      <c r="E542" s="126" t="s">
        <v>41</v>
      </c>
      <c r="F542" s="126" t="s">
        <v>32</v>
      </c>
      <c r="G542" s="126" t="s">
        <v>2198</v>
      </c>
      <c r="H542" s="64">
        <v>7028514205</v>
      </c>
      <c r="I542" s="64" t="s">
        <v>2199</v>
      </c>
      <c r="J542" s="194" t="s">
        <v>81</v>
      </c>
      <c r="K542" s="159" t="s">
        <v>2200</v>
      </c>
      <c r="L542" s="126" t="s">
        <v>76</v>
      </c>
      <c r="M542" s="126" t="s">
        <v>69</v>
      </c>
      <c r="N542" s="126"/>
      <c r="O542" s="161"/>
      <c r="Q542" s="154"/>
      <c r="R542" s="126"/>
    </row>
    <row r="543" spans="1:18">
      <c r="A543" s="158">
        <f t="shared" si="10"/>
        <v>542</v>
      </c>
      <c r="B543" s="138">
        <v>46093</v>
      </c>
      <c r="C543" s="159" t="s">
        <v>2201</v>
      </c>
      <c r="D543" s="126" t="s">
        <v>508</v>
      </c>
      <c r="E543" s="126" t="s">
        <v>84</v>
      </c>
      <c r="F543" s="188" t="s">
        <v>201</v>
      </c>
      <c r="G543" s="126" t="s">
        <v>201</v>
      </c>
      <c r="H543" s="64">
        <v>7878025081</v>
      </c>
      <c r="I543" s="64" t="s">
        <v>2202</v>
      </c>
      <c r="J543" s="194" t="s">
        <v>81</v>
      </c>
      <c r="K543" s="159" t="s">
        <v>2203</v>
      </c>
      <c r="L543" s="126" t="s">
        <v>76</v>
      </c>
      <c r="M543" s="126" t="s">
        <v>55</v>
      </c>
      <c r="N543" s="126"/>
      <c r="O543" s="161"/>
      <c r="Q543" s="154"/>
      <c r="R543" s="126"/>
    </row>
    <row r="544" spans="1:18">
      <c r="A544" s="158">
        <f t="shared" si="10"/>
        <v>543</v>
      </c>
      <c r="B544" s="138">
        <v>46093</v>
      </c>
      <c r="C544" s="159" t="s">
        <v>2204</v>
      </c>
      <c r="D544" s="126"/>
      <c r="E544" s="126"/>
      <c r="F544" s="188" t="s">
        <v>117</v>
      </c>
      <c r="G544" s="64" t="s">
        <v>715</v>
      </c>
      <c r="H544" s="64">
        <v>6001501877</v>
      </c>
      <c r="I544" s="128"/>
      <c r="J544" s="194" t="s">
        <v>81</v>
      </c>
      <c r="L544" s="126" t="s">
        <v>101</v>
      </c>
      <c r="M544" s="126" t="s">
        <v>69</v>
      </c>
      <c r="N544" s="126"/>
      <c r="O544" s="161"/>
      <c r="Q544" s="154"/>
      <c r="R544" s="126"/>
    </row>
    <row r="545" spans="1:18">
      <c r="A545" s="158">
        <f t="shared" ref="A545:A550" si="11">ROW()-1</f>
        <v>544</v>
      </c>
      <c r="B545" s="138">
        <v>46093</v>
      </c>
      <c r="C545" s="159"/>
      <c r="D545" s="126"/>
      <c r="E545" s="126"/>
      <c r="F545" s="188" t="s">
        <v>32</v>
      </c>
      <c r="G545" s="126" t="s">
        <v>2205</v>
      </c>
      <c r="H545" s="64">
        <v>7906774594</v>
      </c>
      <c r="I545" s="128"/>
      <c r="J545" s="194" t="s">
        <v>272</v>
      </c>
      <c r="K545" t="s">
        <v>2206</v>
      </c>
      <c r="L545" s="126" t="s">
        <v>101</v>
      </c>
      <c r="M545" s="126" t="s">
        <v>55</v>
      </c>
      <c r="N545" s="126"/>
      <c r="O545" s="161"/>
      <c r="Q545" s="154"/>
      <c r="R545" s="126"/>
    </row>
    <row r="546" spans="1:18">
      <c r="A546" s="158">
        <f t="shared" si="11"/>
        <v>545</v>
      </c>
      <c r="B546" s="138">
        <v>46093</v>
      </c>
      <c r="C546" s="159" t="s">
        <v>2207</v>
      </c>
      <c r="D546" s="126" t="s">
        <v>2208</v>
      </c>
      <c r="E546" s="126" t="s">
        <v>41</v>
      </c>
      <c r="F546" s="188" t="s">
        <v>80</v>
      </c>
      <c r="G546" s="126" t="s">
        <v>1019</v>
      </c>
      <c r="H546" s="64">
        <v>9422219402</v>
      </c>
      <c r="I546" s="126" t="s">
        <v>2209</v>
      </c>
      <c r="J546" s="194" t="s">
        <v>99</v>
      </c>
      <c r="K546" t="s">
        <v>2210</v>
      </c>
      <c r="L546" s="126" t="s">
        <v>101</v>
      </c>
      <c r="M546" s="126" t="s">
        <v>69</v>
      </c>
      <c r="N546" s="126"/>
      <c r="O546" s="161"/>
      <c r="Q546" s="154"/>
      <c r="R546" s="126"/>
    </row>
    <row r="547" spans="1:18">
      <c r="A547" s="158">
        <f t="shared" si="11"/>
        <v>546</v>
      </c>
      <c r="B547" s="138">
        <v>46093</v>
      </c>
      <c r="C547" s="159" t="s">
        <v>2211</v>
      </c>
      <c r="D547" s="126" t="s">
        <v>2212</v>
      </c>
      <c r="E547" s="126" t="s">
        <v>41</v>
      </c>
      <c r="F547" s="188" t="s">
        <v>71</v>
      </c>
      <c r="G547" s="126" t="s">
        <v>2213</v>
      </c>
      <c r="H547" s="64">
        <v>9850979258</v>
      </c>
      <c r="I547" s="128"/>
      <c r="J547" s="171" t="s">
        <v>1420</v>
      </c>
      <c r="L547" s="126" t="s">
        <v>101</v>
      </c>
      <c r="M547" s="126" t="s">
        <v>77</v>
      </c>
      <c r="N547" s="126"/>
      <c r="O547" s="161"/>
      <c r="Q547" s="154"/>
      <c r="R547" s="126"/>
    </row>
    <row r="548" spans="1:18">
      <c r="A548" s="158">
        <f t="shared" si="11"/>
        <v>547</v>
      </c>
      <c r="B548" s="138">
        <v>46094</v>
      </c>
      <c r="C548" s="159" t="s">
        <v>2214</v>
      </c>
      <c r="D548" s="126" t="s">
        <v>2215</v>
      </c>
      <c r="E548" s="126" t="s">
        <v>657</v>
      </c>
      <c r="F548" s="188" t="s">
        <v>32</v>
      </c>
      <c r="G548" s="129" t="s">
        <v>697</v>
      </c>
      <c r="H548" s="64">
        <v>9933944443</v>
      </c>
      <c r="I548" s="126" t="s">
        <v>2216</v>
      </c>
      <c r="J548" s="1" t="s">
        <v>272</v>
      </c>
      <c r="K548" t="s">
        <v>2217</v>
      </c>
      <c r="L548" s="126" t="s">
        <v>101</v>
      </c>
      <c r="M548" s="126" t="s">
        <v>55</v>
      </c>
      <c r="N548" s="126"/>
      <c r="O548" s="161"/>
      <c r="Q548" s="154"/>
      <c r="R548" s="126"/>
    </row>
    <row r="549" spans="1:18">
      <c r="A549" s="158">
        <f t="shared" si="11"/>
        <v>548</v>
      </c>
      <c r="B549" s="138">
        <v>46094</v>
      </c>
      <c r="C549" s="159" t="s">
        <v>2218</v>
      </c>
      <c r="D549" s="126" t="s">
        <v>2219</v>
      </c>
      <c r="E549" s="126" t="s">
        <v>1063</v>
      </c>
      <c r="F549" s="188" t="s">
        <v>80</v>
      </c>
      <c r="G549" s="129" t="s">
        <v>260</v>
      </c>
      <c r="H549" s="64">
        <v>9822715579</v>
      </c>
      <c r="I549" s="126" t="s">
        <v>2220</v>
      </c>
      <c r="J549" s="194" t="s">
        <v>99</v>
      </c>
      <c r="K549" t="s">
        <v>2221</v>
      </c>
      <c r="L549" s="126" t="s">
        <v>101</v>
      </c>
      <c r="M549" s="126" t="s">
        <v>69</v>
      </c>
      <c r="N549" s="126"/>
      <c r="O549" s="161"/>
      <c r="Q549" s="154"/>
      <c r="R549" s="126"/>
    </row>
    <row r="550" spans="1:18">
      <c r="A550" s="158">
        <f t="shared" si="11"/>
        <v>549</v>
      </c>
      <c r="B550" s="138">
        <v>46094</v>
      </c>
      <c r="C550" s="159" t="s">
        <v>2222</v>
      </c>
      <c r="D550" s="126" t="s">
        <v>337</v>
      </c>
      <c r="E550" s="126" t="s">
        <v>41</v>
      </c>
      <c r="F550" s="188" t="s">
        <v>32</v>
      </c>
      <c r="G550" s="129" t="s">
        <v>697</v>
      </c>
      <c r="H550" s="64">
        <v>9653232619</v>
      </c>
      <c r="I550" s="126" t="s">
        <v>2223</v>
      </c>
      <c r="J550" s="194" t="s">
        <v>272</v>
      </c>
      <c r="K550" t="s">
        <v>2224</v>
      </c>
      <c r="L550" s="126" t="s">
        <v>101</v>
      </c>
      <c r="M550" s="126" t="s">
        <v>69</v>
      </c>
      <c r="N550" s="126"/>
      <c r="O550" s="161"/>
      <c r="Q550" s="154"/>
      <c r="R550" s="126"/>
    </row>
    <row r="551" spans="1:18">
      <c r="A551" s="158">
        <f>ROW()-1</f>
        <v>550</v>
      </c>
      <c r="B551" s="138">
        <v>46094</v>
      </c>
      <c r="C551" s="159" t="s">
        <v>2225</v>
      </c>
      <c r="D551" s="126" t="s">
        <v>2226</v>
      </c>
      <c r="E551" s="126" t="s">
        <v>65</v>
      </c>
      <c r="F551" s="188" t="s">
        <v>1423</v>
      </c>
      <c r="G551" s="129" t="s">
        <v>2141</v>
      </c>
      <c r="H551" s="129">
        <v>9445003806</v>
      </c>
      <c r="I551" s="126"/>
      <c r="J551" s="159" t="s">
        <v>34</v>
      </c>
      <c r="K551" t="s">
        <v>2227</v>
      </c>
      <c r="L551" s="126" t="s">
        <v>101</v>
      </c>
      <c r="M551" s="126" t="s">
        <v>69</v>
      </c>
      <c r="N551" s="126"/>
      <c r="O551" s="161"/>
      <c r="Q551" s="154"/>
      <c r="R551" s="126"/>
    </row>
    <row r="552" spans="1:18">
      <c r="A552" s="158">
        <f t="shared" ref="A552:A556" si="12">ROW()-1</f>
        <v>551</v>
      </c>
      <c r="B552" s="138">
        <v>46094</v>
      </c>
      <c r="C552" s="159"/>
      <c r="D552" s="126" t="s">
        <v>2228</v>
      </c>
      <c r="E552" s="126" t="s">
        <v>2130</v>
      </c>
      <c r="F552" s="188" t="s">
        <v>80</v>
      </c>
      <c r="G552" s="129" t="s">
        <v>260</v>
      </c>
      <c r="H552" s="64">
        <v>9544353666</v>
      </c>
      <c r="I552" s="126" t="s">
        <v>2229</v>
      </c>
      <c r="J552" s="154" t="s">
        <v>272</v>
      </c>
      <c r="K552" t="s">
        <v>2230</v>
      </c>
      <c r="L552" s="126" t="s">
        <v>101</v>
      </c>
      <c r="M552" s="126" t="s">
        <v>55</v>
      </c>
      <c r="N552" s="126"/>
      <c r="O552" s="161"/>
      <c r="Q552" s="154"/>
      <c r="R552" s="126"/>
    </row>
    <row r="553" spans="1:18">
      <c r="A553" s="158">
        <f t="shared" si="12"/>
        <v>552</v>
      </c>
      <c r="B553" s="138">
        <v>46094</v>
      </c>
      <c r="C553" s="159" t="s">
        <v>2231</v>
      </c>
      <c r="D553" s="126" t="s">
        <v>2232</v>
      </c>
      <c r="E553" s="126" t="s">
        <v>131</v>
      </c>
      <c r="F553" s="188" t="s">
        <v>32</v>
      </c>
      <c r="G553" s="129" t="s">
        <v>697</v>
      </c>
      <c r="H553" s="129">
        <v>9100756588</v>
      </c>
      <c r="I553" s="147"/>
      <c r="J553" s="154" t="s">
        <v>34</v>
      </c>
      <c r="K553" t="s">
        <v>2233</v>
      </c>
      <c r="L553" s="126" t="s">
        <v>76</v>
      </c>
      <c r="M553" s="126" t="s">
        <v>69</v>
      </c>
      <c r="N553" s="126"/>
      <c r="O553" s="161"/>
      <c r="Q553" s="154"/>
      <c r="R553" s="126"/>
    </row>
    <row r="554" spans="1:18">
      <c r="A554" s="158">
        <f t="shared" si="12"/>
        <v>553</v>
      </c>
      <c r="B554" s="138">
        <v>46094</v>
      </c>
      <c r="D554" s="126" t="s">
        <v>2234</v>
      </c>
      <c r="E554" s="126" t="s">
        <v>711</v>
      </c>
      <c r="F554" s="188" t="s">
        <v>32</v>
      </c>
      <c r="G554" s="129" t="s">
        <v>2235</v>
      </c>
      <c r="H554" s="64">
        <v>9731020627</v>
      </c>
      <c r="I554" s="128"/>
      <c r="J554" s="154" t="s">
        <v>272</v>
      </c>
      <c r="K554" t="s">
        <v>2236</v>
      </c>
      <c r="L554" s="126" t="s">
        <v>76</v>
      </c>
      <c r="M554" s="126" t="s">
        <v>69</v>
      </c>
      <c r="N554" s="126"/>
      <c r="O554" s="161"/>
      <c r="Q554" s="154"/>
      <c r="R554" s="126"/>
    </row>
    <row r="555" spans="1:18">
      <c r="A555" s="158">
        <f t="shared" si="12"/>
        <v>554</v>
      </c>
      <c r="B555" s="138">
        <v>46094</v>
      </c>
      <c r="C555" s="159" t="s">
        <v>2237</v>
      </c>
      <c r="D555" s="126" t="s">
        <v>2238</v>
      </c>
      <c r="E555" s="126" t="s">
        <v>84</v>
      </c>
      <c r="F555" s="188" t="s">
        <v>71</v>
      </c>
      <c r="G555" s="129" t="s">
        <v>212</v>
      </c>
      <c r="H555" s="64">
        <v>9825932525</v>
      </c>
      <c r="I555" s="64" t="s">
        <v>2239</v>
      </c>
      <c r="J555" s="154" t="s">
        <v>81</v>
      </c>
      <c r="K555" t="s">
        <v>2240</v>
      </c>
      <c r="L555" s="126" t="s">
        <v>76</v>
      </c>
      <c r="M555" s="126" t="s">
        <v>77</v>
      </c>
      <c r="N555" s="126"/>
      <c r="O555" s="161"/>
      <c r="Q555" s="154"/>
      <c r="R555" s="126"/>
    </row>
    <row r="556" spans="1:18">
      <c r="A556" s="158">
        <f t="shared" si="12"/>
        <v>555</v>
      </c>
      <c r="B556" s="138">
        <v>46094</v>
      </c>
      <c r="C556" s="159" t="s">
        <v>2241</v>
      </c>
      <c r="D556" s="126" t="s">
        <v>584</v>
      </c>
      <c r="E556" s="126" t="s">
        <v>41</v>
      </c>
      <c r="F556" s="188" t="s">
        <v>80</v>
      </c>
      <c r="G556" s="129" t="s">
        <v>80</v>
      </c>
      <c r="H556" s="64">
        <v>9850103500</v>
      </c>
      <c r="I556" s="64" t="s">
        <v>2242</v>
      </c>
      <c r="J556" s="154" t="s">
        <v>1420</v>
      </c>
      <c r="K556" t="s">
        <v>2075</v>
      </c>
      <c r="L556" s="126" t="s">
        <v>76</v>
      </c>
      <c r="M556" s="126" t="s">
        <v>55</v>
      </c>
      <c r="N556" s="126"/>
      <c r="O556" s="161"/>
      <c r="Q556" s="154"/>
      <c r="R556" s="126"/>
    </row>
    <row r="557" spans="1:18">
      <c r="A557" s="158">
        <f t="shared" ref="A557:A558" si="13">ROW()-1</f>
        <v>556</v>
      </c>
      <c r="B557" s="138">
        <v>46094</v>
      </c>
      <c r="C557" s="159"/>
      <c r="D557" s="126" t="s">
        <v>2243</v>
      </c>
      <c r="E557" s="126"/>
      <c r="F557" s="188" t="s">
        <v>71</v>
      </c>
      <c r="G557" s="129" t="s">
        <v>2244</v>
      </c>
      <c r="H557" s="64">
        <v>8082734824</v>
      </c>
      <c r="I557" s="128"/>
      <c r="J557" s="154" t="s">
        <v>99</v>
      </c>
      <c r="K557" t="s">
        <v>2245</v>
      </c>
      <c r="L557" s="126" t="s">
        <v>76</v>
      </c>
      <c r="M557" s="126" t="s">
        <v>77</v>
      </c>
      <c r="N557" s="126"/>
      <c r="O557" s="161"/>
      <c r="Q557" s="154"/>
      <c r="R557" s="126"/>
    </row>
    <row r="558" spans="1:18">
      <c r="A558" s="158">
        <f t="shared" si="13"/>
        <v>557</v>
      </c>
      <c r="B558" s="138">
        <v>46094</v>
      </c>
      <c r="C558" s="159"/>
      <c r="D558" s="126" t="s">
        <v>2246</v>
      </c>
      <c r="E558" s="126" t="s">
        <v>206</v>
      </c>
      <c r="F558" s="126" t="s">
        <v>32</v>
      </c>
      <c r="G558" s="126" t="s">
        <v>1101</v>
      </c>
      <c r="H558" s="64">
        <v>9005240096</v>
      </c>
      <c r="I558" s="64" t="s">
        <v>2247</v>
      </c>
      <c r="J558" s="154" t="s">
        <v>272</v>
      </c>
      <c r="K558" t="s">
        <v>2248</v>
      </c>
      <c r="L558" s="126" t="s">
        <v>76</v>
      </c>
      <c r="M558" s="126" t="s">
        <v>55</v>
      </c>
      <c r="N558" s="126"/>
      <c r="O558" s="161"/>
      <c r="Q558" s="154"/>
      <c r="R558" s="126"/>
    </row>
    <row r="559" spans="1:18">
      <c r="A559" s="158">
        <f t="shared" ref="A559:A564" si="14">ROW()-1</f>
        <v>558</v>
      </c>
      <c r="B559" s="138">
        <v>46094</v>
      </c>
      <c r="C559" t="s">
        <v>2249</v>
      </c>
      <c r="D559" s="126" t="s">
        <v>2250</v>
      </c>
      <c r="E559" s="126" t="s">
        <v>711</v>
      </c>
      <c r="F559" s="188" t="s">
        <v>71</v>
      </c>
      <c r="G559" s="126" t="s">
        <v>212</v>
      </c>
      <c r="H559" s="64">
        <v>9902411716</v>
      </c>
      <c r="I559" s="128"/>
      <c r="J559" s="154" t="s">
        <v>81</v>
      </c>
      <c r="K559" t="s">
        <v>2251</v>
      </c>
      <c r="L559" s="126" t="s">
        <v>76</v>
      </c>
      <c r="M559" s="126" t="s">
        <v>77</v>
      </c>
      <c r="N559" s="126"/>
      <c r="O559" s="161"/>
      <c r="Q559" s="154"/>
      <c r="R559" s="126"/>
    </row>
    <row r="560" spans="1:18">
      <c r="A560" s="158">
        <f t="shared" si="14"/>
        <v>559</v>
      </c>
      <c r="B560" s="138">
        <v>46094</v>
      </c>
      <c r="C560" s="159"/>
      <c r="D560" s="126" t="s">
        <v>1241</v>
      </c>
      <c r="E560" s="126" t="s">
        <v>206</v>
      </c>
      <c r="F560" s="188" t="s">
        <v>32</v>
      </c>
      <c r="G560" s="126" t="s">
        <v>1831</v>
      </c>
      <c r="H560" s="64">
        <v>8810753573</v>
      </c>
      <c r="I560" s="64" t="s">
        <v>2252</v>
      </c>
      <c r="J560" s="154" t="s">
        <v>248</v>
      </c>
      <c r="K560" s="204" t="s">
        <v>2253</v>
      </c>
      <c r="L560" s="126" t="s">
        <v>76</v>
      </c>
      <c r="M560" s="126" t="s">
        <v>55</v>
      </c>
      <c r="N560" s="126"/>
      <c r="O560" s="161"/>
      <c r="Q560" s="154"/>
      <c r="R560" s="126"/>
    </row>
    <row r="561" spans="1:20">
      <c r="A561" s="158">
        <f t="shared" si="14"/>
        <v>560</v>
      </c>
      <c r="B561" s="138">
        <v>46094</v>
      </c>
      <c r="C561" s="159" t="s">
        <v>2254</v>
      </c>
      <c r="D561" s="126" t="s">
        <v>176</v>
      </c>
      <c r="E561" s="126" t="s">
        <v>41</v>
      </c>
      <c r="F561" s="188" t="s">
        <v>201</v>
      </c>
      <c r="G561" s="126" t="s">
        <v>202</v>
      </c>
      <c r="H561" s="64"/>
      <c r="I561" s="128"/>
      <c r="J561" s="208" t="s">
        <v>1420</v>
      </c>
      <c r="K561" t="s">
        <v>2255</v>
      </c>
      <c r="L561" s="126" t="s">
        <v>76</v>
      </c>
      <c r="M561" s="126" t="s">
        <v>55</v>
      </c>
      <c r="N561" s="126"/>
      <c r="O561" s="161"/>
      <c r="Q561" s="154"/>
      <c r="R561" s="126"/>
    </row>
    <row r="562" spans="1:20">
      <c r="A562" s="158">
        <f t="shared" si="14"/>
        <v>561</v>
      </c>
      <c r="B562" s="138">
        <v>46094</v>
      </c>
      <c r="C562" s="159"/>
      <c r="D562" s="126" t="s">
        <v>2256</v>
      </c>
      <c r="E562" s="126" t="s">
        <v>84</v>
      </c>
      <c r="F562" s="188" t="s">
        <v>32</v>
      </c>
      <c r="G562" s="126" t="s">
        <v>989</v>
      </c>
      <c r="H562" s="64">
        <v>9898742870</v>
      </c>
      <c r="I562" s="128"/>
      <c r="J562" s="154" t="s">
        <v>272</v>
      </c>
      <c r="K562" t="s">
        <v>2257</v>
      </c>
      <c r="L562" s="126" t="s">
        <v>76</v>
      </c>
      <c r="M562" s="126" t="s">
        <v>55</v>
      </c>
      <c r="N562" s="126"/>
      <c r="O562" s="161"/>
      <c r="Q562" s="154"/>
      <c r="R562" s="126"/>
    </row>
    <row r="563" spans="1:20">
      <c r="A563" s="158">
        <f t="shared" si="14"/>
        <v>562</v>
      </c>
      <c r="B563" s="138">
        <v>46094</v>
      </c>
      <c r="C563" s="159" t="s">
        <v>2258</v>
      </c>
      <c r="D563" s="126" t="s">
        <v>2259</v>
      </c>
      <c r="E563" s="126" t="s">
        <v>131</v>
      </c>
      <c r="F563" s="188" t="s">
        <v>71</v>
      </c>
      <c r="G563" s="126" t="s">
        <v>2260</v>
      </c>
      <c r="H563" s="64">
        <v>9500422521</v>
      </c>
      <c r="I563" s="64" t="s">
        <v>2261</v>
      </c>
      <c r="J563" s="154" t="s">
        <v>272</v>
      </c>
      <c r="K563" t="s">
        <v>2262</v>
      </c>
      <c r="L563" s="126" t="s">
        <v>76</v>
      </c>
      <c r="M563" s="126" t="s">
        <v>77</v>
      </c>
      <c r="N563" s="126"/>
      <c r="O563" s="161"/>
      <c r="Q563" s="154"/>
      <c r="R563" s="126"/>
    </row>
    <row r="564" spans="1:20">
      <c r="A564" s="158">
        <f t="shared" si="14"/>
        <v>563</v>
      </c>
      <c r="B564" s="138">
        <v>46094</v>
      </c>
      <c r="C564" s="138" t="s">
        <v>2263</v>
      </c>
      <c r="D564" s="138" t="s">
        <v>2264</v>
      </c>
      <c r="E564" s="138" t="s">
        <v>41</v>
      </c>
      <c r="F564" s="138" t="s">
        <v>71</v>
      </c>
      <c r="G564" s="138" t="s">
        <v>212</v>
      </c>
      <c r="H564" s="64">
        <v>9300971211</v>
      </c>
      <c r="I564" s="64" t="s">
        <v>2265</v>
      </c>
      <c r="J564" s="207" t="s">
        <v>248</v>
      </c>
      <c r="K564" s="138"/>
      <c r="L564" s="138" t="s">
        <v>76</v>
      </c>
      <c r="M564" s="138" t="s">
        <v>77</v>
      </c>
      <c r="N564" s="138"/>
      <c r="O564" s="138"/>
      <c r="P564" s="138"/>
      <c r="Q564" s="154"/>
      <c r="R564" s="138"/>
      <c r="S564" s="138"/>
      <c r="T564" s="138"/>
    </row>
    <row r="565" spans="1:20">
      <c r="A565" s="126">
        <f>ROW()-1</f>
        <v>564</v>
      </c>
      <c r="B565" s="138">
        <v>46095</v>
      </c>
      <c r="C565" s="126" t="s">
        <v>2266</v>
      </c>
      <c r="D565" s="126" t="s">
        <v>264</v>
      </c>
      <c r="E565" s="126" t="s">
        <v>41</v>
      </c>
      <c r="F565" s="126" t="s">
        <v>71</v>
      </c>
      <c r="G565" s="126" t="s">
        <v>212</v>
      </c>
      <c r="H565" s="64">
        <v>8766460470</v>
      </c>
      <c r="I565" s="126" t="s">
        <v>2267</v>
      </c>
      <c r="J565" s="64" t="s">
        <v>99</v>
      </c>
      <c r="K565" s="126" t="s">
        <v>2268</v>
      </c>
      <c r="L565" s="126" t="s">
        <v>76</v>
      </c>
      <c r="M565" s="126" t="s">
        <v>77</v>
      </c>
      <c r="N565" s="126"/>
      <c r="O565" s="126"/>
      <c r="P565" s="126"/>
      <c r="Q565" s="154"/>
      <c r="R565" s="126"/>
      <c r="S565" s="126"/>
      <c r="T565" s="126"/>
    </row>
    <row r="566" spans="1:20">
      <c r="A566" s="126">
        <f t="shared" ref="A566:A573" si="15">ROW()-1</f>
        <v>565</v>
      </c>
      <c r="B566" s="138">
        <v>46095</v>
      </c>
      <c r="C566" s="126"/>
      <c r="D566" s="126" t="s">
        <v>264</v>
      </c>
      <c r="E566" s="126" t="s">
        <v>41</v>
      </c>
      <c r="F566" s="126" t="s">
        <v>71</v>
      </c>
      <c r="G566" s="126" t="s">
        <v>72</v>
      </c>
      <c r="H566" s="64">
        <v>8796403555</v>
      </c>
      <c r="I566" s="126" t="s">
        <v>2269</v>
      </c>
      <c r="J566" s="64" t="s">
        <v>81</v>
      </c>
      <c r="K566" s="126" t="s">
        <v>2270</v>
      </c>
      <c r="L566" s="126" t="s">
        <v>76</v>
      </c>
      <c r="M566" s="126" t="s">
        <v>77</v>
      </c>
      <c r="N566" s="126"/>
      <c r="O566" s="126"/>
      <c r="P566" s="126"/>
      <c r="Q566" s="154"/>
      <c r="R566" s="126"/>
      <c r="S566" s="126"/>
      <c r="T566" s="126"/>
    </row>
    <row r="567" spans="1:20">
      <c r="A567" s="126">
        <f t="shared" si="15"/>
        <v>566</v>
      </c>
      <c r="B567" s="138">
        <v>46095</v>
      </c>
      <c r="C567" s="126" t="s">
        <v>2271</v>
      </c>
      <c r="D567" s="126" t="s">
        <v>2272</v>
      </c>
      <c r="E567" s="126" t="s">
        <v>131</v>
      </c>
      <c r="F567" s="126" t="s">
        <v>71</v>
      </c>
      <c r="G567" s="126" t="s">
        <v>212</v>
      </c>
      <c r="H567" s="64">
        <v>9042510466</v>
      </c>
      <c r="I567" s="126" t="s">
        <v>2273</v>
      </c>
      <c r="J567" s="64" t="s">
        <v>272</v>
      </c>
      <c r="K567" s="126" t="s">
        <v>2274</v>
      </c>
      <c r="L567" s="126" t="s">
        <v>76</v>
      </c>
      <c r="M567" s="126" t="s">
        <v>77</v>
      </c>
      <c r="N567" s="126"/>
      <c r="O567" s="126"/>
      <c r="P567" s="126"/>
      <c r="Q567" s="154"/>
      <c r="R567" s="126"/>
      <c r="S567" s="126"/>
      <c r="T567" s="126"/>
    </row>
    <row r="568" spans="1:20">
      <c r="A568" s="126">
        <f t="shared" si="15"/>
        <v>567</v>
      </c>
      <c r="B568" s="138">
        <v>46095</v>
      </c>
      <c r="C568" s="126" t="s">
        <v>2275</v>
      </c>
      <c r="D568" s="126" t="s">
        <v>2276</v>
      </c>
      <c r="E568" s="126" t="s">
        <v>1083</v>
      </c>
      <c r="F568" s="126" t="s">
        <v>80</v>
      </c>
      <c r="G568" s="126" t="s">
        <v>260</v>
      </c>
      <c r="H568" s="129">
        <v>8724039859</v>
      </c>
      <c r="I568" s="129" t="s">
        <v>2277</v>
      </c>
      <c r="J568" s="64" t="s">
        <v>34</v>
      </c>
      <c r="K568" s="126" t="s">
        <v>2278</v>
      </c>
      <c r="L568" s="126" t="s">
        <v>76</v>
      </c>
      <c r="M568" s="126" t="s">
        <v>69</v>
      </c>
      <c r="N568" s="126"/>
      <c r="O568" s="126"/>
      <c r="P568" s="126"/>
      <c r="Q568" s="154"/>
      <c r="R568" s="126"/>
      <c r="S568" s="126"/>
      <c r="T568" s="126"/>
    </row>
    <row r="569" spans="1:20">
      <c r="A569" s="158">
        <f t="shared" si="15"/>
        <v>568</v>
      </c>
      <c r="B569" s="138">
        <v>46095</v>
      </c>
      <c r="C569" s="159" t="s">
        <v>2279</v>
      </c>
      <c r="D569" s="126" t="s">
        <v>2280</v>
      </c>
      <c r="E569" s="138" t="s">
        <v>657</v>
      </c>
      <c r="F569" s="126" t="s">
        <v>90</v>
      </c>
      <c r="G569" s="126" t="s">
        <v>2126</v>
      </c>
      <c r="H569" s="64">
        <v>8172077406</v>
      </c>
      <c r="I569" s="126" t="s">
        <v>2281</v>
      </c>
      <c r="J569" s="154" t="s">
        <v>81</v>
      </c>
      <c r="K569" s="126" t="s">
        <v>2282</v>
      </c>
      <c r="L569" s="126" t="s">
        <v>76</v>
      </c>
      <c r="M569" s="126" t="s">
        <v>55</v>
      </c>
      <c r="N569" s="126"/>
      <c r="O569" s="161"/>
      <c r="Q569" s="154"/>
      <c r="R569" s="126"/>
    </row>
    <row r="570" spans="1:20">
      <c r="A570" s="158">
        <f t="shared" si="15"/>
        <v>569</v>
      </c>
      <c r="B570" s="138">
        <v>46095</v>
      </c>
      <c r="C570" s="159" t="s">
        <v>2283</v>
      </c>
      <c r="D570" s="159" t="s">
        <v>545</v>
      </c>
      <c r="E570" s="138" t="s">
        <v>41</v>
      </c>
      <c r="F570" s="126" t="s">
        <v>32</v>
      </c>
      <c r="G570" s="138" t="s">
        <v>697</v>
      </c>
      <c r="H570" s="129">
        <v>9822567200</v>
      </c>
      <c r="I570" s="191" t="s">
        <v>2284</v>
      </c>
      <c r="J570" s="188" t="s">
        <v>34</v>
      </c>
      <c r="K570" s="126"/>
      <c r="L570" s="126" t="s">
        <v>101</v>
      </c>
      <c r="M570" s="126" t="s">
        <v>69</v>
      </c>
      <c r="N570" s="126"/>
      <c r="O570" s="161"/>
      <c r="Q570" s="154"/>
      <c r="R570" s="126"/>
    </row>
    <row r="571" spans="1:20">
      <c r="A571" s="158">
        <f t="shared" si="15"/>
        <v>570</v>
      </c>
      <c r="B571" s="138">
        <v>46095</v>
      </c>
      <c r="C571" s="159" t="s">
        <v>2285</v>
      </c>
      <c r="D571" s="126" t="s">
        <v>2215</v>
      </c>
      <c r="E571" s="138" t="s">
        <v>657</v>
      </c>
      <c r="F571" s="126" t="s">
        <v>32</v>
      </c>
      <c r="G571" s="126" t="s">
        <v>32</v>
      </c>
      <c r="H571" s="64">
        <v>7980876564</v>
      </c>
      <c r="I571" s="126" t="s">
        <v>2286</v>
      </c>
      <c r="J571" s="154" t="s">
        <v>81</v>
      </c>
      <c r="K571" s="126" t="s">
        <v>2287</v>
      </c>
      <c r="L571" s="126" t="s">
        <v>101</v>
      </c>
      <c r="M571" s="126" t="s">
        <v>55</v>
      </c>
      <c r="N571" s="126"/>
      <c r="O571" s="161"/>
      <c r="Q571" s="154"/>
      <c r="R571" s="126"/>
    </row>
    <row r="572" spans="1:20">
      <c r="A572" s="158">
        <f t="shared" si="15"/>
        <v>571</v>
      </c>
      <c r="B572" s="138">
        <v>46095</v>
      </c>
      <c r="C572" s="138" t="s">
        <v>2288</v>
      </c>
      <c r="D572" s="126" t="s">
        <v>2289</v>
      </c>
      <c r="E572" s="126"/>
      <c r="F572" s="126" t="s">
        <v>32</v>
      </c>
      <c r="G572" s="138" t="s">
        <v>697</v>
      </c>
      <c r="H572" s="64">
        <v>9706062654</v>
      </c>
      <c r="I572" s="126" t="s">
        <v>2290</v>
      </c>
      <c r="J572" s="253" t="s">
        <v>272</v>
      </c>
      <c r="K572" s="126" t="s">
        <v>2291</v>
      </c>
      <c r="L572" s="126" t="s">
        <v>101</v>
      </c>
      <c r="M572" s="126" t="s">
        <v>69</v>
      </c>
      <c r="N572" s="126"/>
      <c r="O572" s="161"/>
      <c r="Q572" s="154"/>
      <c r="R572" s="126"/>
    </row>
    <row r="573" spans="1:20">
      <c r="A573" s="158">
        <f t="shared" si="15"/>
        <v>572</v>
      </c>
      <c r="B573" s="138">
        <v>46095</v>
      </c>
      <c r="C573" s="138" t="s">
        <v>2292</v>
      </c>
      <c r="D573" s="126" t="s">
        <v>111</v>
      </c>
      <c r="E573" s="126" t="s">
        <v>65</v>
      </c>
      <c r="F573" s="126" t="s">
        <v>32</v>
      </c>
      <c r="G573" s="138" t="s">
        <v>697</v>
      </c>
      <c r="H573" s="64">
        <v>9848051893</v>
      </c>
      <c r="I573" s="126" t="s">
        <v>2293</v>
      </c>
      <c r="J573" s="188" t="s">
        <v>272</v>
      </c>
      <c r="K573" s="126" t="s">
        <v>2294</v>
      </c>
      <c r="L573" s="126" t="s">
        <v>101</v>
      </c>
      <c r="M573" s="126" t="s">
        <v>69</v>
      </c>
      <c r="N573" s="126"/>
      <c r="O573" s="161"/>
      <c r="Q573" s="154"/>
      <c r="R573" s="126"/>
    </row>
    <row r="574" spans="1:20">
      <c r="A574" s="158">
        <f>ROW()-1</f>
        <v>573</v>
      </c>
      <c r="B574" s="138">
        <v>46095</v>
      </c>
      <c r="C574" s="138" t="s">
        <v>2295</v>
      </c>
      <c r="D574" s="126" t="s">
        <v>2215</v>
      </c>
      <c r="E574" s="138" t="s">
        <v>657</v>
      </c>
      <c r="F574" s="126" t="s">
        <v>32</v>
      </c>
      <c r="G574" s="138" t="s">
        <v>697</v>
      </c>
      <c r="H574" s="64">
        <v>9830089876</v>
      </c>
      <c r="I574" s="126" t="s">
        <v>2296</v>
      </c>
      <c r="J574" s="154" t="s">
        <v>81</v>
      </c>
      <c r="K574" s="126" t="s">
        <v>2297</v>
      </c>
      <c r="L574" s="126" t="s">
        <v>101</v>
      </c>
      <c r="M574" s="126" t="s">
        <v>55</v>
      </c>
      <c r="N574" s="126"/>
      <c r="O574" s="161"/>
      <c r="Q574" s="154"/>
      <c r="R574" s="126"/>
    </row>
    <row r="575" spans="1:20">
      <c r="A575" s="126">
        <f>ROW()-1</f>
        <v>574</v>
      </c>
      <c r="B575" s="138">
        <v>46095</v>
      </c>
      <c r="C575" s="126"/>
      <c r="D575" s="126" t="s">
        <v>2298</v>
      </c>
      <c r="E575" s="126" t="s">
        <v>41</v>
      </c>
      <c r="F575" s="126" t="s">
        <v>32</v>
      </c>
      <c r="G575" s="126" t="s">
        <v>697</v>
      </c>
      <c r="H575" s="129">
        <v>7566464807</v>
      </c>
      <c r="I575" s="126"/>
      <c r="J575" s="126" t="s">
        <v>34</v>
      </c>
      <c r="K575" s="126"/>
      <c r="L575" s="126" t="s">
        <v>101</v>
      </c>
      <c r="M575" s="126" t="s">
        <v>69</v>
      </c>
      <c r="N575" s="126"/>
      <c r="O575" s="126"/>
      <c r="P575" s="126"/>
      <c r="Q575" s="154"/>
      <c r="R575" s="126"/>
      <c r="S575" s="126"/>
      <c r="T575" s="126"/>
    </row>
    <row r="576" spans="1:20">
      <c r="A576" s="158">
        <f>ROW()-1</f>
        <v>575</v>
      </c>
      <c r="B576" s="138">
        <v>46095</v>
      </c>
      <c r="C576" s="138" t="s">
        <v>2299</v>
      </c>
      <c r="D576" s="126" t="s">
        <v>759</v>
      </c>
      <c r="E576" s="126" t="s">
        <v>131</v>
      </c>
      <c r="F576" s="126" t="s">
        <v>32</v>
      </c>
      <c r="G576" s="126" t="s">
        <v>697</v>
      </c>
      <c r="H576" s="64">
        <v>9901682997</v>
      </c>
      <c r="I576" s="126" t="s">
        <v>2300</v>
      </c>
      <c r="J576" s="154" t="s">
        <v>272</v>
      </c>
      <c r="K576" t="s">
        <v>2301</v>
      </c>
      <c r="L576" s="126" t="s">
        <v>101</v>
      </c>
      <c r="M576" s="126" t="s">
        <v>69</v>
      </c>
      <c r="N576" s="126"/>
      <c r="O576" s="161"/>
      <c r="Q576" s="154"/>
      <c r="R576" s="126"/>
    </row>
    <row r="577" spans="1:21">
      <c r="A577" s="158">
        <f t="shared" ref="A577:A581" si="16">ROW()-1</f>
        <v>576</v>
      </c>
      <c r="B577" s="138">
        <v>46095</v>
      </c>
      <c r="C577" s="138" t="s">
        <v>2302</v>
      </c>
      <c r="D577" s="126" t="s">
        <v>2303</v>
      </c>
      <c r="E577" s="126" t="s">
        <v>41</v>
      </c>
      <c r="F577" s="126" t="s">
        <v>71</v>
      </c>
      <c r="G577" s="126" t="s">
        <v>212</v>
      </c>
      <c r="H577" s="64">
        <v>9422620543</v>
      </c>
      <c r="I577" s="126" t="s">
        <v>2304</v>
      </c>
      <c r="J577" s="64" t="s">
        <v>272</v>
      </c>
      <c r="K577" s="126" t="s">
        <v>2305</v>
      </c>
      <c r="L577" s="126" t="s">
        <v>101</v>
      </c>
      <c r="M577" s="126" t="s">
        <v>77</v>
      </c>
      <c r="N577" s="126"/>
      <c r="O577" s="161"/>
      <c r="Q577" s="154"/>
      <c r="R577" s="126"/>
    </row>
    <row r="578" spans="1:21">
      <c r="A578" s="158">
        <f>ROW()-1</f>
        <v>577</v>
      </c>
      <c r="B578" s="138">
        <v>46095</v>
      </c>
      <c r="C578" s="171" t="s">
        <v>1609</v>
      </c>
      <c r="D578" s="126" t="s">
        <v>460</v>
      </c>
      <c r="E578" s="126" t="s">
        <v>41</v>
      </c>
      <c r="F578" s="126" t="s">
        <v>2306</v>
      </c>
      <c r="G578" s="129" t="s">
        <v>2307</v>
      </c>
      <c r="H578" s="129"/>
      <c r="I578" s="169" t="s">
        <v>2308</v>
      </c>
      <c r="J578" s="154" t="s">
        <v>34</v>
      </c>
      <c r="K578" s="126" t="s">
        <v>2309</v>
      </c>
      <c r="L578" s="126" t="s">
        <v>54</v>
      </c>
      <c r="M578" s="126" t="s">
        <v>37</v>
      </c>
      <c r="N578" s="126" t="s">
        <v>2310</v>
      </c>
      <c r="O578" s="161">
        <v>46095</v>
      </c>
      <c r="P578" s="83">
        <v>700000</v>
      </c>
      <c r="Q578" s="154" t="s">
        <v>336</v>
      </c>
      <c r="R578" s="126"/>
    </row>
    <row r="579" spans="1:21" ht="30">
      <c r="A579" s="158">
        <f>ROW()-1</f>
        <v>578</v>
      </c>
      <c r="B579" s="138">
        <v>46095</v>
      </c>
      <c r="C579" s="171" t="s">
        <v>2311</v>
      </c>
      <c r="D579" s="126" t="s">
        <v>289</v>
      </c>
      <c r="E579" s="126" t="s">
        <v>41</v>
      </c>
      <c r="F579" s="126" t="s">
        <v>32</v>
      </c>
      <c r="G579" s="147" t="s">
        <v>2312</v>
      </c>
      <c r="H579" s="129"/>
      <c r="I579" s="235" t="s">
        <v>2313</v>
      </c>
      <c r="J579" s="154" t="s">
        <v>34</v>
      </c>
      <c r="K579" s="126" t="s">
        <v>2314</v>
      </c>
      <c r="L579" s="126" t="s">
        <v>122</v>
      </c>
      <c r="M579" s="126" t="s">
        <v>69</v>
      </c>
      <c r="N579" s="126" t="s">
        <v>2315</v>
      </c>
      <c r="O579" s="161">
        <v>46095</v>
      </c>
      <c r="P579" s="83" t="s">
        <v>2316</v>
      </c>
      <c r="Q579" s="154" t="s">
        <v>336</v>
      </c>
      <c r="R579" s="126"/>
    </row>
    <row r="580" spans="1:21" ht="30">
      <c r="A580" s="158">
        <f>ROW()-1</f>
        <v>579</v>
      </c>
      <c r="B580" s="138">
        <v>46095</v>
      </c>
      <c r="C580" s="171" t="s">
        <v>2317</v>
      </c>
      <c r="D580" s="126" t="s">
        <v>2318</v>
      </c>
      <c r="E580" s="126" t="s">
        <v>41</v>
      </c>
      <c r="F580" s="126" t="s">
        <v>71</v>
      </c>
      <c r="G580" s="128" t="s">
        <v>1507</v>
      </c>
      <c r="H580" s="129"/>
      <c r="I580" s="165" t="s">
        <v>2319</v>
      </c>
      <c r="J580" s="154" t="s">
        <v>34</v>
      </c>
      <c r="K580" s="126"/>
      <c r="L580" s="126" t="s">
        <v>54</v>
      </c>
      <c r="M580" s="126" t="s">
        <v>77</v>
      </c>
      <c r="N580" s="126" t="s">
        <v>2320</v>
      </c>
      <c r="O580" s="161">
        <v>46095</v>
      </c>
      <c r="P580" s="213" t="s">
        <v>2321</v>
      </c>
      <c r="Q580" s="154" t="s">
        <v>336</v>
      </c>
      <c r="R580" s="126"/>
    </row>
    <row r="581" spans="1:21">
      <c r="A581" s="158">
        <f t="shared" si="16"/>
        <v>580</v>
      </c>
      <c r="B581" s="138">
        <v>46096</v>
      </c>
      <c r="C581" s="138" t="s">
        <v>2322</v>
      </c>
      <c r="D581" s="138" t="s">
        <v>2323</v>
      </c>
      <c r="E581" s="138" t="s">
        <v>711</v>
      </c>
      <c r="F581" s="138" t="s">
        <v>117</v>
      </c>
      <c r="G581" s="138" t="s">
        <v>2324</v>
      </c>
      <c r="H581" s="64">
        <v>9035545189</v>
      </c>
      <c r="I581" s="126" t="s">
        <v>2325</v>
      </c>
      <c r="J581" s="207" t="s">
        <v>34</v>
      </c>
      <c r="K581" s="126" t="s">
        <v>2326</v>
      </c>
      <c r="L581" s="138" t="s">
        <v>76</v>
      </c>
      <c r="M581" s="138" t="s">
        <v>69</v>
      </c>
      <c r="N581" s="138"/>
      <c r="O581" s="138"/>
      <c r="P581" s="138"/>
      <c r="Q581" s="154"/>
      <c r="R581" s="138"/>
      <c r="S581" s="138"/>
      <c r="T581" s="138"/>
    </row>
    <row r="582" spans="1:21">
      <c r="A582" s="158">
        <f t="shared" ref="A582:A600" si="17">ROW()-1</f>
        <v>581</v>
      </c>
      <c r="B582" s="138">
        <v>46096</v>
      </c>
      <c r="C582" s="171" t="s">
        <v>2327</v>
      </c>
      <c r="D582" s="138" t="s">
        <v>2328</v>
      </c>
      <c r="E582" s="126" t="s">
        <v>206</v>
      </c>
      <c r="F582" s="126" t="s">
        <v>32</v>
      </c>
      <c r="G582" s="138" t="s">
        <v>989</v>
      </c>
      <c r="H582" s="64">
        <v>7303235106</v>
      </c>
      <c r="I582" s="126" t="s">
        <v>2329</v>
      </c>
      <c r="J582" s="154" t="s">
        <v>81</v>
      </c>
      <c r="K582" s="126" t="s">
        <v>2330</v>
      </c>
      <c r="L582" s="126" t="s">
        <v>76</v>
      </c>
      <c r="M582" s="126" t="s">
        <v>55</v>
      </c>
      <c r="N582" s="126"/>
      <c r="O582" s="161"/>
      <c r="Q582" s="154"/>
      <c r="R582" s="126"/>
    </row>
    <row r="583" spans="1:21">
      <c r="A583" s="158">
        <f t="shared" si="17"/>
        <v>582</v>
      </c>
      <c r="B583" s="138">
        <v>46096</v>
      </c>
      <c r="C583" s="171"/>
      <c r="D583" s="126" t="s">
        <v>2331</v>
      </c>
      <c r="E583" s="126" t="s">
        <v>321</v>
      </c>
      <c r="F583" s="126" t="s">
        <v>90</v>
      </c>
      <c r="G583" s="138" t="s">
        <v>2332</v>
      </c>
      <c r="H583" s="64">
        <v>8114520146</v>
      </c>
      <c r="I583" s="128"/>
      <c r="J583" s="154" t="s">
        <v>272</v>
      </c>
      <c r="K583" t="s">
        <v>2333</v>
      </c>
      <c r="L583" s="126" t="s">
        <v>76</v>
      </c>
      <c r="M583" s="126" t="s">
        <v>69</v>
      </c>
      <c r="N583" s="126"/>
      <c r="O583" s="161"/>
      <c r="Q583" s="154"/>
      <c r="R583" s="126"/>
    </row>
    <row r="584" spans="1:21">
      <c r="A584" s="158">
        <f t="shared" si="17"/>
        <v>583</v>
      </c>
      <c r="B584" s="138">
        <v>46096</v>
      </c>
      <c r="C584" s="171"/>
      <c r="D584" s="126" t="s">
        <v>2334</v>
      </c>
      <c r="E584" s="126" t="s">
        <v>711</v>
      </c>
      <c r="F584" s="126" t="s">
        <v>80</v>
      </c>
      <c r="G584" s="138" t="s">
        <v>260</v>
      </c>
      <c r="H584" s="64">
        <v>9902308075</v>
      </c>
      <c r="I584" s="126" t="s">
        <v>2335</v>
      </c>
      <c r="J584" s="154" t="s">
        <v>248</v>
      </c>
      <c r="K584" t="s">
        <v>2336</v>
      </c>
      <c r="L584" s="126" t="s">
        <v>76</v>
      </c>
      <c r="M584" s="126" t="s">
        <v>69</v>
      </c>
      <c r="N584" s="126"/>
      <c r="O584" s="161"/>
      <c r="Q584" s="154"/>
      <c r="R584" s="126"/>
    </row>
    <row r="585" spans="1:21">
      <c r="A585" s="158">
        <f t="shared" si="17"/>
        <v>584</v>
      </c>
      <c r="B585" s="138">
        <v>46096</v>
      </c>
      <c r="C585" s="171" t="s">
        <v>2337</v>
      </c>
      <c r="D585" s="126" t="s">
        <v>2338</v>
      </c>
      <c r="E585" s="126" t="s">
        <v>41</v>
      </c>
      <c r="F585" s="126" t="s">
        <v>80</v>
      </c>
      <c r="G585" s="138" t="s">
        <v>300</v>
      </c>
      <c r="H585" s="64">
        <v>8855074015</v>
      </c>
      <c r="I585" t="s">
        <v>2339</v>
      </c>
      <c r="J585" s="154" t="s">
        <v>81</v>
      </c>
      <c r="L585" s="126" t="s">
        <v>76</v>
      </c>
      <c r="M585" s="126" t="s">
        <v>55</v>
      </c>
      <c r="N585" s="126"/>
      <c r="O585" s="161"/>
      <c r="Q585" s="154"/>
      <c r="R585" s="126"/>
    </row>
    <row r="586" spans="1:21">
      <c r="A586" s="158">
        <f t="shared" si="17"/>
        <v>585</v>
      </c>
      <c r="B586" s="138">
        <v>46097</v>
      </c>
      <c r="C586" s="171" t="s">
        <v>2340</v>
      </c>
      <c r="D586" s="126" t="s">
        <v>2341</v>
      </c>
      <c r="E586" s="126" t="s">
        <v>58</v>
      </c>
      <c r="F586" s="126" t="s">
        <v>80</v>
      </c>
      <c r="G586" s="126" t="s">
        <v>80</v>
      </c>
      <c r="H586" s="64">
        <v>9893031557</v>
      </c>
      <c r="I586" s="128"/>
      <c r="J586" s="154" t="s">
        <v>86</v>
      </c>
      <c r="K586" t="s">
        <v>2342</v>
      </c>
      <c r="L586" s="126" t="s">
        <v>76</v>
      </c>
      <c r="M586" s="126" t="s">
        <v>69</v>
      </c>
      <c r="N586" s="126"/>
      <c r="O586" s="161"/>
      <c r="Q586" s="154"/>
      <c r="R586" s="126"/>
    </row>
    <row r="587" spans="1:21">
      <c r="A587" s="158">
        <f t="shared" si="17"/>
        <v>586</v>
      </c>
      <c r="B587" s="138">
        <v>46097</v>
      </c>
      <c r="C587" s="171" t="s">
        <v>2343</v>
      </c>
      <c r="D587" s="126" t="s">
        <v>2344</v>
      </c>
      <c r="E587" s="126" t="s">
        <v>65</v>
      </c>
      <c r="F587" s="126" t="s">
        <v>71</v>
      </c>
      <c r="G587" s="138" t="s">
        <v>2345</v>
      </c>
      <c r="H587" s="64">
        <v>9912822959</v>
      </c>
      <c r="I587" t="s">
        <v>2346</v>
      </c>
      <c r="J587" s="154" t="s">
        <v>272</v>
      </c>
      <c r="K587" s="126" t="s">
        <v>2347</v>
      </c>
      <c r="L587" s="126" t="s">
        <v>76</v>
      </c>
      <c r="M587" s="126" t="s">
        <v>77</v>
      </c>
      <c r="N587" s="126"/>
      <c r="O587" s="161"/>
      <c r="Q587" s="154"/>
      <c r="R587" s="126"/>
    </row>
    <row r="588" spans="1:21">
      <c r="A588" s="158">
        <f t="shared" si="17"/>
        <v>587</v>
      </c>
      <c r="B588" s="138">
        <v>46097</v>
      </c>
      <c r="C588" s="171" t="s">
        <v>2348</v>
      </c>
      <c r="D588" s="126"/>
      <c r="E588" s="126" t="s">
        <v>191</v>
      </c>
      <c r="F588" s="126" t="s">
        <v>90</v>
      </c>
      <c r="G588" s="138" t="s">
        <v>423</v>
      </c>
      <c r="H588" s="64">
        <v>9861429446</v>
      </c>
      <c r="I588" t="s">
        <v>2349</v>
      </c>
      <c r="J588" s="154" t="s">
        <v>81</v>
      </c>
      <c r="K588" t="s">
        <v>2350</v>
      </c>
      <c r="L588" s="126" t="s">
        <v>76</v>
      </c>
      <c r="M588" s="126" t="s">
        <v>55</v>
      </c>
      <c r="N588" s="126"/>
      <c r="O588" s="161"/>
      <c r="Q588" s="154"/>
      <c r="R588" s="126"/>
    </row>
    <row r="589" spans="1:21">
      <c r="A589" s="158">
        <f t="shared" si="17"/>
        <v>588</v>
      </c>
      <c r="B589" s="138">
        <v>46097</v>
      </c>
      <c r="C589" s="171" t="s">
        <v>2351</v>
      </c>
      <c r="D589" s="126" t="s">
        <v>1289</v>
      </c>
      <c r="E589" s="126" t="s">
        <v>131</v>
      </c>
      <c r="F589" s="126" t="s">
        <v>71</v>
      </c>
      <c r="G589" s="138" t="s">
        <v>2352</v>
      </c>
      <c r="H589" s="64">
        <v>7358598482</v>
      </c>
      <c r="I589" t="s">
        <v>2353</v>
      </c>
      <c r="J589" s="154" t="s">
        <v>81</v>
      </c>
      <c r="K589" s="126" t="s">
        <v>2354</v>
      </c>
      <c r="L589" s="126" t="s">
        <v>76</v>
      </c>
      <c r="M589" s="126" t="s">
        <v>77</v>
      </c>
      <c r="N589" s="126"/>
      <c r="O589" s="161"/>
      <c r="Q589" s="154"/>
      <c r="R589" s="126"/>
    </row>
    <row r="590" spans="1:21">
      <c r="A590" s="158">
        <f t="shared" si="17"/>
        <v>589</v>
      </c>
      <c r="B590" s="138">
        <v>46097</v>
      </c>
      <c r="C590" s="171" t="s">
        <v>2355</v>
      </c>
      <c r="D590" s="126" t="s">
        <v>2356</v>
      </c>
      <c r="E590" s="126" t="s">
        <v>41</v>
      </c>
      <c r="F590" s="126" t="s">
        <v>90</v>
      </c>
      <c r="G590" s="138" t="s">
        <v>2357</v>
      </c>
      <c r="H590" s="129">
        <v>9921246020</v>
      </c>
      <c r="I590" s="147"/>
      <c r="J590" s="154" t="s">
        <v>34</v>
      </c>
      <c r="K590" t="s">
        <v>1431</v>
      </c>
      <c r="L590" s="126" t="s">
        <v>76</v>
      </c>
      <c r="M590" s="126" t="s">
        <v>69</v>
      </c>
      <c r="N590" s="126"/>
      <c r="O590" s="161"/>
      <c r="Q590" s="154"/>
      <c r="R590" s="126"/>
    </row>
    <row r="591" spans="1:21">
      <c r="A591" s="64">
        <f t="shared" si="17"/>
        <v>590</v>
      </c>
      <c r="B591" s="171">
        <v>46098</v>
      </c>
      <c r="C591" s="171" t="s">
        <v>79</v>
      </c>
      <c r="D591" s="171" t="s">
        <v>759</v>
      </c>
      <c r="E591" s="171" t="s">
        <v>711</v>
      </c>
      <c r="F591" s="171" t="s">
        <v>80</v>
      </c>
      <c r="G591" s="171" t="s">
        <v>1019</v>
      </c>
      <c r="H591" s="64">
        <v>7829999972</v>
      </c>
      <c r="I591" s="171"/>
      <c r="J591" s="194" t="s">
        <v>248</v>
      </c>
      <c r="K591" s="171" t="s">
        <v>2358</v>
      </c>
      <c r="L591" s="171" t="s">
        <v>101</v>
      </c>
      <c r="M591" s="171" t="s">
        <v>69</v>
      </c>
      <c r="N591" s="171"/>
      <c r="O591" s="171"/>
      <c r="P591" s="171"/>
      <c r="Q591" s="171"/>
      <c r="R591" s="171"/>
      <c r="S591" s="171"/>
      <c r="T591" s="171"/>
      <c r="U591" s="171"/>
    </row>
    <row r="592" spans="1:21">
      <c r="A592" s="64">
        <f t="shared" si="17"/>
        <v>591</v>
      </c>
      <c r="B592" s="171">
        <v>46098</v>
      </c>
      <c r="C592" s="171" t="s">
        <v>2359</v>
      </c>
      <c r="D592" s="171" t="s">
        <v>2360</v>
      </c>
      <c r="E592" s="171" t="s">
        <v>41</v>
      </c>
      <c r="F592" s="171" t="s">
        <v>32</v>
      </c>
      <c r="G592" s="171" t="s">
        <v>697</v>
      </c>
      <c r="H592" s="64">
        <v>9699445559</v>
      </c>
      <c r="I592" s="171" t="s">
        <v>2361</v>
      </c>
      <c r="J592" s="194" t="s">
        <v>248</v>
      </c>
      <c r="K592" s="171" t="s">
        <v>2362</v>
      </c>
      <c r="L592" s="171" t="s">
        <v>101</v>
      </c>
      <c r="M592" s="171" t="s">
        <v>69</v>
      </c>
      <c r="N592" s="171"/>
      <c r="O592" s="171"/>
      <c r="P592" s="171"/>
      <c r="Q592" s="171"/>
      <c r="R592" s="171"/>
      <c r="S592" s="171"/>
      <c r="T592" s="171"/>
      <c r="U592" s="171"/>
    </row>
    <row r="593" spans="1:18">
      <c r="A593" s="158">
        <f t="shared" si="17"/>
        <v>592</v>
      </c>
      <c r="B593" s="138">
        <v>46098</v>
      </c>
      <c r="C593" s="171" t="s">
        <v>2363</v>
      </c>
      <c r="D593" s="171" t="s">
        <v>2360</v>
      </c>
      <c r="E593" s="171" t="s">
        <v>41</v>
      </c>
      <c r="F593" s="171" t="s">
        <v>32</v>
      </c>
      <c r="G593" s="171" t="s">
        <v>697</v>
      </c>
      <c r="H593" s="64">
        <v>9819922051</v>
      </c>
      <c r="I593" s="128"/>
      <c r="J593" s="154" t="s">
        <v>272</v>
      </c>
      <c r="K593" s="171"/>
      <c r="L593" s="126" t="s">
        <v>101</v>
      </c>
      <c r="M593" s="126" t="s">
        <v>69</v>
      </c>
      <c r="N593" s="126"/>
      <c r="O593" s="161"/>
      <c r="Q593" s="154"/>
      <c r="R593" s="126"/>
    </row>
    <row r="594" spans="1:18">
      <c r="A594" s="158">
        <f t="shared" si="17"/>
        <v>593</v>
      </c>
      <c r="B594" s="138">
        <v>46098</v>
      </c>
      <c r="C594" s="171" t="s">
        <v>2364</v>
      </c>
      <c r="D594" s="126"/>
      <c r="E594" s="126"/>
      <c r="F594" s="126" t="s">
        <v>1423</v>
      </c>
      <c r="G594" s="171" t="s">
        <v>2188</v>
      </c>
      <c r="H594" s="64">
        <v>8308499222</v>
      </c>
      <c r="I594" s="128"/>
      <c r="J594" s="154" t="s">
        <v>81</v>
      </c>
      <c r="K594" s="171" t="s">
        <v>2365</v>
      </c>
      <c r="L594" s="171" t="s">
        <v>101</v>
      </c>
      <c r="M594" s="126" t="s">
        <v>69</v>
      </c>
      <c r="N594" s="126"/>
      <c r="O594" s="161"/>
      <c r="Q594" s="154"/>
      <c r="R594" s="126"/>
    </row>
    <row r="595" spans="1:18">
      <c r="A595" s="158">
        <f t="shared" si="17"/>
        <v>594</v>
      </c>
      <c r="B595" s="138">
        <v>46098</v>
      </c>
      <c r="C595" s="171" t="s">
        <v>2366</v>
      </c>
      <c r="D595" s="171" t="s">
        <v>240</v>
      </c>
      <c r="E595" s="126" t="s">
        <v>84</v>
      </c>
      <c r="F595" s="126" t="s">
        <v>201</v>
      </c>
      <c r="G595" s="171" t="s">
        <v>376</v>
      </c>
      <c r="H595" s="64">
        <v>9825070221</v>
      </c>
      <c r="I595" s="171" t="s">
        <v>2367</v>
      </c>
      <c r="J595" s="154" t="s">
        <v>81</v>
      </c>
      <c r="K595" s="128" t="s">
        <v>2368</v>
      </c>
      <c r="L595" s="126" t="s">
        <v>76</v>
      </c>
      <c r="M595" s="126" t="s">
        <v>69</v>
      </c>
      <c r="N595" s="126"/>
      <c r="O595" s="161"/>
      <c r="Q595" s="154"/>
      <c r="R595" s="126"/>
    </row>
    <row r="596" spans="1:18">
      <c r="A596" s="158">
        <f t="shared" si="17"/>
        <v>595</v>
      </c>
      <c r="B596" s="138">
        <v>46098</v>
      </c>
      <c r="C596" s="171" t="s">
        <v>79</v>
      </c>
      <c r="D596" s="171" t="s">
        <v>909</v>
      </c>
      <c r="E596" s="126" t="s">
        <v>65</v>
      </c>
      <c r="F596" s="126" t="s">
        <v>80</v>
      </c>
      <c r="G596" s="171" t="s">
        <v>300</v>
      </c>
      <c r="H596" s="64">
        <v>7416768587</v>
      </c>
      <c r="I596" s="128"/>
      <c r="J596" s="154" t="s">
        <v>81</v>
      </c>
      <c r="K596" s="221" t="s">
        <v>2369</v>
      </c>
      <c r="L596" s="171" t="s">
        <v>76</v>
      </c>
      <c r="M596" s="126" t="s">
        <v>69</v>
      </c>
      <c r="N596" s="126"/>
      <c r="O596" s="161"/>
      <c r="Q596" s="154"/>
      <c r="R596" s="126"/>
    </row>
    <row r="597" spans="1:18">
      <c r="A597" s="158">
        <f t="shared" si="17"/>
        <v>596</v>
      </c>
      <c r="B597" s="138">
        <v>46098</v>
      </c>
      <c r="C597" s="171" t="s">
        <v>2370</v>
      </c>
      <c r="D597" s="171" t="s">
        <v>584</v>
      </c>
      <c r="E597" s="126" t="s">
        <v>41</v>
      </c>
      <c r="F597" s="126" t="s">
        <v>90</v>
      </c>
      <c r="G597" s="171" t="s">
        <v>132</v>
      </c>
      <c r="H597" s="64">
        <v>8379858298</v>
      </c>
      <c r="I597" s="171" t="s">
        <v>2371</v>
      </c>
      <c r="J597" s="154" t="s">
        <v>248</v>
      </c>
      <c r="K597" s="221" t="s">
        <v>2372</v>
      </c>
      <c r="L597" s="171" t="s">
        <v>76</v>
      </c>
      <c r="M597" s="126" t="s">
        <v>69</v>
      </c>
      <c r="N597" s="126"/>
      <c r="O597" s="161"/>
      <c r="Q597" s="154"/>
      <c r="R597" s="126"/>
    </row>
    <row r="598" spans="1:18">
      <c r="A598" s="158">
        <f t="shared" si="17"/>
        <v>597</v>
      </c>
      <c r="B598" s="138">
        <v>46098</v>
      </c>
      <c r="C598" s="214" t="s">
        <v>2373</v>
      </c>
      <c r="D598" s="126" t="s">
        <v>460</v>
      </c>
      <c r="E598" s="126" t="s">
        <v>41</v>
      </c>
      <c r="F598" s="126" t="s">
        <v>117</v>
      </c>
      <c r="G598" s="129" t="s">
        <v>2374</v>
      </c>
      <c r="H598" s="238" t="s">
        <v>2375</v>
      </c>
      <c r="I598" s="165" t="s">
        <v>2376</v>
      </c>
      <c r="J598" s="154" t="s">
        <v>34</v>
      </c>
      <c r="K598" t="s">
        <v>2377</v>
      </c>
      <c r="L598" s="128" t="s">
        <v>54</v>
      </c>
      <c r="M598" s="126" t="s">
        <v>37</v>
      </c>
      <c r="N598" s="126" t="s">
        <v>2378</v>
      </c>
      <c r="O598" s="161">
        <v>46098</v>
      </c>
      <c r="P598" s="83" t="s">
        <v>2379</v>
      </c>
      <c r="Q598" s="154" t="s">
        <v>336</v>
      </c>
      <c r="R598" s="126"/>
    </row>
    <row r="599" spans="1:18" ht="30">
      <c r="A599" s="158">
        <f t="shared" si="17"/>
        <v>598</v>
      </c>
      <c r="B599" s="138">
        <v>46098</v>
      </c>
      <c r="C599" s="159" t="s">
        <v>2380</v>
      </c>
      <c r="D599" s="126" t="s">
        <v>2381</v>
      </c>
      <c r="E599" s="126" t="s">
        <v>41</v>
      </c>
      <c r="F599" s="126" t="s">
        <v>117</v>
      </c>
      <c r="G599" s="129" t="s">
        <v>2382</v>
      </c>
      <c r="H599" s="147">
        <v>8308005299</v>
      </c>
      <c r="I599" s="169" t="s">
        <v>2383</v>
      </c>
      <c r="J599" s="154" t="s">
        <v>34</v>
      </c>
      <c r="K599" s="224" t="s">
        <v>2384</v>
      </c>
      <c r="L599" s="126" t="s">
        <v>54</v>
      </c>
      <c r="M599" s="126" t="s">
        <v>368</v>
      </c>
      <c r="N599" s="126" t="s">
        <v>2385</v>
      </c>
      <c r="O599" s="161">
        <v>46098</v>
      </c>
      <c r="P599" s="83">
        <v>290000</v>
      </c>
      <c r="Q599" s="154" t="s">
        <v>319</v>
      </c>
      <c r="R599" s="126"/>
    </row>
    <row r="600" spans="1:18">
      <c r="A600" s="158">
        <f t="shared" si="17"/>
        <v>599</v>
      </c>
      <c r="B600" s="138">
        <v>46098</v>
      </c>
      <c r="C600" s="159" t="s">
        <v>2386</v>
      </c>
      <c r="D600" s="126" t="s">
        <v>2387</v>
      </c>
      <c r="E600" s="126" t="s">
        <v>308</v>
      </c>
      <c r="F600" s="126" t="s">
        <v>42</v>
      </c>
      <c r="G600" s="129" t="s">
        <v>2388</v>
      </c>
      <c r="H600" s="129"/>
      <c r="I600" s="165" t="s">
        <v>2389</v>
      </c>
      <c r="J600" s="154" t="s">
        <v>74</v>
      </c>
      <c r="K600" t="s">
        <v>2390</v>
      </c>
      <c r="L600" s="126" t="s">
        <v>54</v>
      </c>
      <c r="M600" s="126" t="s">
        <v>37</v>
      </c>
      <c r="N600" s="126" t="s">
        <v>2391</v>
      </c>
      <c r="O600" s="161">
        <v>46098</v>
      </c>
      <c r="P600" s="83" t="s">
        <v>2392</v>
      </c>
      <c r="Q600" s="154" t="s">
        <v>78</v>
      </c>
      <c r="R600" s="126"/>
    </row>
    <row r="601" spans="1:18">
      <c r="A601" s="158">
        <f t="shared" ref="A601:A603" si="18">ROW()-1</f>
        <v>600</v>
      </c>
      <c r="B601" s="138">
        <v>46098</v>
      </c>
      <c r="C601" s="159" t="s">
        <v>2393</v>
      </c>
      <c r="D601" s="126" t="s">
        <v>46</v>
      </c>
      <c r="E601" s="126" t="s">
        <v>41</v>
      </c>
      <c r="F601" s="126" t="s">
        <v>80</v>
      </c>
      <c r="G601" s="129" t="s">
        <v>2394</v>
      </c>
      <c r="H601" s="129">
        <v>7028366983</v>
      </c>
      <c r="I601" s="165" t="s">
        <v>2395</v>
      </c>
      <c r="J601" s="154" t="s">
        <v>34</v>
      </c>
      <c r="L601" s="126" t="s">
        <v>54</v>
      </c>
      <c r="M601" s="126" t="s">
        <v>368</v>
      </c>
      <c r="N601" s="126" t="s">
        <v>2396</v>
      </c>
      <c r="O601" s="161">
        <v>46098</v>
      </c>
      <c r="P601" s="83" t="s">
        <v>2397</v>
      </c>
      <c r="Q601" s="154" t="s">
        <v>336</v>
      </c>
      <c r="R601" s="126"/>
    </row>
    <row r="602" spans="1:18">
      <c r="A602" s="158">
        <f t="shared" si="18"/>
        <v>601</v>
      </c>
      <c r="B602" s="138">
        <v>46098</v>
      </c>
      <c r="C602" s="159" t="s">
        <v>2398</v>
      </c>
      <c r="D602" s="126" t="s">
        <v>324</v>
      </c>
      <c r="E602" s="126" t="s">
        <v>41</v>
      </c>
      <c r="F602" s="126" t="s">
        <v>42</v>
      </c>
      <c r="G602" s="147" t="s">
        <v>2399</v>
      </c>
      <c r="H602" s="129"/>
      <c r="I602" s="235" t="s">
        <v>2400</v>
      </c>
      <c r="J602" s="1" t="s">
        <v>34</v>
      </c>
      <c r="K602" t="s">
        <v>2401</v>
      </c>
      <c r="L602" s="126" t="s">
        <v>54</v>
      </c>
      <c r="M602" s="126" t="s">
        <v>69</v>
      </c>
      <c r="N602" s="126" t="s">
        <v>2402</v>
      </c>
      <c r="O602" s="161">
        <v>46098</v>
      </c>
      <c r="P602" s="83">
        <v>160000</v>
      </c>
      <c r="Q602" s="154" t="s">
        <v>319</v>
      </c>
      <c r="R602" s="126"/>
    </row>
    <row r="603" spans="1:18">
      <c r="A603" s="158">
        <f t="shared" si="18"/>
        <v>602</v>
      </c>
      <c r="B603" s="138">
        <v>46098</v>
      </c>
      <c r="C603" s="159" t="s">
        <v>2403</v>
      </c>
      <c r="D603" s="126" t="s">
        <v>810</v>
      </c>
      <c r="E603" s="126" t="s">
        <v>41</v>
      </c>
      <c r="F603" s="126" t="s">
        <v>42</v>
      </c>
      <c r="G603" s="129" t="s">
        <v>2404</v>
      </c>
      <c r="H603" s="129"/>
      <c r="I603" s="169" t="s">
        <v>2405</v>
      </c>
      <c r="J603" s="1" t="s">
        <v>34</v>
      </c>
      <c r="K603" t="s">
        <v>2406</v>
      </c>
      <c r="L603" s="126" t="s">
        <v>54</v>
      </c>
      <c r="M603" s="126" t="s">
        <v>37</v>
      </c>
      <c r="N603" s="126" t="s">
        <v>2407</v>
      </c>
      <c r="O603" s="161">
        <v>46098</v>
      </c>
      <c r="P603" s="83">
        <v>125000</v>
      </c>
      <c r="Q603" s="154" t="s">
        <v>336</v>
      </c>
      <c r="R603" s="126"/>
    </row>
    <row r="604" spans="1:18">
      <c r="A604" s="158">
        <f>ROW()-1</f>
        <v>603</v>
      </c>
      <c r="B604" s="138">
        <v>46098</v>
      </c>
      <c r="C604" s="159" t="s">
        <v>2408</v>
      </c>
      <c r="D604" s="126" t="s">
        <v>2409</v>
      </c>
      <c r="E604" s="126" t="s">
        <v>41</v>
      </c>
      <c r="F604" s="126" t="s">
        <v>117</v>
      </c>
      <c r="G604" s="129" t="s">
        <v>2410</v>
      </c>
      <c r="H604" s="129">
        <v>8380062866</v>
      </c>
      <c r="I604" s="169" t="s">
        <v>2411</v>
      </c>
      <c r="J604" s="154" t="s">
        <v>34</v>
      </c>
      <c r="K604" s="215" t="s">
        <v>2412</v>
      </c>
      <c r="L604" s="126" t="s">
        <v>36</v>
      </c>
      <c r="M604" s="126" t="s">
        <v>37</v>
      </c>
      <c r="N604" s="126" t="s">
        <v>2413</v>
      </c>
      <c r="O604" s="161">
        <v>46098</v>
      </c>
      <c r="P604" s="83" t="s">
        <v>2414</v>
      </c>
      <c r="Q604" s="154" t="s">
        <v>336</v>
      </c>
      <c r="R604" s="126"/>
    </row>
    <row r="605" spans="1:18">
      <c r="A605" s="158">
        <f t="shared" ref="A605:A606" si="19">ROW()-1</f>
        <v>604</v>
      </c>
      <c r="B605" s="138">
        <v>46099</v>
      </c>
      <c r="C605" s="159" t="s">
        <v>2415</v>
      </c>
      <c r="D605" s="126" t="s">
        <v>460</v>
      </c>
      <c r="E605" s="126" t="s">
        <v>41</v>
      </c>
      <c r="F605" s="126" t="s">
        <v>201</v>
      </c>
      <c r="G605" s="129" t="s">
        <v>202</v>
      </c>
      <c r="H605" s="129">
        <v>8210109067</v>
      </c>
      <c r="I605" s="165" t="s">
        <v>2416</v>
      </c>
      <c r="J605" s="154" t="s">
        <v>34</v>
      </c>
      <c r="K605" s="215" t="s">
        <v>2417</v>
      </c>
      <c r="L605" s="126" t="s">
        <v>54</v>
      </c>
      <c r="M605" s="126" t="s">
        <v>37</v>
      </c>
      <c r="N605" s="126"/>
      <c r="O605" s="161">
        <v>46098</v>
      </c>
      <c r="P605" s="83" t="s">
        <v>2418</v>
      </c>
      <c r="Q605" s="154" t="s">
        <v>124</v>
      </c>
      <c r="R605" s="126"/>
    </row>
    <row r="606" spans="1:18" ht="30">
      <c r="A606" s="158">
        <f t="shared" si="19"/>
        <v>605</v>
      </c>
      <c r="B606" s="138">
        <v>46099</v>
      </c>
      <c r="C606" s="159" t="s">
        <v>2419</v>
      </c>
      <c r="D606" s="126" t="s">
        <v>46</v>
      </c>
      <c r="E606" s="126" t="s">
        <v>41</v>
      </c>
      <c r="F606" s="126" t="s">
        <v>117</v>
      </c>
      <c r="G606" s="129" t="s">
        <v>2420</v>
      </c>
      <c r="H606" s="129"/>
      <c r="I606" s="132" t="s">
        <v>2421</v>
      </c>
      <c r="J606" s="1" t="s">
        <v>34</v>
      </c>
      <c r="K606" s="212" t="s">
        <v>2422</v>
      </c>
      <c r="L606" s="126" t="s">
        <v>54</v>
      </c>
      <c r="M606" s="126" t="s">
        <v>368</v>
      </c>
      <c r="N606" s="126" t="s">
        <v>2423</v>
      </c>
      <c r="O606" s="161">
        <v>46099</v>
      </c>
      <c r="P606" s="213" t="s">
        <v>2424</v>
      </c>
      <c r="Q606" s="154" t="s">
        <v>38</v>
      </c>
      <c r="R606" s="126"/>
    </row>
    <row r="607" spans="1:18">
      <c r="A607" s="158">
        <f t="shared" ref="A607:A638" si="20">ROW()-1</f>
        <v>606</v>
      </c>
      <c r="B607" s="138">
        <v>46099</v>
      </c>
      <c r="C607" s="159" t="s">
        <v>2425</v>
      </c>
      <c r="D607" s="126" t="s">
        <v>2045</v>
      </c>
      <c r="E607" s="126" t="s">
        <v>41</v>
      </c>
      <c r="F607" s="126" t="s">
        <v>32</v>
      </c>
      <c r="G607" s="129" t="s">
        <v>2426</v>
      </c>
      <c r="H607" s="129" t="s">
        <v>2427</v>
      </c>
      <c r="I607" s="169" t="s">
        <v>2428</v>
      </c>
      <c r="J607" s="154" t="s">
        <v>34</v>
      </c>
      <c r="K607" s="212" t="s">
        <v>2429</v>
      </c>
      <c r="L607" s="126" t="s">
        <v>54</v>
      </c>
      <c r="M607" s="126" t="s">
        <v>37</v>
      </c>
      <c r="N607" s="126" t="s">
        <v>2430</v>
      </c>
      <c r="O607" s="161">
        <v>46099</v>
      </c>
      <c r="P607" s="83" t="s">
        <v>2431</v>
      </c>
      <c r="Q607" s="154" t="s">
        <v>336</v>
      </c>
      <c r="R607" s="126"/>
    </row>
    <row r="608" spans="1:18">
      <c r="A608" s="158">
        <f t="shared" si="20"/>
        <v>607</v>
      </c>
      <c r="B608" s="138">
        <v>46099</v>
      </c>
      <c r="C608" s="159" t="s">
        <v>2432</v>
      </c>
      <c r="D608" s="126" t="s">
        <v>2433</v>
      </c>
      <c r="E608" s="126" t="s">
        <v>41</v>
      </c>
      <c r="F608" s="126" t="s">
        <v>42</v>
      </c>
      <c r="G608" s="129" t="s">
        <v>2434</v>
      </c>
      <c r="H608" s="129"/>
      <c r="I608" s="165" t="s">
        <v>2435</v>
      </c>
      <c r="J608" s="154" t="s">
        <v>34</v>
      </c>
      <c r="K608" s="126" t="s">
        <v>2436</v>
      </c>
      <c r="L608" s="126" t="s">
        <v>122</v>
      </c>
      <c r="M608" s="126" t="s">
        <v>69</v>
      </c>
      <c r="N608" s="126" t="s">
        <v>2437</v>
      </c>
      <c r="O608" s="161">
        <v>46099</v>
      </c>
      <c r="P608" s="83">
        <v>230000</v>
      </c>
      <c r="Q608" s="154" t="s">
        <v>38</v>
      </c>
      <c r="R608" s="126"/>
    </row>
    <row r="609" spans="1:18">
      <c r="A609" s="158">
        <f t="shared" si="20"/>
        <v>608</v>
      </c>
      <c r="B609" s="138">
        <v>46099</v>
      </c>
      <c r="C609" s="159" t="s">
        <v>2438</v>
      </c>
      <c r="D609" s="126" t="s">
        <v>2439</v>
      </c>
      <c r="E609" s="126" t="s">
        <v>41</v>
      </c>
      <c r="F609" s="126" t="s">
        <v>71</v>
      </c>
      <c r="G609" s="129" t="s">
        <v>745</v>
      </c>
      <c r="H609" s="64">
        <v>9158770011</v>
      </c>
      <c r="I609" s="182" t="s">
        <v>2440</v>
      </c>
      <c r="J609" s="154" t="s">
        <v>99</v>
      </c>
      <c r="K609" t="s">
        <v>2441</v>
      </c>
      <c r="L609" s="126" t="s">
        <v>76</v>
      </c>
      <c r="M609" s="126" t="s">
        <v>77</v>
      </c>
      <c r="N609" s="126"/>
      <c r="O609" s="161"/>
      <c r="Q609" s="154"/>
      <c r="R609" s="126"/>
    </row>
    <row r="610" spans="1:18">
      <c r="A610" s="158">
        <f t="shared" si="20"/>
        <v>609</v>
      </c>
      <c r="B610" s="138">
        <v>46099</v>
      </c>
      <c r="C610" s="159" t="s">
        <v>2442</v>
      </c>
      <c r="D610" s="126" t="s">
        <v>2443</v>
      </c>
      <c r="E610" s="126" t="s">
        <v>131</v>
      </c>
      <c r="F610" s="126" t="s">
        <v>80</v>
      </c>
      <c r="G610" s="129" t="s">
        <v>2444</v>
      </c>
      <c r="H610" s="64">
        <v>9884531675</v>
      </c>
      <c r="I610" s="182" t="s">
        <v>2445</v>
      </c>
      <c r="J610" s="154" t="s">
        <v>248</v>
      </c>
      <c r="K610" t="s">
        <v>2446</v>
      </c>
      <c r="L610" s="126" t="s">
        <v>76</v>
      </c>
      <c r="M610" s="126" t="s">
        <v>69</v>
      </c>
      <c r="N610" s="126"/>
      <c r="O610" s="161"/>
      <c r="Q610" s="154"/>
      <c r="R610" s="126"/>
    </row>
    <row r="611" spans="1:18">
      <c r="A611" s="158">
        <f t="shared" si="20"/>
        <v>610</v>
      </c>
      <c r="B611" s="138">
        <v>46099</v>
      </c>
      <c r="C611" s="159" t="s">
        <v>79</v>
      </c>
      <c r="D611" s="126" t="s">
        <v>264</v>
      </c>
      <c r="E611" s="126" t="s">
        <v>41</v>
      </c>
      <c r="F611" s="126" t="s">
        <v>201</v>
      </c>
      <c r="G611" s="129" t="s">
        <v>1381</v>
      </c>
      <c r="H611" s="64">
        <v>9922504871</v>
      </c>
      <c r="I611" s="182" t="s">
        <v>2447</v>
      </c>
      <c r="J611" s="154" t="s">
        <v>86</v>
      </c>
      <c r="K611" t="s">
        <v>2448</v>
      </c>
      <c r="L611" s="126" t="s">
        <v>76</v>
      </c>
      <c r="M611" s="126" t="s">
        <v>69</v>
      </c>
      <c r="N611" s="126"/>
      <c r="O611" s="161"/>
      <c r="Q611" s="154"/>
      <c r="R611" s="126"/>
    </row>
    <row r="612" spans="1:18">
      <c r="A612" s="158">
        <f t="shared" si="20"/>
        <v>611</v>
      </c>
      <c r="B612" s="138">
        <v>46099</v>
      </c>
      <c r="C612" s="159" t="s">
        <v>79</v>
      </c>
      <c r="D612" s="126"/>
      <c r="E612" s="126" t="s">
        <v>41</v>
      </c>
      <c r="F612" s="126" t="s">
        <v>80</v>
      </c>
      <c r="G612" t="s">
        <v>80</v>
      </c>
      <c r="H612" s="64">
        <v>9860794969</v>
      </c>
      <c r="I612" s="128"/>
      <c r="J612" s="154" t="s">
        <v>248</v>
      </c>
      <c r="K612" t="s">
        <v>2449</v>
      </c>
      <c r="L612" s="126" t="s">
        <v>101</v>
      </c>
      <c r="M612" s="126" t="s">
        <v>69</v>
      </c>
      <c r="N612" s="126"/>
      <c r="O612" s="161"/>
      <c r="Q612" s="154"/>
      <c r="R612" s="126"/>
    </row>
    <row r="613" spans="1:18">
      <c r="A613" s="158">
        <f t="shared" si="20"/>
        <v>612</v>
      </c>
      <c r="B613" s="138">
        <v>46099</v>
      </c>
      <c r="C613" s="159" t="s">
        <v>2450</v>
      </c>
      <c r="D613" s="126"/>
      <c r="E613" s="126" t="s">
        <v>41</v>
      </c>
      <c r="F613" s="126" t="s">
        <v>32</v>
      </c>
      <c r="G613" t="s">
        <v>874</v>
      </c>
      <c r="H613" s="64">
        <v>9830139198</v>
      </c>
      <c r="I613" s="182" t="s">
        <v>2451</v>
      </c>
      <c r="J613" s="154" t="s">
        <v>248</v>
      </c>
      <c r="K613" t="s">
        <v>2452</v>
      </c>
      <c r="L613" s="126" t="s">
        <v>101</v>
      </c>
      <c r="M613" s="126" t="s">
        <v>69</v>
      </c>
      <c r="N613" s="126"/>
      <c r="O613" s="161"/>
      <c r="Q613" s="154"/>
      <c r="R613" s="126"/>
    </row>
    <row r="614" spans="1:18">
      <c r="A614" s="158">
        <f t="shared" si="20"/>
        <v>613</v>
      </c>
      <c r="B614" s="138">
        <v>46099</v>
      </c>
      <c r="C614" s="18" t="s">
        <v>79</v>
      </c>
      <c r="D614" s="126" t="s">
        <v>2453</v>
      </c>
      <c r="E614" t="s">
        <v>41</v>
      </c>
      <c r="F614" s="126" t="s">
        <v>32</v>
      </c>
      <c r="G614" t="s">
        <v>2454</v>
      </c>
      <c r="H614" s="64">
        <v>9970661010</v>
      </c>
      <c r="I614" s="182" t="s">
        <v>2455</v>
      </c>
      <c r="J614" s="154" t="s">
        <v>272</v>
      </c>
      <c r="K614" t="s">
        <v>2456</v>
      </c>
      <c r="L614" s="126" t="s">
        <v>101</v>
      </c>
      <c r="M614" s="126" t="s">
        <v>69</v>
      </c>
      <c r="N614" s="126"/>
      <c r="O614" s="161"/>
      <c r="Q614" s="154"/>
      <c r="R614" s="126"/>
    </row>
    <row r="615" spans="1:18">
      <c r="A615" s="158">
        <f t="shared" si="20"/>
        <v>614</v>
      </c>
      <c r="B615" s="138">
        <v>46100</v>
      </c>
      <c r="C615" t="s">
        <v>2457</v>
      </c>
      <c r="D615" s="126" t="s">
        <v>2458</v>
      </c>
      <c r="E615" s="126" t="s">
        <v>41</v>
      </c>
      <c r="F615" s="126" t="s">
        <v>32</v>
      </c>
      <c r="G615" t="s">
        <v>107</v>
      </c>
      <c r="H615" s="129">
        <v>9370424318</v>
      </c>
      <c r="I615" s="182" t="s">
        <v>2459</v>
      </c>
      <c r="J615" s="159" t="s">
        <v>34</v>
      </c>
      <c r="K615" t="s">
        <v>2460</v>
      </c>
      <c r="L615" s="126" t="s">
        <v>101</v>
      </c>
      <c r="M615" s="126" t="s">
        <v>69</v>
      </c>
      <c r="N615" s="126"/>
      <c r="O615" s="161"/>
      <c r="Q615" s="154"/>
      <c r="R615" s="126"/>
    </row>
    <row r="616" spans="1:18" ht="19.5">
      <c r="A616" s="158">
        <f t="shared" si="20"/>
        <v>615</v>
      </c>
      <c r="B616" s="138">
        <v>46100</v>
      </c>
      <c r="C616" t="s">
        <v>2461</v>
      </c>
      <c r="D616" s="126" t="s">
        <v>308</v>
      </c>
      <c r="E616" s="126" t="s">
        <v>308</v>
      </c>
      <c r="F616" s="126" t="s">
        <v>32</v>
      </c>
      <c r="G616" t="s">
        <v>2188</v>
      </c>
      <c r="H616" s="64">
        <v>8696664660</v>
      </c>
      <c r="I616" s="223"/>
      <c r="J616" s="154" t="s">
        <v>248</v>
      </c>
      <c r="K616" t="s">
        <v>2461</v>
      </c>
      <c r="L616" s="126" t="s">
        <v>101</v>
      </c>
      <c r="M616" s="126" t="s">
        <v>69</v>
      </c>
      <c r="N616" s="126"/>
      <c r="O616" s="161"/>
      <c r="Q616" s="154"/>
      <c r="R616" s="126"/>
    </row>
    <row r="617" spans="1:18" ht="19.5">
      <c r="A617" s="158">
        <f t="shared" si="20"/>
        <v>616</v>
      </c>
      <c r="B617" s="138">
        <v>46100</v>
      </c>
      <c r="C617" s="209" t="s">
        <v>79</v>
      </c>
      <c r="D617" s="126"/>
      <c r="E617" s="126"/>
      <c r="F617" s="126" t="s">
        <v>32</v>
      </c>
      <c r="G617" t="s">
        <v>833</v>
      </c>
      <c r="H617" s="64">
        <v>8698081153</v>
      </c>
      <c r="I617" s="223"/>
      <c r="J617" s="159" t="s">
        <v>86</v>
      </c>
      <c r="L617" s="126" t="s">
        <v>101</v>
      </c>
      <c r="M617" s="126" t="s">
        <v>69</v>
      </c>
      <c r="N617" s="126"/>
      <c r="O617" s="161"/>
      <c r="Q617" s="154"/>
      <c r="R617" s="126"/>
    </row>
    <row r="618" spans="1:18">
      <c r="A618" s="158">
        <f t="shared" si="20"/>
        <v>617</v>
      </c>
      <c r="B618" s="138">
        <v>46100</v>
      </c>
      <c r="C618" t="s">
        <v>2462</v>
      </c>
      <c r="D618" t="s">
        <v>2463</v>
      </c>
      <c r="E618" s="126" t="s">
        <v>41</v>
      </c>
      <c r="F618" s="126" t="s">
        <v>42</v>
      </c>
      <c r="G618" t="s">
        <v>2464</v>
      </c>
      <c r="H618" s="64">
        <v>9823115933</v>
      </c>
      <c r="I618" s="182" t="s">
        <v>2465</v>
      </c>
      <c r="J618" s="154" t="s">
        <v>248</v>
      </c>
      <c r="K618" t="s">
        <v>2466</v>
      </c>
      <c r="L618" s="126" t="s">
        <v>101</v>
      </c>
      <c r="M618" s="126" t="s">
        <v>69</v>
      </c>
      <c r="N618" s="126"/>
      <c r="O618" s="161"/>
      <c r="Q618" s="154"/>
      <c r="R618" s="126"/>
    </row>
    <row r="619" spans="1:18">
      <c r="A619" s="158">
        <f t="shared" si="20"/>
        <v>618</v>
      </c>
      <c r="B619" s="138">
        <v>46100</v>
      </c>
      <c r="C619" t="s">
        <v>2467</v>
      </c>
      <c r="D619" t="s">
        <v>111</v>
      </c>
      <c r="E619" s="126" t="s">
        <v>65</v>
      </c>
      <c r="F619" s="126" t="s">
        <v>32</v>
      </c>
      <c r="G619" t="s">
        <v>107</v>
      </c>
      <c r="H619" s="64">
        <v>9353573733</v>
      </c>
      <c r="I619" s="182" t="s">
        <v>2468</v>
      </c>
      <c r="J619" s="154" t="s">
        <v>81</v>
      </c>
      <c r="K619" t="s">
        <v>2469</v>
      </c>
      <c r="L619" s="126" t="s">
        <v>101</v>
      </c>
      <c r="M619" s="126" t="s">
        <v>69</v>
      </c>
      <c r="N619" s="126"/>
      <c r="O619" s="161"/>
      <c r="Q619" s="154"/>
      <c r="R619" s="126"/>
    </row>
    <row r="620" spans="1:18">
      <c r="A620" s="158">
        <f t="shared" si="20"/>
        <v>619</v>
      </c>
      <c r="B620" s="138">
        <v>46100</v>
      </c>
      <c r="C620" t="s">
        <v>2470</v>
      </c>
      <c r="D620" t="s">
        <v>2463</v>
      </c>
      <c r="E620" s="126" t="s">
        <v>41</v>
      </c>
      <c r="F620" s="126" t="s">
        <v>80</v>
      </c>
      <c r="G620" t="s">
        <v>260</v>
      </c>
      <c r="H620" s="64">
        <v>9370694025</v>
      </c>
      <c r="I620" s="126" t="s">
        <v>2471</v>
      </c>
      <c r="J620" s="154" t="s">
        <v>272</v>
      </c>
      <c r="K620" t="s">
        <v>2472</v>
      </c>
      <c r="L620" s="126" t="s">
        <v>101</v>
      </c>
      <c r="M620" s="126" t="s">
        <v>69</v>
      </c>
      <c r="N620" s="126"/>
      <c r="O620" s="161"/>
      <c r="Q620" s="154"/>
      <c r="R620" s="126"/>
    </row>
    <row r="621" spans="1:18">
      <c r="A621" s="158">
        <f t="shared" si="20"/>
        <v>620</v>
      </c>
      <c r="B621" s="138">
        <v>46100</v>
      </c>
      <c r="C621" s="159" t="s">
        <v>79</v>
      </c>
      <c r="D621" t="s">
        <v>2473</v>
      </c>
      <c r="E621" s="126" t="s">
        <v>771</v>
      </c>
      <c r="F621" s="126" t="s">
        <v>90</v>
      </c>
      <c r="G621" t="s">
        <v>2474</v>
      </c>
      <c r="H621" s="64">
        <v>7889018758</v>
      </c>
      <c r="I621" s="180"/>
      <c r="J621" s="154" t="s">
        <v>248</v>
      </c>
      <c r="K621" t="s">
        <v>2475</v>
      </c>
      <c r="L621" s="126" t="s">
        <v>101</v>
      </c>
      <c r="M621" s="126" t="s">
        <v>69</v>
      </c>
      <c r="N621" s="126"/>
      <c r="O621" s="161"/>
      <c r="Q621" s="154"/>
      <c r="R621" s="126"/>
    </row>
    <row r="622" spans="1:18">
      <c r="A622" s="158">
        <f t="shared" si="20"/>
        <v>621</v>
      </c>
      <c r="B622" s="138">
        <v>46100</v>
      </c>
      <c r="C622" s="159" t="s">
        <v>79</v>
      </c>
      <c r="D622" s="126"/>
      <c r="E622" s="126"/>
      <c r="F622" s="126" t="s">
        <v>90</v>
      </c>
      <c r="G622" t="s">
        <v>90</v>
      </c>
      <c r="H622" s="64">
        <v>9914833015</v>
      </c>
      <c r="I622" s="126" t="s">
        <v>1893</v>
      </c>
      <c r="J622" s="154" t="s">
        <v>81</v>
      </c>
      <c r="L622" s="126" t="s">
        <v>101</v>
      </c>
      <c r="M622" s="126" t="s">
        <v>69</v>
      </c>
      <c r="N622" s="126"/>
      <c r="O622" s="161"/>
      <c r="Q622" s="154"/>
      <c r="R622" s="126"/>
    </row>
    <row r="623" spans="1:18">
      <c r="A623" s="158">
        <f t="shared" si="20"/>
        <v>622</v>
      </c>
      <c r="B623" s="138">
        <v>46100</v>
      </c>
      <c r="C623" s="159" t="s">
        <v>79</v>
      </c>
      <c r="D623" t="s">
        <v>407</v>
      </c>
      <c r="E623" s="126" t="s">
        <v>84</v>
      </c>
      <c r="F623" s="126" t="s">
        <v>32</v>
      </c>
      <c r="G623" s="129" t="s">
        <v>1766</v>
      </c>
      <c r="H623" s="129">
        <v>9265324569</v>
      </c>
      <c r="I623" s="252" t="s">
        <v>2476</v>
      </c>
      <c r="J623" s="159" t="s">
        <v>34</v>
      </c>
      <c r="K623" t="s">
        <v>2477</v>
      </c>
      <c r="L623" s="126" t="s">
        <v>101</v>
      </c>
      <c r="M623" s="126" t="s">
        <v>69</v>
      </c>
      <c r="N623" s="126"/>
      <c r="O623" s="161"/>
      <c r="Q623" s="154"/>
      <c r="R623" s="126"/>
    </row>
    <row r="624" spans="1:18">
      <c r="A624" s="158">
        <f t="shared" si="20"/>
        <v>623</v>
      </c>
      <c r="B624" s="138">
        <v>46100</v>
      </c>
      <c r="C624" s="159" t="s">
        <v>79</v>
      </c>
      <c r="D624" t="s">
        <v>1671</v>
      </c>
      <c r="E624" s="126" t="s">
        <v>41</v>
      </c>
      <c r="F624" s="126" t="s">
        <v>90</v>
      </c>
      <c r="G624" t="s">
        <v>1684</v>
      </c>
      <c r="H624" s="157">
        <v>9326736192</v>
      </c>
      <c r="I624" s="128"/>
      <c r="J624" s="154" t="s">
        <v>272</v>
      </c>
      <c r="K624" t="s">
        <v>2478</v>
      </c>
      <c r="L624" s="126" t="s">
        <v>76</v>
      </c>
      <c r="M624" s="126" t="s">
        <v>69</v>
      </c>
      <c r="N624" s="126"/>
      <c r="O624" s="161"/>
      <c r="Q624" s="154"/>
      <c r="R624" s="126"/>
    </row>
    <row r="625" spans="1:18">
      <c r="A625" s="158">
        <f t="shared" si="20"/>
        <v>624</v>
      </c>
      <c r="B625" s="138">
        <v>46101</v>
      </c>
      <c r="C625" s="159" t="s">
        <v>1055</v>
      </c>
      <c r="D625" s="126" t="s">
        <v>2479</v>
      </c>
      <c r="E625" s="128" t="s">
        <v>41</v>
      </c>
      <c r="F625" s="126" t="s">
        <v>117</v>
      </c>
      <c r="G625" s="129" t="s">
        <v>2480</v>
      </c>
      <c r="H625" s="129" t="s">
        <v>2481</v>
      </c>
      <c r="I625" s="129" t="s">
        <v>2482</v>
      </c>
      <c r="J625" s="154" t="s">
        <v>34</v>
      </c>
      <c r="K625" s="215" t="s">
        <v>2483</v>
      </c>
      <c r="L625" s="126" t="s">
        <v>54</v>
      </c>
      <c r="M625" s="126" t="s">
        <v>37</v>
      </c>
      <c r="N625" s="126" t="s">
        <v>2484</v>
      </c>
      <c r="O625" s="161">
        <v>46102</v>
      </c>
      <c r="Q625" s="154" t="s">
        <v>336</v>
      </c>
      <c r="R625" s="126"/>
    </row>
    <row r="626" spans="1:18">
      <c r="A626" s="158">
        <f t="shared" si="20"/>
        <v>625</v>
      </c>
      <c r="B626" s="138">
        <v>46101</v>
      </c>
      <c r="C626" s="159" t="s">
        <v>2485</v>
      </c>
      <c r="D626" s="126" t="s">
        <v>264</v>
      </c>
      <c r="E626" s="128" t="s">
        <v>41</v>
      </c>
      <c r="F626" s="126" t="s">
        <v>117</v>
      </c>
      <c r="G626" s="129" t="s">
        <v>2420</v>
      </c>
      <c r="H626" s="129"/>
      <c r="I626" s="129" t="s">
        <v>1621</v>
      </c>
      <c r="J626" s="154" t="s">
        <v>34</v>
      </c>
      <c r="K626" s="232" t="s">
        <v>1622</v>
      </c>
      <c r="L626" s="126" t="s">
        <v>54</v>
      </c>
      <c r="M626" s="126" t="s">
        <v>368</v>
      </c>
      <c r="N626" s="126" t="s">
        <v>2486</v>
      </c>
      <c r="O626" s="161">
        <v>46103</v>
      </c>
      <c r="Q626" s="154" t="s">
        <v>336</v>
      </c>
      <c r="R626" s="126"/>
    </row>
    <row r="627" spans="1:18">
      <c r="A627" s="158">
        <f t="shared" si="20"/>
        <v>626</v>
      </c>
      <c r="B627" s="138">
        <v>46101</v>
      </c>
      <c r="C627" s="159" t="s">
        <v>2487</v>
      </c>
      <c r="D627" t="s">
        <v>2488</v>
      </c>
      <c r="E627" s="126" t="s">
        <v>131</v>
      </c>
      <c r="F627" s="126" t="s">
        <v>90</v>
      </c>
      <c r="G627" t="s">
        <v>899</v>
      </c>
      <c r="H627" s="157">
        <v>7339420090</v>
      </c>
      <c r="I627" s="64" t="s">
        <v>2489</v>
      </c>
      <c r="J627" s="154" t="s">
        <v>81</v>
      </c>
      <c r="K627" t="s">
        <v>2490</v>
      </c>
      <c r="L627" s="126" t="s">
        <v>76</v>
      </c>
      <c r="M627" s="126" t="s">
        <v>69</v>
      </c>
      <c r="N627" s="126"/>
      <c r="O627" s="161"/>
      <c r="Q627" s="154"/>
      <c r="R627" s="126"/>
    </row>
    <row r="628" spans="1:18">
      <c r="A628" s="158">
        <f t="shared" si="20"/>
        <v>627</v>
      </c>
      <c r="B628" s="138">
        <v>46101</v>
      </c>
      <c r="C628" t="s">
        <v>79</v>
      </c>
      <c r="D628" t="s">
        <v>264</v>
      </c>
      <c r="E628" s="126" t="s">
        <v>41</v>
      </c>
      <c r="F628" s="126" t="s">
        <v>80</v>
      </c>
      <c r="G628" t="s">
        <v>1799</v>
      </c>
      <c r="H628" s="64">
        <v>9309842320</v>
      </c>
      <c r="I628" s="64" t="s">
        <v>2491</v>
      </c>
      <c r="J628" s="154" t="s">
        <v>81</v>
      </c>
      <c r="K628" t="s">
        <v>2492</v>
      </c>
      <c r="L628" s="126" t="s">
        <v>76</v>
      </c>
      <c r="M628" s="126" t="s">
        <v>69</v>
      </c>
      <c r="N628" s="126"/>
      <c r="O628" s="161"/>
      <c r="Q628" s="154"/>
      <c r="R628" s="126"/>
    </row>
    <row r="629" spans="1:18">
      <c r="A629" s="158">
        <f t="shared" si="20"/>
        <v>628</v>
      </c>
      <c r="B629" s="138">
        <v>46101</v>
      </c>
      <c r="C629" s="159" t="s">
        <v>2493</v>
      </c>
      <c r="D629" t="s">
        <v>2494</v>
      </c>
      <c r="E629" s="126" t="s">
        <v>308</v>
      </c>
      <c r="F629" s="126" t="s">
        <v>90</v>
      </c>
      <c r="G629" t="s">
        <v>90</v>
      </c>
      <c r="H629" s="157">
        <v>6377005037</v>
      </c>
      <c r="I629" s="64" t="s">
        <v>2495</v>
      </c>
      <c r="J629" s="154" t="s">
        <v>248</v>
      </c>
      <c r="K629" t="s">
        <v>2496</v>
      </c>
      <c r="L629" s="126" t="s">
        <v>76</v>
      </c>
      <c r="M629" s="126" t="s">
        <v>69</v>
      </c>
      <c r="N629" s="126"/>
      <c r="O629" s="161"/>
      <c r="Q629" s="154"/>
      <c r="R629" s="126"/>
    </row>
    <row r="630" spans="1:18">
      <c r="A630" s="158">
        <f t="shared" si="20"/>
        <v>629</v>
      </c>
      <c r="B630" s="138">
        <v>46101</v>
      </c>
      <c r="C630" s="159" t="s">
        <v>2497</v>
      </c>
      <c r="D630" t="s">
        <v>264</v>
      </c>
      <c r="E630" s="126" t="s">
        <v>41</v>
      </c>
      <c r="F630" s="126" t="s">
        <v>201</v>
      </c>
      <c r="G630" t="s">
        <v>202</v>
      </c>
      <c r="H630" s="157">
        <v>8208567422</v>
      </c>
      <c r="I630" s="64" t="s">
        <v>2498</v>
      </c>
      <c r="J630" s="1" t="s">
        <v>81</v>
      </c>
      <c r="K630" t="s">
        <v>1310</v>
      </c>
      <c r="L630" s="126" t="s">
        <v>76</v>
      </c>
      <c r="M630" s="126" t="s">
        <v>55</v>
      </c>
      <c r="N630" s="126"/>
      <c r="O630" s="161"/>
      <c r="Q630" s="154"/>
      <c r="R630" s="126"/>
    </row>
    <row r="631" spans="1:18">
      <c r="A631" s="158">
        <f t="shared" si="20"/>
        <v>630</v>
      </c>
      <c r="B631" s="138">
        <v>46101</v>
      </c>
      <c r="C631" s="159" t="s">
        <v>2499</v>
      </c>
      <c r="D631" t="s">
        <v>2500</v>
      </c>
      <c r="E631" s="126" t="s">
        <v>41</v>
      </c>
      <c r="F631" s="126" t="s">
        <v>71</v>
      </c>
      <c r="G631" t="s">
        <v>1268</v>
      </c>
      <c r="H631" s="157">
        <v>9665006844</v>
      </c>
      <c r="I631" s="234" t="s">
        <v>2501</v>
      </c>
      <c r="J631" s="1" t="s">
        <v>99</v>
      </c>
      <c r="K631" t="s">
        <v>2499</v>
      </c>
      <c r="L631" s="126" t="s">
        <v>76</v>
      </c>
      <c r="M631" s="126" t="s">
        <v>77</v>
      </c>
      <c r="N631" s="126"/>
      <c r="O631" s="161"/>
      <c r="Q631" s="154"/>
      <c r="R631" s="126"/>
    </row>
    <row r="632" spans="1:18">
      <c r="A632" s="158">
        <f t="shared" si="20"/>
        <v>631</v>
      </c>
      <c r="B632" s="138">
        <v>46101</v>
      </c>
      <c r="C632" t="s">
        <v>2502</v>
      </c>
      <c r="D632" t="s">
        <v>2503</v>
      </c>
      <c r="E632" s="126" t="s">
        <v>131</v>
      </c>
      <c r="F632" s="126" t="s">
        <v>32</v>
      </c>
      <c r="G632" t="s">
        <v>107</v>
      </c>
      <c r="H632" s="157">
        <v>9842171393</v>
      </c>
      <c r="I632" s="252" t="s">
        <v>2504</v>
      </c>
      <c r="J632" s="1" t="s">
        <v>248</v>
      </c>
      <c r="K632" t="s">
        <v>2505</v>
      </c>
      <c r="L632" s="126" t="s">
        <v>101</v>
      </c>
      <c r="M632" s="126" t="s">
        <v>69</v>
      </c>
      <c r="N632" s="126"/>
      <c r="O632" s="161"/>
      <c r="Q632" s="154"/>
      <c r="R632" s="126"/>
    </row>
    <row r="633" spans="1:18">
      <c r="A633" s="158">
        <f t="shared" si="20"/>
        <v>632</v>
      </c>
      <c r="B633" s="138">
        <v>46101</v>
      </c>
      <c r="C633" t="s">
        <v>2506</v>
      </c>
      <c r="D633" t="s">
        <v>2507</v>
      </c>
      <c r="E633" s="126" t="s">
        <v>191</v>
      </c>
      <c r="F633" s="126" t="s">
        <v>32</v>
      </c>
      <c r="G633" t="s">
        <v>107</v>
      </c>
      <c r="H633" s="157">
        <v>9583577044</v>
      </c>
      <c r="I633" s="126" t="s">
        <v>2508</v>
      </c>
      <c r="J633" s="154" t="s">
        <v>272</v>
      </c>
      <c r="K633" t="s">
        <v>2509</v>
      </c>
      <c r="L633" s="126" t="s">
        <v>101</v>
      </c>
      <c r="M633" s="126" t="s">
        <v>69</v>
      </c>
      <c r="N633" s="126"/>
      <c r="O633" s="161"/>
      <c r="Q633" s="154"/>
      <c r="R633" s="126"/>
    </row>
    <row r="634" spans="1:18">
      <c r="A634" s="158">
        <f t="shared" si="20"/>
        <v>633</v>
      </c>
      <c r="B634" s="138">
        <v>46101</v>
      </c>
      <c r="C634" s="159" t="s">
        <v>79</v>
      </c>
      <c r="D634" s="126" t="s">
        <v>2510</v>
      </c>
      <c r="E634" s="126" t="s">
        <v>84</v>
      </c>
      <c r="F634" s="126" t="s">
        <v>90</v>
      </c>
      <c r="G634" s="129" t="s">
        <v>2511</v>
      </c>
      <c r="H634" s="157">
        <v>9662233553</v>
      </c>
      <c r="I634" s="128"/>
      <c r="J634" s="154" t="s">
        <v>248</v>
      </c>
      <c r="K634" t="s">
        <v>2512</v>
      </c>
      <c r="L634" s="126" t="s">
        <v>101</v>
      </c>
      <c r="M634" s="126" t="s">
        <v>69</v>
      </c>
      <c r="N634" s="126"/>
      <c r="O634" s="161"/>
      <c r="Q634" s="154"/>
      <c r="R634" s="126"/>
    </row>
    <row r="635" spans="1:18">
      <c r="A635" s="158">
        <f t="shared" si="20"/>
        <v>634</v>
      </c>
      <c r="B635" s="138">
        <v>46102</v>
      </c>
      <c r="C635" s="159" t="s">
        <v>2513</v>
      </c>
      <c r="D635" t="s">
        <v>2514</v>
      </c>
      <c r="E635" s="126" t="s">
        <v>131</v>
      </c>
      <c r="F635" s="126" t="s">
        <v>80</v>
      </c>
      <c r="G635" s="129" t="s">
        <v>2515</v>
      </c>
      <c r="H635" s="157">
        <v>9500086765</v>
      </c>
      <c r="I635" s="64" t="s">
        <v>2516</v>
      </c>
      <c r="J635" s="154" t="s">
        <v>248</v>
      </c>
      <c r="L635" s="126" t="s">
        <v>76</v>
      </c>
      <c r="M635" s="126" t="s">
        <v>69</v>
      </c>
      <c r="N635" s="126"/>
      <c r="O635" s="161"/>
      <c r="Q635" s="154"/>
      <c r="R635" s="126"/>
    </row>
    <row r="636" spans="1:18">
      <c r="A636" s="158">
        <f t="shared" si="20"/>
        <v>635</v>
      </c>
      <c r="B636" s="138">
        <v>46102</v>
      </c>
      <c r="C636" s="159" t="s">
        <v>2517</v>
      </c>
      <c r="D636" t="s">
        <v>2518</v>
      </c>
      <c r="E636" s="126" t="s">
        <v>84</v>
      </c>
      <c r="F636" s="126" t="s">
        <v>80</v>
      </c>
      <c r="G636" s="129" t="s">
        <v>2519</v>
      </c>
      <c r="H636" s="157">
        <v>9067298517</v>
      </c>
      <c r="I636" s="64" t="s">
        <v>2520</v>
      </c>
      <c r="J636" s="1" t="s">
        <v>248</v>
      </c>
      <c r="K636" t="s">
        <v>2521</v>
      </c>
      <c r="L636" s="126" t="s">
        <v>76</v>
      </c>
      <c r="M636" s="126" t="s">
        <v>69</v>
      </c>
      <c r="N636" s="126"/>
      <c r="O636" s="161"/>
      <c r="Q636" s="154"/>
      <c r="R636" s="126"/>
    </row>
    <row r="637" spans="1:18">
      <c r="A637" s="158">
        <f t="shared" si="20"/>
        <v>636</v>
      </c>
      <c r="B637" s="138">
        <v>46102</v>
      </c>
      <c r="C637" s="159" t="s">
        <v>2467</v>
      </c>
      <c r="D637" s="126" t="s">
        <v>264</v>
      </c>
      <c r="E637" s="126" t="s">
        <v>41</v>
      </c>
      <c r="F637" s="126" t="s">
        <v>71</v>
      </c>
      <c r="G637" s="129" t="s">
        <v>212</v>
      </c>
      <c r="H637" s="157">
        <v>8956557211</v>
      </c>
      <c r="I637" s="128"/>
      <c r="J637" s="154" t="s">
        <v>272</v>
      </c>
      <c r="K637" t="s">
        <v>640</v>
      </c>
      <c r="L637" s="126" t="s">
        <v>76</v>
      </c>
      <c r="M637" s="126" t="s">
        <v>77</v>
      </c>
      <c r="N637" s="126"/>
      <c r="O637" s="161"/>
      <c r="Q637" s="154"/>
      <c r="R637" s="126"/>
    </row>
    <row r="638" spans="1:18">
      <c r="A638" s="158">
        <f t="shared" si="20"/>
        <v>637</v>
      </c>
      <c r="B638" s="138">
        <v>46102</v>
      </c>
      <c r="C638" s="159"/>
      <c r="D638" s="126" t="s">
        <v>111</v>
      </c>
      <c r="E638" s="126" t="s">
        <v>65</v>
      </c>
      <c r="F638" s="126" t="s">
        <v>201</v>
      </c>
      <c r="G638" s="129" t="s">
        <v>2522</v>
      </c>
      <c r="H638" s="157">
        <v>6301528656</v>
      </c>
      <c r="I638" s="128"/>
      <c r="J638" s="154" t="s">
        <v>2523</v>
      </c>
      <c r="K638" t="s">
        <v>1383</v>
      </c>
      <c r="L638" s="126" t="s">
        <v>101</v>
      </c>
      <c r="M638" s="126" t="s">
        <v>37</v>
      </c>
      <c r="N638" s="126"/>
      <c r="O638" s="161"/>
      <c r="Q638" s="154"/>
      <c r="R638" s="126"/>
    </row>
    <row r="639" spans="1:18">
      <c r="A639" s="158">
        <f t="shared" ref="A639:A661" si="21">ROW()-1</f>
        <v>638</v>
      </c>
      <c r="B639" s="138">
        <v>46102</v>
      </c>
      <c r="C639" s="159" t="s">
        <v>2524</v>
      </c>
      <c r="D639" s="126" t="s">
        <v>46</v>
      </c>
      <c r="E639" s="126" t="s">
        <v>41</v>
      </c>
      <c r="F639" s="126" t="s">
        <v>47</v>
      </c>
      <c r="G639" s="129" t="s">
        <v>2525</v>
      </c>
      <c r="H639" s="129"/>
      <c r="I639" s="169" t="s">
        <v>2526</v>
      </c>
      <c r="J639" s="154" t="s">
        <v>34</v>
      </c>
      <c r="L639" s="126" t="s">
        <v>54</v>
      </c>
      <c r="M639" s="126" t="s">
        <v>69</v>
      </c>
      <c r="N639" s="126"/>
      <c r="O639" s="161"/>
      <c r="Q639" s="154"/>
      <c r="R639" s="126"/>
    </row>
    <row r="640" spans="1:18">
      <c r="A640" s="158">
        <f t="shared" si="21"/>
        <v>639</v>
      </c>
      <c r="B640" s="138">
        <v>46102</v>
      </c>
      <c r="C640" s="159" t="s">
        <v>2527</v>
      </c>
      <c r="D640" s="126" t="s">
        <v>46</v>
      </c>
      <c r="E640" s="126" t="s">
        <v>41</v>
      </c>
      <c r="F640" s="126" t="s">
        <v>71</v>
      </c>
      <c r="G640" s="129" t="s">
        <v>2528</v>
      </c>
      <c r="H640" s="129">
        <v>9701346790</v>
      </c>
      <c r="I640" s="165" t="s">
        <v>2529</v>
      </c>
      <c r="J640" s="154" t="s">
        <v>34</v>
      </c>
      <c r="K640" t="s">
        <v>2530</v>
      </c>
      <c r="L640" s="126" t="s">
        <v>54</v>
      </c>
      <c r="M640" s="126" t="s">
        <v>69</v>
      </c>
      <c r="N640" s="126" t="s">
        <v>2531</v>
      </c>
      <c r="O640" s="161">
        <v>46102</v>
      </c>
      <c r="P640" s="83" t="s">
        <v>2532</v>
      </c>
      <c r="Q640" s="154" t="s">
        <v>336</v>
      </c>
      <c r="R640" s="126"/>
    </row>
    <row r="641" spans="1:18">
      <c r="A641" s="158">
        <f t="shared" si="21"/>
        <v>640</v>
      </c>
      <c r="B641" s="138">
        <v>46102</v>
      </c>
      <c r="C641" s="159" t="s">
        <v>2055</v>
      </c>
      <c r="D641" s="126" t="s">
        <v>2533</v>
      </c>
      <c r="E641" s="126" t="s">
        <v>41</v>
      </c>
      <c r="F641" s="126" t="s">
        <v>71</v>
      </c>
      <c r="G641" s="129" t="s">
        <v>2534</v>
      </c>
      <c r="H641" s="129">
        <v>9701346791</v>
      </c>
      <c r="I641" s="165" t="s">
        <v>2535</v>
      </c>
      <c r="J641" s="154" t="s">
        <v>34</v>
      </c>
      <c r="K641" t="s">
        <v>2536</v>
      </c>
      <c r="L641" s="126" t="s">
        <v>54</v>
      </c>
      <c r="M641" s="126" t="s">
        <v>77</v>
      </c>
      <c r="N641" s="126"/>
      <c r="O641" s="161"/>
      <c r="Q641" s="154"/>
      <c r="R641" s="126"/>
    </row>
    <row r="642" spans="1:18">
      <c r="A642" s="158">
        <f t="shared" si="21"/>
        <v>641</v>
      </c>
      <c r="B642" s="138">
        <v>46102</v>
      </c>
      <c r="C642" s="159" t="s">
        <v>1779</v>
      </c>
      <c r="D642" s="126" t="s">
        <v>1780</v>
      </c>
      <c r="E642" s="126" t="s">
        <v>41</v>
      </c>
      <c r="F642" s="126" t="s">
        <v>117</v>
      </c>
      <c r="G642" s="129" t="s">
        <v>2537</v>
      </c>
      <c r="H642" s="129"/>
      <c r="I642" s="129" t="s">
        <v>2538</v>
      </c>
      <c r="J642" s="154" t="s">
        <v>34</v>
      </c>
      <c r="K642" t="s">
        <v>2539</v>
      </c>
      <c r="L642" s="126" t="s">
        <v>54</v>
      </c>
      <c r="M642" s="126" t="s">
        <v>37</v>
      </c>
      <c r="N642" s="159" t="s">
        <v>2540</v>
      </c>
      <c r="O642" s="161">
        <v>46103</v>
      </c>
      <c r="Q642" s="154" t="s">
        <v>336</v>
      </c>
      <c r="R642" s="126"/>
    </row>
    <row r="643" spans="1:18">
      <c r="A643" s="158">
        <f t="shared" si="21"/>
        <v>642</v>
      </c>
      <c r="B643" s="138">
        <v>46102</v>
      </c>
      <c r="C643" s="159" t="s">
        <v>2541</v>
      </c>
      <c r="D643" s="126" t="s">
        <v>2542</v>
      </c>
      <c r="E643" s="126" t="s">
        <v>41</v>
      </c>
      <c r="F643" s="126" t="s">
        <v>2306</v>
      </c>
      <c r="G643" s="129" t="s">
        <v>2543</v>
      </c>
      <c r="H643" s="129"/>
      <c r="I643" s="169" t="s">
        <v>2544</v>
      </c>
      <c r="J643" s="154" t="s">
        <v>34</v>
      </c>
      <c r="K643" t="s">
        <v>2545</v>
      </c>
      <c r="L643" s="126" t="s">
        <v>54</v>
      </c>
      <c r="M643" s="126" t="s">
        <v>37</v>
      </c>
      <c r="N643" s="126" t="s">
        <v>2546</v>
      </c>
      <c r="O643" s="161">
        <v>46103</v>
      </c>
      <c r="P643" s="161" t="s">
        <v>2547</v>
      </c>
      <c r="Q643" s="154" t="s">
        <v>336</v>
      </c>
      <c r="R643" s="126"/>
    </row>
    <row r="644" spans="1:18">
      <c r="A644" s="158">
        <f t="shared" si="21"/>
        <v>643</v>
      </c>
      <c r="B644" s="138">
        <v>46102</v>
      </c>
      <c r="C644" s="159" t="s">
        <v>2548</v>
      </c>
      <c r="D644" s="126" t="s">
        <v>1069</v>
      </c>
      <c r="E644" s="126" t="s">
        <v>41</v>
      </c>
      <c r="F644" s="126" t="s">
        <v>2306</v>
      </c>
      <c r="G644" s="129" t="s">
        <v>2543</v>
      </c>
      <c r="H644" s="239" t="s">
        <v>2549</v>
      </c>
      <c r="I644" s="237" t="s">
        <v>2550</v>
      </c>
      <c r="J644" s="154" t="s">
        <v>34</v>
      </c>
      <c r="K644" s="233" t="s">
        <v>2551</v>
      </c>
      <c r="L644" s="126" t="s">
        <v>54</v>
      </c>
      <c r="M644" s="126" t="s">
        <v>368</v>
      </c>
      <c r="N644" s="126" t="s">
        <v>2552</v>
      </c>
      <c r="O644" s="161">
        <v>46103</v>
      </c>
      <c r="P644" s="213" t="s">
        <v>1320</v>
      </c>
      <c r="Q644" s="154" t="s">
        <v>336</v>
      </c>
      <c r="R644" s="126"/>
    </row>
    <row r="645" spans="1:18">
      <c r="A645" s="158">
        <f t="shared" si="21"/>
        <v>644</v>
      </c>
      <c r="B645" s="138">
        <v>46103</v>
      </c>
      <c r="C645" s="159" t="s">
        <v>2553</v>
      </c>
      <c r="D645" s="126" t="s">
        <v>810</v>
      </c>
      <c r="E645" s="126" t="s">
        <v>41</v>
      </c>
      <c r="F645" s="126" t="s">
        <v>32</v>
      </c>
      <c r="G645" s="129" t="s">
        <v>2554</v>
      </c>
      <c r="H645" s="129"/>
      <c r="I645" s="147"/>
      <c r="J645" s="154" t="s">
        <v>34</v>
      </c>
      <c r="L645" s="126" t="s">
        <v>54</v>
      </c>
      <c r="M645" s="126" t="s">
        <v>37</v>
      </c>
      <c r="N645" s="126"/>
      <c r="O645" s="161"/>
      <c r="Q645" s="154"/>
      <c r="R645" s="126"/>
    </row>
    <row r="646" spans="1:18">
      <c r="A646" s="158">
        <f t="shared" si="21"/>
        <v>645</v>
      </c>
      <c r="B646" s="138">
        <v>46103</v>
      </c>
      <c r="C646" s="159"/>
      <c r="D646" s="126" t="s">
        <v>710</v>
      </c>
      <c r="E646" s="126" t="s">
        <v>711</v>
      </c>
      <c r="F646" s="126" t="s">
        <v>71</v>
      </c>
      <c r="G646" s="129" t="s">
        <v>745</v>
      </c>
      <c r="H646" s="157">
        <v>9600788351</v>
      </c>
      <c r="I646" s="128"/>
      <c r="J646" s="154" t="s">
        <v>81</v>
      </c>
      <c r="K646" t="s">
        <v>2555</v>
      </c>
      <c r="L646" s="126" t="s">
        <v>76</v>
      </c>
      <c r="M646" s="126" t="s">
        <v>77</v>
      </c>
      <c r="N646" s="126"/>
      <c r="O646" s="161"/>
      <c r="Q646" s="154"/>
      <c r="R646" s="126"/>
    </row>
    <row r="647" spans="1:18">
      <c r="A647" s="158">
        <f t="shared" si="21"/>
        <v>646</v>
      </c>
      <c r="B647" s="138">
        <v>46103</v>
      </c>
      <c r="C647" s="159" t="s">
        <v>2556</v>
      </c>
      <c r="D647" t="s">
        <v>2557</v>
      </c>
      <c r="E647" s="126" t="s">
        <v>131</v>
      </c>
      <c r="F647" s="126" t="s">
        <v>71</v>
      </c>
      <c r="G647" s="129" t="s">
        <v>745</v>
      </c>
      <c r="H647" s="157">
        <v>6384937381</v>
      </c>
      <c r="I647" s="64" t="s">
        <v>2558</v>
      </c>
      <c r="J647" s="154" t="s">
        <v>248</v>
      </c>
      <c r="L647" s="126" t="s">
        <v>76</v>
      </c>
      <c r="M647" s="126" t="s">
        <v>77</v>
      </c>
      <c r="N647" s="126"/>
      <c r="O647" s="161"/>
      <c r="Q647" s="154"/>
      <c r="R647" s="126"/>
    </row>
    <row r="648" spans="1:18">
      <c r="A648" s="158">
        <f t="shared" si="21"/>
        <v>647</v>
      </c>
      <c r="B648" s="138">
        <v>46103</v>
      </c>
      <c r="C648" s="159" t="s">
        <v>2559</v>
      </c>
      <c r="D648" t="s">
        <v>2560</v>
      </c>
      <c r="E648" s="126" t="s">
        <v>657</v>
      </c>
      <c r="F648" s="126" t="s">
        <v>90</v>
      </c>
      <c r="G648" s="129" t="s">
        <v>2561</v>
      </c>
      <c r="H648" s="157">
        <v>7719356412</v>
      </c>
      <c r="I648" s="64" t="s">
        <v>2562</v>
      </c>
      <c r="J648" s="154" t="s">
        <v>86</v>
      </c>
      <c r="K648" t="s">
        <v>2563</v>
      </c>
      <c r="L648" s="126" t="s">
        <v>76</v>
      </c>
      <c r="M648" s="126" t="s">
        <v>69</v>
      </c>
      <c r="N648" s="126"/>
      <c r="O648" s="161"/>
      <c r="Q648" s="154"/>
      <c r="R648" s="126"/>
    </row>
    <row r="649" spans="1:18">
      <c r="A649" s="158">
        <f t="shared" si="21"/>
        <v>648</v>
      </c>
      <c r="B649" s="138">
        <v>46103</v>
      </c>
      <c r="C649" s="159"/>
      <c r="D649" t="s">
        <v>264</v>
      </c>
      <c r="E649" s="128" t="s">
        <v>41</v>
      </c>
      <c r="F649" s="126" t="s">
        <v>71</v>
      </c>
      <c r="G649" s="129" t="s">
        <v>212</v>
      </c>
      <c r="H649" s="157">
        <v>8956741901</v>
      </c>
      <c r="I649" s="64" t="s">
        <v>2564</v>
      </c>
      <c r="J649" s="154" t="s">
        <v>99</v>
      </c>
      <c r="K649" t="s">
        <v>2565</v>
      </c>
      <c r="L649" s="126" t="s">
        <v>76</v>
      </c>
      <c r="M649" s="126" t="s">
        <v>77</v>
      </c>
      <c r="N649" s="126"/>
      <c r="O649" s="161"/>
      <c r="Q649" s="154"/>
      <c r="R649" s="126"/>
    </row>
    <row r="650" spans="1:18">
      <c r="A650" s="158">
        <f t="shared" si="21"/>
        <v>649</v>
      </c>
      <c r="B650" s="138">
        <v>46103</v>
      </c>
      <c r="C650" s="159" t="s">
        <v>2566</v>
      </c>
      <c r="D650" s="126" t="s">
        <v>2567</v>
      </c>
      <c r="E650" s="126" t="s">
        <v>41</v>
      </c>
      <c r="F650" s="126" t="s">
        <v>90</v>
      </c>
      <c r="G650" s="129" t="s">
        <v>2568</v>
      </c>
      <c r="H650" s="157">
        <v>8855055506</v>
      </c>
      <c r="I650" s="64" t="s">
        <v>2569</v>
      </c>
      <c r="J650" s="154" t="s">
        <v>81</v>
      </c>
      <c r="K650" t="s">
        <v>2570</v>
      </c>
      <c r="L650" s="126" t="s">
        <v>76</v>
      </c>
      <c r="M650" s="126" t="s">
        <v>69</v>
      </c>
      <c r="N650" s="126"/>
      <c r="O650" s="161"/>
      <c r="Q650" s="154"/>
      <c r="R650" s="126"/>
    </row>
    <row r="651" spans="1:18">
      <c r="A651" s="158">
        <f t="shared" si="21"/>
        <v>650</v>
      </c>
      <c r="B651" s="138">
        <v>46103</v>
      </c>
      <c r="C651" s="159" t="s">
        <v>2571</v>
      </c>
      <c r="D651" s="126" t="s">
        <v>2572</v>
      </c>
      <c r="E651" s="126" t="s">
        <v>41</v>
      </c>
      <c r="F651" s="126" t="s">
        <v>32</v>
      </c>
      <c r="G651" t="s">
        <v>552</v>
      </c>
      <c r="H651" s="157">
        <v>8208391527</v>
      </c>
      <c r="I651" s="64" t="s">
        <v>2573</v>
      </c>
      <c r="J651" s="154" t="s">
        <v>248</v>
      </c>
      <c r="K651" t="s">
        <v>2574</v>
      </c>
      <c r="L651" s="126" t="s">
        <v>76</v>
      </c>
      <c r="M651" s="126" t="s">
        <v>69</v>
      </c>
      <c r="N651" s="126"/>
      <c r="O651" s="161"/>
      <c r="Q651" s="154"/>
      <c r="R651" s="126"/>
    </row>
    <row r="652" spans="1:18">
      <c r="A652" s="158">
        <f t="shared" si="21"/>
        <v>651</v>
      </c>
      <c r="B652" s="138">
        <v>46103</v>
      </c>
      <c r="C652" s="159" t="s">
        <v>2571</v>
      </c>
      <c r="D652" s="126" t="s">
        <v>2575</v>
      </c>
      <c r="E652" s="126" t="s">
        <v>65</v>
      </c>
      <c r="F652" s="126" t="s">
        <v>71</v>
      </c>
      <c r="G652" s="129" t="s">
        <v>72</v>
      </c>
      <c r="H652" s="157">
        <v>9912323490</v>
      </c>
      <c r="I652" s="128"/>
      <c r="J652" s="154" t="s">
        <v>81</v>
      </c>
      <c r="K652" t="s">
        <v>2576</v>
      </c>
      <c r="L652" s="126" t="s">
        <v>76</v>
      </c>
      <c r="M652" s="126" t="s">
        <v>77</v>
      </c>
      <c r="N652" s="126"/>
      <c r="O652" s="161"/>
      <c r="Q652" s="154"/>
      <c r="R652" s="126"/>
    </row>
    <row r="653" spans="1:18">
      <c r="A653" s="158">
        <f t="shared" si="21"/>
        <v>652</v>
      </c>
      <c r="B653" s="138">
        <v>46104</v>
      </c>
      <c r="C653" s="159" t="s">
        <v>2577</v>
      </c>
      <c r="D653" s="126" t="s">
        <v>2578</v>
      </c>
      <c r="E653" s="126" t="s">
        <v>65</v>
      </c>
      <c r="F653" s="126" t="s">
        <v>80</v>
      </c>
      <c r="G653" s="129" t="s">
        <v>1019</v>
      </c>
      <c r="H653" s="157">
        <v>9528115504</v>
      </c>
      <c r="I653" s="128"/>
      <c r="J653" s="154" t="s">
        <v>34</v>
      </c>
      <c r="K653" t="s">
        <v>2579</v>
      </c>
      <c r="L653" s="126" t="s">
        <v>101</v>
      </c>
      <c r="M653" s="126" t="s">
        <v>69</v>
      </c>
      <c r="N653" s="269"/>
      <c r="O653" s="161"/>
      <c r="Q653" s="154"/>
      <c r="R653" s="126"/>
    </row>
    <row r="654" spans="1:18">
      <c r="A654" s="158">
        <f t="shared" si="21"/>
        <v>653</v>
      </c>
      <c r="B654" s="138">
        <v>46104</v>
      </c>
      <c r="C654" s="159"/>
      <c r="D654" s="126"/>
      <c r="E654" s="126"/>
      <c r="F654" s="126" t="s">
        <v>32</v>
      </c>
      <c r="G654" s="129" t="s">
        <v>697</v>
      </c>
      <c r="H654" s="157">
        <v>9380005085</v>
      </c>
      <c r="I654" s="64" t="s">
        <v>2580</v>
      </c>
      <c r="J654" s="154" t="s">
        <v>248</v>
      </c>
      <c r="K654" t="s">
        <v>1291</v>
      </c>
      <c r="L654" s="126" t="s">
        <v>101</v>
      </c>
      <c r="M654" s="126" t="s">
        <v>69</v>
      </c>
      <c r="N654" s="126"/>
      <c r="O654" s="161"/>
      <c r="Q654" s="154"/>
      <c r="R654" s="126"/>
    </row>
    <row r="655" spans="1:18">
      <c r="A655" s="158">
        <f t="shared" si="21"/>
        <v>654</v>
      </c>
      <c r="B655" s="138">
        <v>46104</v>
      </c>
      <c r="C655" s="159" t="s">
        <v>2581</v>
      </c>
      <c r="D655" s="126"/>
      <c r="E655" s="126"/>
      <c r="F655" s="126" t="s">
        <v>71</v>
      </c>
      <c r="G655" s="129" t="s">
        <v>212</v>
      </c>
      <c r="H655" s="157">
        <v>9945091147</v>
      </c>
      <c r="I655" s="64" t="s">
        <v>2582</v>
      </c>
      <c r="J655" s="154" t="s">
        <v>272</v>
      </c>
      <c r="K655" t="s">
        <v>2583</v>
      </c>
      <c r="L655" s="126" t="s">
        <v>76</v>
      </c>
      <c r="M655" s="126" t="s">
        <v>77</v>
      </c>
      <c r="N655" s="126"/>
      <c r="O655" s="161"/>
      <c r="Q655" s="154"/>
      <c r="R655" s="126"/>
    </row>
    <row r="656" spans="1:18">
      <c r="A656" s="158">
        <f t="shared" si="21"/>
        <v>655</v>
      </c>
      <c r="B656" s="138">
        <v>46104</v>
      </c>
      <c r="C656" s="159" t="s">
        <v>2584</v>
      </c>
      <c r="D656" s="126" t="s">
        <v>2585</v>
      </c>
      <c r="E656" s="126" t="s">
        <v>84</v>
      </c>
      <c r="F656" s="126" t="s">
        <v>117</v>
      </c>
      <c r="G656" t="s">
        <v>2586</v>
      </c>
      <c r="H656" s="129"/>
      <c r="I656" s="129" t="s">
        <v>2587</v>
      </c>
      <c r="J656" s="154" t="s">
        <v>34</v>
      </c>
      <c r="K656" t="s">
        <v>2588</v>
      </c>
      <c r="L656" s="126" t="s">
        <v>54</v>
      </c>
      <c r="M656" s="126" t="s">
        <v>69</v>
      </c>
      <c r="N656" s="126" t="s">
        <v>2589</v>
      </c>
      <c r="O656" s="161">
        <v>46103</v>
      </c>
      <c r="P656" s="83" t="s">
        <v>2590</v>
      </c>
      <c r="Q656" s="154" t="s">
        <v>38</v>
      </c>
      <c r="R656" s="126"/>
    </row>
    <row r="657" spans="1:21">
      <c r="A657" s="158">
        <f t="shared" si="21"/>
        <v>656</v>
      </c>
      <c r="B657" s="138">
        <v>46104</v>
      </c>
      <c r="C657" s="159" t="s">
        <v>2591</v>
      </c>
      <c r="D657" s="126" t="s">
        <v>2592</v>
      </c>
      <c r="E657" s="126" t="s">
        <v>58</v>
      </c>
      <c r="F657" s="126" t="s">
        <v>32</v>
      </c>
      <c r="G657" s="129" t="s">
        <v>2593</v>
      </c>
      <c r="H657" s="129">
        <v>9424400502</v>
      </c>
      <c r="I657" s="129" t="s">
        <v>2594</v>
      </c>
      <c r="J657" s="154" t="s">
        <v>34</v>
      </c>
      <c r="K657" t="s">
        <v>2595</v>
      </c>
      <c r="L657" s="126" t="s">
        <v>76</v>
      </c>
      <c r="M657" s="126" t="s">
        <v>69</v>
      </c>
      <c r="N657" s="126"/>
      <c r="O657" s="161"/>
      <c r="Q657" s="154"/>
      <c r="R657" s="126"/>
    </row>
    <row r="658" spans="1:21">
      <c r="A658" s="158">
        <f t="shared" si="21"/>
        <v>657</v>
      </c>
      <c r="B658" s="138">
        <v>46104</v>
      </c>
      <c r="C658" s="159" t="s">
        <v>2266</v>
      </c>
      <c r="D658" s="126" t="s">
        <v>264</v>
      </c>
      <c r="E658" s="126" t="s">
        <v>41</v>
      </c>
      <c r="F658" s="126" t="s">
        <v>71</v>
      </c>
      <c r="G658" s="129" t="s">
        <v>1268</v>
      </c>
      <c r="H658" s="157">
        <v>8766460470</v>
      </c>
      <c r="I658" s="64" t="s">
        <v>2267</v>
      </c>
      <c r="J658" s="154" t="s">
        <v>248</v>
      </c>
      <c r="K658" t="s">
        <v>2268</v>
      </c>
      <c r="L658" s="126" t="s">
        <v>76</v>
      </c>
      <c r="M658" s="126" t="s">
        <v>77</v>
      </c>
      <c r="N658" s="126"/>
      <c r="O658" s="161"/>
      <c r="Q658" s="154"/>
      <c r="R658" s="126"/>
    </row>
    <row r="659" spans="1:21" ht="30">
      <c r="A659" s="158">
        <f t="shared" si="21"/>
        <v>658</v>
      </c>
      <c r="B659" s="138">
        <v>46105</v>
      </c>
      <c r="C659" s="159" t="s">
        <v>2596</v>
      </c>
      <c r="D659" s="126" t="s">
        <v>2597</v>
      </c>
      <c r="E659" s="126" t="s">
        <v>41</v>
      </c>
      <c r="F659" s="126" t="s">
        <v>32</v>
      </c>
      <c r="G659" t="s">
        <v>2312</v>
      </c>
      <c r="H659" s="129"/>
      <c r="I659" s="235" t="s">
        <v>2598</v>
      </c>
      <c r="J659" s="154" t="s">
        <v>34</v>
      </c>
      <c r="L659" s="126" t="s">
        <v>54</v>
      </c>
      <c r="M659" s="126" t="s">
        <v>69</v>
      </c>
      <c r="N659" s="126" t="s">
        <v>2599</v>
      </c>
      <c r="O659" s="161">
        <v>46106</v>
      </c>
      <c r="P659" s="83" t="s">
        <v>2600</v>
      </c>
      <c r="Q659" s="154" t="s">
        <v>336</v>
      </c>
      <c r="R659" s="126"/>
    </row>
    <row r="660" spans="1:21">
      <c r="A660" s="158">
        <f t="shared" si="21"/>
        <v>659</v>
      </c>
      <c r="B660" s="138">
        <v>46105</v>
      </c>
      <c r="C660" s="159"/>
      <c r="D660" s="126"/>
      <c r="E660" s="126"/>
      <c r="F660" s="126" t="s">
        <v>32</v>
      </c>
      <c r="G660" t="s">
        <v>2312</v>
      </c>
      <c r="H660" s="157">
        <v>9012840651</v>
      </c>
      <c r="I660" s="174"/>
      <c r="J660" s="154" t="s">
        <v>81</v>
      </c>
      <c r="L660" s="126" t="s">
        <v>101</v>
      </c>
      <c r="M660" s="126" t="s">
        <v>69</v>
      </c>
      <c r="N660" s="126"/>
      <c r="O660" s="161"/>
      <c r="Q660" s="154"/>
      <c r="R660" s="126"/>
    </row>
    <row r="661" spans="1:21">
      <c r="A661" s="158">
        <f t="shared" si="21"/>
        <v>660</v>
      </c>
      <c r="B661" s="138">
        <v>46105</v>
      </c>
      <c r="C661" s="159"/>
      <c r="D661" s="126" t="s">
        <v>2601</v>
      </c>
      <c r="E661" s="126" t="s">
        <v>206</v>
      </c>
      <c r="F661" s="126" t="s">
        <v>32</v>
      </c>
      <c r="G661" t="s">
        <v>2312</v>
      </c>
      <c r="H661" s="157">
        <v>9336708967</v>
      </c>
      <c r="I661" s="174"/>
      <c r="J661" s="154" t="s">
        <v>272</v>
      </c>
      <c r="K661" t="s">
        <v>2602</v>
      </c>
      <c r="L661" s="126" t="s">
        <v>101</v>
      </c>
      <c r="M661" s="126" t="s">
        <v>69</v>
      </c>
      <c r="N661" s="126"/>
      <c r="O661" s="161"/>
      <c r="Q661" s="154"/>
      <c r="R661" s="126"/>
    </row>
    <row r="662" spans="1:21">
      <c r="A662" s="158">
        <f t="shared" ref="A662:A663" si="22">ROW()-1</f>
        <v>661</v>
      </c>
      <c r="B662" s="138">
        <v>46105</v>
      </c>
      <c r="C662" s="159" t="s">
        <v>2603</v>
      </c>
      <c r="D662" s="126" t="s">
        <v>2604</v>
      </c>
      <c r="E662" s="126" t="s">
        <v>171</v>
      </c>
      <c r="F662" s="126" t="s">
        <v>80</v>
      </c>
      <c r="G662" s="129" t="s">
        <v>300</v>
      </c>
      <c r="H662" s="157">
        <v>8858276215</v>
      </c>
      <c r="I662" s="128"/>
      <c r="J662" s="154" t="s">
        <v>34</v>
      </c>
      <c r="K662" t="s">
        <v>2605</v>
      </c>
      <c r="L662" s="126" t="s">
        <v>76</v>
      </c>
      <c r="M662" s="126" t="s">
        <v>69</v>
      </c>
      <c r="N662" s="126"/>
      <c r="O662" s="161"/>
      <c r="Q662" s="154"/>
      <c r="R662" s="126"/>
    </row>
    <row r="663" spans="1:21">
      <c r="A663" s="158">
        <f t="shared" si="22"/>
        <v>662</v>
      </c>
      <c r="B663" s="138">
        <v>46105</v>
      </c>
      <c r="C663" s="159"/>
      <c r="D663" s="126" t="s">
        <v>264</v>
      </c>
      <c r="E663" s="126" t="s">
        <v>41</v>
      </c>
      <c r="F663" s="126" t="s">
        <v>71</v>
      </c>
      <c r="G663" s="129" t="s">
        <v>1268</v>
      </c>
      <c r="H663" s="157">
        <v>8446882898</v>
      </c>
      <c r="I663" s="64" t="s">
        <v>2606</v>
      </c>
      <c r="J663" s="1" t="s">
        <v>248</v>
      </c>
      <c r="K663" t="s">
        <v>2607</v>
      </c>
      <c r="L663" s="126" t="s">
        <v>76</v>
      </c>
      <c r="M663" s="126" t="s">
        <v>77</v>
      </c>
      <c r="N663" s="126"/>
      <c r="O663" s="161"/>
      <c r="Q663" s="154"/>
      <c r="R663" s="126"/>
    </row>
    <row r="664" spans="1:21">
      <c r="A664" s="158">
        <f t="shared" ref="A664:A668" si="23">ROW()-1</f>
        <v>663</v>
      </c>
      <c r="B664" s="138">
        <v>46105</v>
      </c>
      <c r="C664" s="159"/>
      <c r="D664" s="126" t="s">
        <v>2608</v>
      </c>
      <c r="E664" s="126" t="s">
        <v>206</v>
      </c>
      <c r="F664" s="126" t="s">
        <v>71</v>
      </c>
      <c r="G664" s="129" t="s">
        <v>2609</v>
      </c>
      <c r="H664" s="157">
        <v>8858418876</v>
      </c>
      <c r="I664" s="128"/>
      <c r="J664" s="1" t="s">
        <v>81</v>
      </c>
      <c r="K664" s="159" t="s">
        <v>2610</v>
      </c>
      <c r="L664" s="126" t="s">
        <v>76</v>
      </c>
      <c r="M664" s="126" t="s">
        <v>77</v>
      </c>
      <c r="N664" s="126"/>
      <c r="O664" s="161"/>
      <c r="Q664" s="154"/>
      <c r="R664" s="126"/>
    </row>
    <row r="665" spans="1:21">
      <c r="A665" s="158">
        <f t="shared" si="23"/>
        <v>664</v>
      </c>
      <c r="B665" s="138">
        <v>46105</v>
      </c>
      <c r="C665" s="159" t="s">
        <v>2611</v>
      </c>
      <c r="D665" s="126" t="s">
        <v>2612</v>
      </c>
      <c r="E665" s="126" t="s">
        <v>711</v>
      </c>
      <c r="F665" s="126" t="s">
        <v>71</v>
      </c>
      <c r="G665" s="129" t="s">
        <v>1448</v>
      </c>
      <c r="H665" s="157">
        <v>7411365669</v>
      </c>
      <c r="I665" s="126" t="s">
        <v>2613</v>
      </c>
      <c r="J665" s="1" t="s">
        <v>272</v>
      </c>
      <c r="K665" s="159" t="s">
        <v>2614</v>
      </c>
      <c r="L665" s="126" t="s">
        <v>76</v>
      </c>
      <c r="M665" s="126" t="s">
        <v>77</v>
      </c>
      <c r="N665" s="126"/>
      <c r="O665" s="161"/>
      <c r="Q665" s="154"/>
      <c r="R665" s="126"/>
    </row>
    <row r="666" spans="1:21">
      <c r="A666" s="158">
        <f t="shared" si="23"/>
        <v>665</v>
      </c>
      <c r="B666" s="138">
        <v>46105</v>
      </c>
      <c r="C666" s="159" t="s">
        <v>2615</v>
      </c>
      <c r="D666" s="126" t="s">
        <v>2616</v>
      </c>
      <c r="E666" s="126" t="s">
        <v>84</v>
      </c>
      <c r="F666" s="126" t="s">
        <v>71</v>
      </c>
      <c r="G666" s="126" t="s">
        <v>212</v>
      </c>
      <c r="H666" s="157">
        <v>9106629740</v>
      </c>
      <c r="I666" s="126" t="s">
        <v>2617</v>
      </c>
      <c r="J666" s="1" t="s">
        <v>248</v>
      </c>
      <c r="L666" s="126" t="s">
        <v>76</v>
      </c>
      <c r="M666" s="126" t="s">
        <v>77</v>
      </c>
      <c r="N666" s="126"/>
      <c r="O666" s="161"/>
      <c r="Q666" s="154"/>
      <c r="R666" s="126"/>
    </row>
    <row r="667" spans="1:21" ht="11.25" customHeight="1">
      <c r="A667" s="157">
        <f t="shared" si="23"/>
        <v>666</v>
      </c>
      <c r="B667" s="138">
        <v>46105</v>
      </c>
      <c r="C667" s="147" t="s">
        <v>2618</v>
      </c>
      <c r="D667" s="157" t="s">
        <v>2619</v>
      </c>
      <c r="E667" s="157"/>
      <c r="F667" s="147" t="s">
        <v>71</v>
      </c>
      <c r="G667" s="147" t="s">
        <v>126</v>
      </c>
      <c r="H667" s="157">
        <v>9906183277</v>
      </c>
      <c r="I667" s="126" t="s">
        <v>2620</v>
      </c>
      <c r="J667" s="157" t="s">
        <v>81</v>
      </c>
      <c r="K667" s="157"/>
      <c r="L667" s="147" t="s">
        <v>76</v>
      </c>
      <c r="M667" s="147" t="s">
        <v>77</v>
      </c>
      <c r="N667" s="157"/>
      <c r="O667" s="157"/>
      <c r="P667" s="157"/>
      <c r="Q667" s="157"/>
      <c r="R667" s="157"/>
      <c r="S667" s="157"/>
      <c r="T667" s="157"/>
      <c r="U667" s="157"/>
    </row>
    <row r="668" spans="1:21" ht="15.75" customHeight="1">
      <c r="A668" s="158">
        <f t="shared" si="23"/>
        <v>667</v>
      </c>
      <c r="B668" s="138">
        <v>46106</v>
      </c>
      <c r="C668" s="159" t="s">
        <v>448</v>
      </c>
      <c r="D668" s="128" t="s">
        <v>449</v>
      </c>
      <c r="E668" s="126" t="s">
        <v>41</v>
      </c>
      <c r="F668" s="126" t="s">
        <v>42</v>
      </c>
      <c r="G668" s="126" t="s">
        <v>2621</v>
      </c>
      <c r="H668" s="64">
        <v>9881929797</v>
      </c>
      <c r="I668" s="126" t="s">
        <v>451</v>
      </c>
      <c r="J668" s="1" t="s">
        <v>81</v>
      </c>
      <c r="K668" s="159" t="s">
        <v>452</v>
      </c>
      <c r="L668" s="126" t="s">
        <v>76</v>
      </c>
      <c r="M668" s="126" t="s">
        <v>69</v>
      </c>
      <c r="N668" s="126"/>
      <c r="O668" s="161"/>
      <c r="Q668" s="154"/>
      <c r="R668" s="126"/>
    </row>
    <row r="669" spans="1:21" ht="15.75" customHeight="1">
      <c r="A669" s="158">
        <f t="shared" ref="A669:A700" si="24">ROW()-1</f>
        <v>668</v>
      </c>
      <c r="B669" s="138">
        <v>46106</v>
      </c>
      <c r="C669" s="147" t="s">
        <v>2622</v>
      </c>
      <c r="D669" s="128" t="s">
        <v>2623</v>
      </c>
      <c r="E669" s="126" t="s">
        <v>206</v>
      </c>
      <c r="F669" s="126" t="s">
        <v>90</v>
      </c>
      <c r="G669" s="126" t="s">
        <v>423</v>
      </c>
      <c r="H669" s="64">
        <v>9818629125</v>
      </c>
      <c r="I669" s="126" t="s">
        <v>2624</v>
      </c>
      <c r="J669" s="154" t="s">
        <v>86</v>
      </c>
      <c r="K669" s="159" t="s">
        <v>2625</v>
      </c>
      <c r="L669" s="126" t="s">
        <v>76</v>
      </c>
      <c r="M669" s="126" t="s">
        <v>69</v>
      </c>
      <c r="N669" s="126"/>
      <c r="O669" s="161"/>
      <c r="Q669" s="154"/>
      <c r="R669" s="126"/>
    </row>
    <row r="670" spans="1:21" ht="15.75" customHeight="1">
      <c r="A670" s="158">
        <f t="shared" si="24"/>
        <v>669</v>
      </c>
      <c r="B670" s="138">
        <v>46106</v>
      </c>
      <c r="D670" s="18" t="s">
        <v>2626</v>
      </c>
      <c r="E670" s="126" t="s">
        <v>308</v>
      </c>
      <c r="F670" s="147" t="s">
        <v>71</v>
      </c>
      <c r="G670" s="126" t="s">
        <v>2091</v>
      </c>
      <c r="H670" s="64">
        <v>9929484727</v>
      </c>
      <c r="I670" s="126" t="s">
        <v>2627</v>
      </c>
      <c r="J670" s="208" t="s">
        <v>272</v>
      </c>
      <c r="K670" s="159" t="s">
        <v>2628</v>
      </c>
      <c r="L670" s="126" t="s">
        <v>76</v>
      </c>
      <c r="M670" s="126" t="s">
        <v>77</v>
      </c>
      <c r="N670" s="126"/>
      <c r="O670" s="161"/>
      <c r="Q670" s="154"/>
      <c r="R670" s="126"/>
    </row>
    <row r="671" spans="1:21" ht="15.75" customHeight="1">
      <c r="A671" s="158">
        <f t="shared" si="24"/>
        <v>670</v>
      </c>
      <c r="B671" s="138">
        <v>46106</v>
      </c>
      <c r="C671" s="159" t="s">
        <v>2629</v>
      </c>
      <c r="D671" s="128" t="s">
        <v>2630</v>
      </c>
      <c r="E671" s="126" t="s">
        <v>41</v>
      </c>
      <c r="F671" s="126" t="s">
        <v>201</v>
      </c>
      <c r="G671" s="126" t="s">
        <v>202</v>
      </c>
      <c r="H671" s="64">
        <v>9011001396</v>
      </c>
      <c r="I671" s="126" t="s">
        <v>2631</v>
      </c>
      <c r="J671" s="154" t="s">
        <v>2523</v>
      </c>
      <c r="K671" s="159" t="s">
        <v>2632</v>
      </c>
      <c r="L671" s="126" t="s">
        <v>76</v>
      </c>
      <c r="M671" s="126" t="s">
        <v>37</v>
      </c>
      <c r="N671" s="126"/>
      <c r="O671" s="161"/>
      <c r="Q671" s="154"/>
      <c r="R671" s="126"/>
    </row>
    <row r="672" spans="1:21">
      <c r="A672" s="158">
        <f t="shared" si="24"/>
        <v>671</v>
      </c>
      <c r="B672" s="138">
        <v>46106</v>
      </c>
      <c r="C672" s="159" t="s">
        <v>2548</v>
      </c>
      <c r="D672" s="126" t="s">
        <v>2633</v>
      </c>
      <c r="E672" s="126" t="s">
        <v>41</v>
      </c>
      <c r="F672" s="126" t="s">
        <v>32</v>
      </c>
      <c r="G672" s="129" t="s">
        <v>2634</v>
      </c>
      <c r="H672" s="243" t="s">
        <v>2621</v>
      </c>
      <c r="I672" s="237" t="s">
        <v>2635</v>
      </c>
      <c r="J672" s="154" t="s">
        <v>34</v>
      </c>
      <c r="K672" t="s">
        <v>2636</v>
      </c>
      <c r="L672" s="126" t="s">
        <v>54</v>
      </c>
      <c r="M672" s="126" t="s">
        <v>368</v>
      </c>
      <c r="N672" s="126" t="s">
        <v>2637</v>
      </c>
      <c r="O672" s="161">
        <v>46108</v>
      </c>
      <c r="P672" s="83">
        <v>750000</v>
      </c>
      <c r="Q672" s="154" t="s">
        <v>336</v>
      </c>
      <c r="R672" s="126"/>
    </row>
    <row r="673" spans="1:18" ht="30">
      <c r="A673" s="158">
        <f t="shared" si="24"/>
        <v>672</v>
      </c>
      <c r="B673" s="138">
        <v>46106</v>
      </c>
      <c r="C673" s="159" t="s">
        <v>2638</v>
      </c>
      <c r="D673" s="126" t="s">
        <v>490</v>
      </c>
      <c r="E673" s="126" t="s">
        <v>41</v>
      </c>
      <c r="F673" s="126" t="s">
        <v>71</v>
      </c>
      <c r="G673" s="129" t="s">
        <v>2639</v>
      </c>
      <c r="H673" s="64"/>
      <c r="I673" s="180" t="s">
        <v>2640</v>
      </c>
      <c r="J673" s="154" t="s">
        <v>99</v>
      </c>
      <c r="K673" s="193" t="s">
        <v>2641</v>
      </c>
      <c r="L673" s="126" t="s">
        <v>54</v>
      </c>
      <c r="M673" s="126" t="s">
        <v>77</v>
      </c>
      <c r="N673" s="126" t="s">
        <v>2642</v>
      </c>
      <c r="O673" s="161">
        <v>46108</v>
      </c>
      <c r="P673" s="213" t="s">
        <v>2643</v>
      </c>
      <c r="Q673" s="154" t="s">
        <v>145</v>
      </c>
      <c r="R673" s="126"/>
    </row>
    <row r="674" spans="1:18">
      <c r="A674" s="158">
        <f t="shared" si="24"/>
        <v>673</v>
      </c>
      <c r="B674" s="138">
        <v>46106</v>
      </c>
      <c r="C674" s="159" t="s">
        <v>2644</v>
      </c>
      <c r="D674" s="126" t="s">
        <v>1780</v>
      </c>
      <c r="E674" s="126" t="s">
        <v>41</v>
      </c>
      <c r="F674" s="126" t="s">
        <v>32</v>
      </c>
      <c r="G674" s="129" t="s">
        <v>2645</v>
      </c>
      <c r="H674" s="64"/>
      <c r="I674" s="126" t="s">
        <v>2646</v>
      </c>
      <c r="J674" s="154" t="s">
        <v>34</v>
      </c>
      <c r="K674" t="s">
        <v>2647</v>
      </c>
      <c r="L674" s="126" t="s">
        <v>54</v>
      </c>
      <c r="M674" s="126" t="s">
        <v>368</v>
      </c>
      <c r="N674" s="126"/>
      <c r="O674" s="161"/>
      <c r="Q674" s="154" t="s">
        <v>336</v>
      </c>
      <c r="R674" s="126"/>
    </row>
    <row r="675" spans="1:18" ht="19.5">
      <c r="A675" s="158">
        <f t="shared" si="24"/>
        <v>674</v>
      </c>
      <c r="B675" s="138">
        <v>46107</v>
      </c>
      <c r="C675" s="159" t="s">
        <v>2648</v>
      </c>
      <c r="D675" s="126" t="s">
        <v>337</v>
      </c>
      <c r="E675" s="126" t="s">
        <v>41</v>
      </c>
      <c r="F675" s="126" t="s">
        <v>117</v>
      </c>
      <c r="G675" s="129" t="s">
        <v>715</v>
      </c>
      <c r="H675" s="64">
        <v>9820881656</v>
      </c>
      <c r="I675" s="126" t="s">
        <v>2649</v>
      </c>
      <c r="J675" s="154" t="s">
        <v>86</v>
      </c>
      <c r="K675" t="s">
        <v>2650</v>
      </c>
      <c r="L675" s="126" t="s">
        <v>101</v>
      </c>
      <c r="M675" s="126" t="s">
        <v>69</v>
      </c>
      <c r="N675" s="260"/>
      <c r="O675" s="161"/>
      <c r="Q675" s="154"/>
      <c r="R675" s="126"/>
    </row>
    <row r="676" spans="1:18" ht="19.5">
      <c r="A676" s="158">
        <f t="shared" si="24"/>
        <v>675</v>
      </c>
      <c r="B676" s="138">
        <v>46107</v>
      </c>
      <c r="C676" s="159"/>
      <c r="D676" s="126"/>
      <c r="E676" s="126"/>
      <c r="F676" s="126" t="s">
        <v>32</v>
      </c>
      <c r="G676" s="129" t="s">
        <v>2651</v>
      </c>
      <c r="H676" s="64">
        <v>8087332565</v>
      </c>
      <c r="I676" s="260"/>
      <c r="J676" s="154" t="s">
        <v>86</v>
      </c>
      <c r="K676" t="s">
        <v>2652</v>
      </c>
      <c r="L676" s="126" t="s">
        <v>101</v>
      </c>
      <c r="M676" s="126" t="s">
        <v>69</v>
      </c>
      <c r="N676" s="126"/>
      <c r="O676" s="161"/>
      <c r="Q676" s="154"/>
      <c r="R676" s="126"/>
    </row>
    <row r="677" spans="1:18">
      <c r="A677" s="158">
        <f t="shared" si="24"/>
        <v>676</v>
      </c>
      <c r="B677" s="138">
        <v>46107</v>
      </c>
      <c r="C677" s="159" t="s">
        <v>2653</v>
      </c>
      <c r="D677" s="126" t="s">
        <v>337</v>
      </c>
      <c r="E677" s="126" t="s">
        <v>41</v>
      </c>
      <c r="F677" s="126" t="s">
        <v>71</v>
      </c>
      <c r="G677" s="129" t="s">
        <v>2654</v>
      </c>
      <c r="H677" s="64">
        <v>7738897130</v>
      </c>
      <c r="I677" s="126" t="s">
        <v>2655</v>
      </c>
      <c r="J677" s="154" t="s">
        <v>2523</v>
      </c>
      <c r="K677" t="s">
        <v>2656</v>
      </c>
      <c r="L677" s="126" t="s">
        <v>101</v>
      </c>
      <c r="M677" s="126" t="s">
        <v>77</v>
      </c>
      <c r="N677" s="126"/>
      <c r="O677" s="161"/>
      <c r="Q677" s="154"/>
      <c r="R677" s="126"/>
    </row>
    <row r="678" spans="1:18" ht="19.5" customHeight="1">
      <c r="A678" s="158">
        <f t="shared" si="24"/>
        <v>677</v>
      </c>
      <c r="B678" s="138">
        <v>46108</v>
      </c>
      <c r="C678" s="209" t="s">
        <v>2657</v>
      </c>
      <c r="D678" s="126" t="s">
        <v>2658</v>
      </c>
      <c r="E678" s="126" t="s">
        <v>41</v>
      </c>
      <c r="F678" s="126" t="s">
        <v>71</v>
      </c>
      <c r="G678" s="129" t="s">
        <v>1750</v>
      </c>
      <c r="H678" s="64"/>
      <c r="I678" s="237" t="s">
        <v>2659</v>
      </c>
      <c r="J678" s="154" t="s">
        <v>34</v>
      </c>
      <c r="K678" t="s">
        <v>2660</v>
      </c>
      <c r="L678" s="126" t="s">
        <v>54</v>
      </c>
      <c r="M678" s="126" t="s">
        <v>37</v>
      </c>
      <c r="N678" s="126" t="s">
        <v>2661</v>
      </c>
      <c r="O678" s="161">
        <v>46108</v>
      </c>
      <c r="P678" s="83" t="s">
        <v>2662</v>
      </c>
      <c r="Q678" s="154" t="s">
        <v>336</v>
      </c>
      <c r="R678" s="126"/>
    </row>
    <row r="679" spans="1:18" ht="19.5" customHeight="1">
      <c r="A679" s="158">
        <f t="shared" si="24"/>
        <v>678</v>
      </c>
      <c r="B679" s="138">
        <v>46108</v>
      </c>
      <c r="C679" s="138" t="s">
        <v>2663</v>
      </c>
      <c r="D679" s="128" t="s">
        <v>2663</v>
      </c>
      <c r="E679" s="126" t="s">
        <v>41</v>
      </c>
      <c r="F679" s="126" t="s">
        <v>201</v>
      </c>
      <c r="G679" s="129" t="s">
        <v>2664</v>
      </c>
      <c r="H679" s="157">
        <v>7506419978</v>
      </c>
      <c r="I679" s="237" t="s">
        <v>2665</v>
      </c>
      <c r="J679" s="154" t="s">
        <v>86</v>
      </c>
      <c r="K679" t="s">
        <v>2666</v>
      </c>
      <c r="L679" s="126" t="s">
        <v>76</v>
      </c>
      <c r="M679" s="126" t="s">
        <v>69</v>
      </c>
      <c r="N679" s="126"/>
      <c r="O679" s="161"/>
      <c r="Q679" s="154"/>
      <c r="R679" s="126"/>
    </row>
    <row r="680" spans="1:18" ht="19.5" customHeight="1">
      <c r="A680" s="158">
        <f t="shared" si="24"/>
        <v>679</v>
      </c>
      <c r="B680" s="138">
        <v>46108</v>
      </c>
      <c r="C680" s="159" t="s">
        <v>2667</v>
      </c>
      <c r="D680" s="128"/>
      <c r="E680" s="126" t="s">
        <v>41</v>
      </c>
      <c r="F680" s="126" t="s">
        <v>117</v>
      </c>
      <c r="G680" s="129" t="s">
        <v>2668</v>
      </c>
      <c r="H680" s="157">
        <v>9552571566</v>
      </c>
      <c r="I680" s="257" t="s">
        <v>2669</v>
      </c>
      <c r="J680" s="154" t="s">
        <v>272</v>
      </c>
      <c r="K680" t="s">
        <v>2670</v>
      </c>
      <c r="L680" s="126" t="s">
        <v>76</v>
      </c>
      <c r="M680" s="126" t="s">
        <v>69</v>
      </c>
      <c r="N680" s="126"/>
      <c r="O680" s="161"/>
      <c r="Q680" s="154"/>
      <c r="R680" s="126"/>
    </row>
    <row r="681" spans="1:18" ht="19.5" customHeight="1">
      <c r="A681" s="158">
        <f t="shared" si="24"/>
        <v>680</v>
      </c>
      <c r="B681" s="138">
        <v>46108</v>
      </c>
      <c r="C681" s="159" t="s">
        <v>2671</v>
      </c>
      <c r="D681" s="128" t="s">
        <v>2672</v>
      </c>
      <c r="E681" s="126" t="s">
        <v>84</v>
      </c>
      <c r="F681" s="126" t="s">
        <v>32</v>
      </c>
      <c r="G681" s="129" t="s">
        <v>697</v>
      </c>
      <c r="H681" s="157">
        <v>9408385724</v>
      </c>
      <c r="I681" s="237" t="s">
        <v>2673</v>
      </c>
      <c r="J681" s="154" t="s">
        <v>81</v>
      </c>
      <c r="K681" t="s">
        <v>2674</v>
      </c>
      <c r="L681" s="126" t="s">
        <v>101</v>
      </c>
      <c r="M681" s="126" t="s">
        <v>69</v>
      </c>
      <c r="N681" s="126"/>
      <c r="O681" s="161"/>
      <c r="Q681" s="154"/>
      <c r="R681" s="126"/>
    </row>
    <row r="682" spans="1:18" ht="19.5" customHeight="1">
      <c r="A682" s="158">
        <f t="shared" si="24"/>
        <v>681</v>
      </c>
      <c r="B682" s="138">
        <v>46108</v>
      </c>
      <c r="C682" s="245"/>
      <c r="D682" s="126" t="s">
        <v>2675</v>
      </c>
      <c r="E682" s="126" t="s">
        <v>41</v>
      </c>
      <c r="F682" s="126" t="s">
        <v>71</v>
      </c>
      <c r="G682" s="129" t="s">
        <v>212</v>
      </c>
      <c r="H682" s="64">
        <v>9309885984</v>
      </c>
      <c r="I682" s="237" t="s">
        <v>2676</v>
      </c>
      <c r="J682" s="154" t="s">
        <v>248</v>
      </c>
      <c r="K682" s="245" t="s">
        <v>2677</v>
      </c>
      <c r="L682" s="126" t="s">
        <v>76</v>
      </c>
      <c r="M682" s="126" t="s">
        <v>77</v>
      </c>
      <c r="N682" s="126"/>
      <c r="O682" s="161"/>
      <c r="Q682" s="154"/>
      <c r="R682" s="126"/>
    </row>
    <row r="683" spans="1:18" ht="19.5" customHeight="1">
      <c r="A683" s="158">
        <f t="shared" si="24"/>
        <v>682</v>
      </c>
      <c r="B683" s="138">
        <v>46108</v>
      </c>
      <c r="C683" s="159" t="s">
        <v>2678</v>
      </c>
      <c r="D683" s="18" t="s">
        <v>2679</v>
      </c>
      <c r="E683" s="126" t="s">
        <v>41</v>
      </c>
      <c r="F683" s="126" t="s">
        <v>47</v>
      </c>
      <c r="G683" s="129" t="s">
        <v>2680</v>
      </c>
      <c r="H683" s="64">
        <v>9324064055</v>
      </c>
      <c r="I683" s="237" t="s">
        <v>2681</v>
      </c>
      <c r="J683" s="154" t="s">
        <v>272</v>
      </c>
      <c r="K683" s="246" t="s">
        <v>2682</v>
      </c>
      <c r="L683" s="126" t="s">
        <v>76</v>
      </c>
      <c r="M683" s="126" t="s">
        <v>69</v>
      </c>
      <c r="N683" s="126"/>
      <c r="O683" s="161"/>
      <c r="Q683" s="154"/>
      <c r="R683" s="126"/>
    </row>
    <row r="684" spans="1:18">
      <c r="A684" s="158">
        <f t="shared" si="24"/>
        <v>683</v>
      </c>
      <c r="B684" s="138">
        <v>46109</v>
      </c>
      <c r="C684" s="159" t="s">
        <v>2683</v>
      </c>
      <c r="D684" s="126" t="s">
        <v>2684</v>
      </c>
      <c r="E684" s="126" t="s">
        <v>41</v>
      </c>
      <c r="F684" s="126" t="s">
        <v>32</v>
      </c>
      <c r="G684" s="129" t="s">
        <v>2685</v>
      </c>
      <c r="H684" s="64"/>
      <c r="I684" s="237" t="s">
        <v>2686</v>
      </c>
      <c r="J684" s="154" t="s">
        <v>34</v>
      </c>
      <c r="K684" t="s">
        <v>2687</v>
      </c>
      <c r="L684" s="126" t="s">
        <v>54</v>
      </c>
      <c r="M684" s="126" t="s">
        <v>69</v>
      </c>
      <c r="N684" s="126" t="s">
        <v>2688</v>
      </c>
      <c r="O684" s="161">
        <v>46109</v>
      </c>
      <c r="P684" s="83" t="s">
        <v>2689</v>
      </c>
      <c r="Q684" s="154" t="s">
        <v>336</v>
      </c>
      <c r="R684" s="126"/>
    </row>
    <row r="685" spans="1:18" ht="17.25" customHeight="1">
      <c r="A685" s="158">
        <f t="shared" si="24"/>
        <v>684</v>
      </c>
      <c r="B685" s="138">
        <v>46109</v>
      </c>
      <c r="C685" s="159" t="s">
        <v>2690</v>
      </c>
      <c r="D685" s="18" t="s">
        <v>2272</v>
      </c>
      <c r="E685" s="126" t="s">
        <v>131</v>
      </c>
      <c r="F685" s="126" t="s">
        <v>90</v>
      </c>
      <c r="G685" s="129" t="s">
        <v>423</v>
      </c>
      <c r="H685" s="157">
        <v>9943377899</v>
      </c>
      <c r="I685" s="237"/>
      <c r="J685" s="154" t="s">
        <v>81</v>
      </c>
      <c r="L685" s="126" t="s">
        <v>76</v>
      </c>
      <c r="M685" s="126" t="s">
        <v>69</v>
      </c>
      <c r="N685" s="126"/>
      <c r="O685" s="161"/>
      <c r="Q685" s="154"/>
      <c r="R685" s="126"/>
    </row>
    <row r="686" spans="1:18">
      <c r="A686" s="158">
        <f t="shared" si="24"/>
        <v>685</v>
      </c>
      <c r="B686" s="138">
        <v>46109</v>
      </c>
      <c r="C686" s="159"/>
      <c r="D686" s="126" t="s">
        <v>264</v>
      </c>
      <c r="E686" s="126" t="s">
        <v>41</v>
      </c>
      <c r="F686" s="126" t="s">
        <v>80</v>
      </c>
      <c r="G686" s="129" t="s">
        <v>2691</v>
      </c>
      <c r="H686" s="64">
        <v>9850862409</v>
      </c>
      <c r="I686" s="237" t="s">
        <v>2692</v>
      </c>
      <c r="J686" s="154" t="s">
        <v>248</v>
      </c>
      <c r="K686" t="s">
        <v>2693</v>
      </c>
      <c r="L686" s="126" t="s">
        <v>76</v>
      </c>
      <c r="M686" s="126" t="s">
        <v>69</v>
      </c>
      <c r="N686" s="126"/>
      <c r="O686" s="161"/>
      <c r="Q686" s="154"/>
      <c r="R686" s="126"/>
    </row>
    <row r="687" spans="1:18">
      <c r="A687" s="158">
        <f t="shared" si="24"/>
        <v>686</v>
      </c>
      <c r="B687" s="138">
        <v>46109</v>
      </c>
      <c r="C687" s="159" t="s">
        <v>2694</v>
      </c>
      <c r="D687" s="126" t="s">
        <v>274</v>
      </c>
      <c r="E687" s="126" t="s">
        <v>84</v>
      </c>
      <c r="F687" s="126" t="s">
        <v>80</v>
      </c>
      <c r="G687" s="129" t="s">
        <v>2691</v>
      </c>
      <c r="H687" s="64">
        <v>7226917777</v>
      </c>
      <c r="I687" s="237" t="s">
        <v>2695</v>
      </c>
      <c r="J687" s="154" t="s">
        <v>272</v>
      </c>
      <c r="K687" t="s">
        <v>2696</v>
      </c>
      <c r="L687" s="126" t="s">
        <v>76</v>
      </c>
      <c r="M687" s="126" t="s">
        <v>69</v>
      </c>
      <c r="N687" s="126"/>
      <c r="O687" s="161"/>
      <c r="Q687" s="154"/>
      <c r="R687" s="126"/>
    </row>
    <row r="688" spans="1:18">
      <c r="A688" s="158">
        <f t="shared" si="24"/>
        <v>687</v>
      </c>
      <c r="B688" s="138">
        <v>46109</v>
      </c>
      <c r="C688" s="159" t="s">
        <v>2697</v>
      </c>
      <c r="D688" s="126" t="s">
        <v>2698</v>
      </c>
      <c r="E688" s="126" t="s">
        <v>41</v>
      </c>
      <c r="F688" s="126" t="s">
        <v>90</v>
      </c>
      <c r="G688" s="129" t="s">
        <v>423</v>
      </c>
      <c r="H688" s="64">
        <v>9960367575</v>
      </c>
      <c r="I688" s="237" t="s">
        <v>2699</v>
      </c>
      <c r="J688" s="154" t="s">
        <v>272</v>
      </c>
      <c r="K688" t="s">
        <v>2700</v>
      </c>
      <c r="L688" s="126" t="s">
        <v>76</v>
      </c>
      <c r="M688" s="126" t="s">
        <v>69</v>
      </c>
      <c r="N688" s="126"/>
      <c r="O688" s="161"/>
      <c r="Q688" s="154"/>
      <c r="R688" s="126"/>
    </row>
    <row r="689" spans="1:18">
      <c r="A689" s="158">
        <f t="shared" si="24"/>
        <v>688</v>
      </c>
      <c r="B689" s="138">
        <v>46109</v>
      </c>
      <c r="C689" s="159" t="s">
        <v>2701</v>
      </c>
      <c r="D689" s="126" t="s">
        <v>460</v>
      </c>
      <c r="E689" s="128" t="s">
        <v>41</v>
      </c>
      <c r="F689" s="128" t="s">
        <v>42</v>
      </c>
      <c r="G689" s="129" t="s">
        <v>2702</v>
      </c>
      <c r="H689" s="64"/>
      <c r="I689" s="254" t="s">
        <v>1154</v>
      </c>
      <c r="J689" s="154" t="s">
        <v>34</v>
      </c>
      <c r="K689" t="s">
        <v>2703</v>
      </c>
      <c r="L689" s="126" t="s">
        <v>54</v>
      </c>
      <c r="M689" s="126" t="s">
        <v>77</v>
      </c>
      <c r="N689" s="126"/>
      <c r="O689" s="161">
        <v>46110</v>
      </c>
      <c r="P689" s="83">
        <v>29000</v>
      </c>
      <c r="Q689" s="154"/>
      <c r="R689" s="126"/>
    </row>
    <row r="690" spans="1:18">
      <c r="A690" s="158">
        <f t="shared" si="24"/>
        <v>689</v>
      </c>
      <c r="B690" s="138">
        <v>46109</v>
      </c>
      <c r="C690" s="159" t="s">
        <v>2704</v>
      </c>
      <c r="D690" s="126" t="s">
        <v>2705</v>
      </c>
      <c r="E690" s="126" t="s">
        <v>41</v>
      </c>
      <c r="F690" s="126" t="s">
        <v>32</v>
      </c>
      <c r="G690" s="129" t="s">
        <v>2706</v>
      </c>
      <c r="H690" s="64"/>
      <c r="I690" s="237" t="s">
        <v>2707</v>
      </c>
      <c r="J690" s="154" t="s">
        <v>34</v>
      </c>
      <c r="L690" s="126" t="s">
        <v>54</v>
      </c>
      <c r="M690" s="126" t="s">
        <v>55</v>
      </c>
      <c r="N690" s="126" t="s">
        <v>2708</v>
      </c>
      <c r="O690" s="161">
        <v>46109</v>
      </c>
      <c r="P690" s="83" t="s">
        <v>2709</v>
      </c>
      <c r="Q690" s="154" t="s">
        <v>336</v>
      </c>
      <c r="R690" s="126"/>
    </row>
    <row r="691" spans="1:18">
      <c r="A691" s="158">
        <f t="shared" si="24"/>
        <v>690</v>
      </c>
      <c r="B691" s="138">
        <v>46109</v>
      </c>
      <c r="C691" s="159" t="s">
        <v>2044</v>
      </c>
      <c r="D691" s="126" t="s">
        <v>1780</v>
      </c>
      <c r="E691" s="126" t="s">
        <v>41</v>
      </c>
      <c r="F691" s="126" t="s">
        <v>42</v>
      </c>
      <c r="G691" s="129" t="s">
        <v>2710</v>
      </c>
      <c r="H691" s="64"/>
      <c r="I691" s="240" t="s">
        <v>2711</v>
      </c>
      <c r="J691" s="154" t="s">
        <v>34</v>
      </c>
      <c r="K691" t="s">
        <v>1784</v>
      </c>
      <c r="L691" s="126" t="s">
        <v>54</v>
      </c>
      <c r="M691" s="126" t="s">
        <v>368</v>
      </c>
      <c r="N691" s="126"/>
      <c r="O691" s="161"/>
      <c r="Q691" s="154" t="s">
        <v>336</v>
      </c>
      <c r="R691" s="126"/>
    </row>
    <row r="692" spans="1:18">
      <c r="A692" s="158">
        <f t="shared" si="24"/>
        <v>691</v>
      </c>
      <c r="B692" s="138">
        <v>46109</v>
      </c>
      <c r="C692" s="159" t="s">
        <v>2712</v>
      </c>
      <c r="D692" s="128" t="s">
        <v>2713</v>
      </c>
      <c r="E692" s="126" t="s">
        <v>41</v>
      </c>
      <c r="F692" s="126" t="s">
        <v>117</v>
      </c>
      <c r="G692" s="129" t="s">
        <v>2714</v>
      </c>
      <c r="H692" s="64"/>
      <c r="I692" s="191" t="s">
        <v>2715</v>
      </c>
      <c r="J692" s="154" t="s">
        <v>34</v>
      </c>
      <c r="K692" s="240" t="s">
        <v>2716</v>
      </c>
      <c r="L692" s="126" t="s">
        <v>54</v>
      </c>
      <c r="M692" s="126" t="s">
        <v>37</v>
      </c>
      <c r="N692" s="126" t="s">
        <v>1884</v>
      </c>
      <c r="O692" s="161"/>
      <c r="Q692" s="154" t="s">
        <v>336</v>
      </c>
      <c r="R692" s="126"/>
    </row>
    <row r="693" spans="1:18">
      <c r="A693" s="158">
        <f t="shared" si="24"/>
        <v>692</v>
      </c>
      <c r="B693" s="138">
        <v>46109</v>
      </c>
      <c r="C693" s="159" t="s">
        <v>2717</v>
      </c>
      <c r="D693" s="128" t="s">
        <v>2713</v>
      </c>
      <c r="E693" s="126" t="s">
        <v>41</v>
      </c>
      <c r="F693" s="126" t="s">
        <v>90</v>
      </c>
      <c r="G693" s="129" t="s">
        <v>2718</v>
      </c>
      <c r="H693" s="64">
        <v>7206393228</v>
      </c>
      <c r="I693" s="145"/>
      <c r="J693" s="154" t="s">
        <v>99</v>
      </c>
      <c r="K693" s="240"/>
      <c r="L693" s="128" t="s">
        <v>76</v>
      </c>
      <c r="M693" s="126" t="s">
        <v>368</v>
      </c>
      <c r="N693" s="126"/>
      <c r="O693" s="161"/>
      <c r="Q693" s="154"/>
      <c r="R693" s="126"/>
    </row>
    <row r="694" spans="1:18">
      <c r="A694" s="158">
        <f t="shared" si="24"/>
        <v>693</v>
      </c>
      <c r="B694" s="138">
        <v>46109</v>
      </c>
      <c r="C694" s="138" t="s">
        <v>2719</v>
      </c>
      <c r="D694" s="126" t="s">
        <v>2719</v>
      </c>
      <c r="E694" s="126" t="s">
        <v>41</v>
      </c>
      <c r="F694" s="126" t="s">
        <v>42</v>
      </c>
      <c r="G694" s="129" t="s">
        <v>2720</v>
      </c>
      <c r="H694" s="64">
        <v>8459586648</v>
      </c>
      <c r="I694" s="237" t="s">
        <v>2721</v>
      </c>
      <c r="J694" s="154" t="s">
        <v>272</v>
      </c>
      <c r="K694" s="240" t="s">
        <v>2722</v>
      </c>
      <c r="L694" s="126" t="s">
        <v>76</v>
      </c>
      <c r="M694" s="126" t="s">
        <v>69</v>
      </c>
      <c r="N694" s="126"/>
      <c r="O694" s="161"/>
      <c r="Q694" s="154" t="s">
        <v>336</v>
      </c>
      <c r="R694" s="126"/>
    </row>
    <row r="695" spans="1:18">
      <c r="A695" s="158">
        <f t="shared" si="24"/>
        <v>694</v>
      </c>
      <c r="B695" s="138">
        <v>46109</v>
      </c>
      <c r="C695" s="171"/>
      <c r="D695" s="126" t="s">
        <v>2723</v>
      </c>
      <c r="E695" s="126" t="s">
        <v>131</v>
      </c>
      <c r="F695" s="126" t="s">
        <v>80</v>
      </c>
      <c r="G695" s="129" t="s">
        <v>2030</v>
      </c>
      <c r="H695" s="64">
        <v>8139062621</v>
      </c>
      <c r="I695" s="261"/>
      <c r="J695" s="154" t="s">
        <v>34</v>
      </c>
      <c r="K695" s="240"/>
      <c r="L695" s="126" t="s">
        <v>101</v>
      </c>
      <c r="M695" s="126" t="s">
        <v>69</v>
      </c>
      <c r="N695" s="126"/>
      <c r="O695" s="161"/>
      <c r="Q695" s="154"/>
      <c r="R695" s="126"/>
    </row>
    <row r="696" spans="1:18" ht="30">
      <c r="A696" s="158">
        <f t="shared" si="24"/>
        <v>695</v>
      </c>
      <c r="B696" s="138">
        <v>46110</v>
      </c>
      <c r="C696" s="159" t="s">
        <v>2724</v>
      </c>
      <c r="D696" s="126" t="s">
        <v>468</v>
      </c>
      <c r="E696" s="126" t="s">
        <v>65</v>
      </c>
      <c r="F696" s="126" t="s">
        <v>117</v>
      </c>
      <c r="G696" s="129" t="s">
        <v>2725</v>
      </c>
      <c r="H696" s="64"/>
      <c r="I696" s="174" t="s">
        <v>2726</v>
      </c>
      <c r="J696" s="154" t="s">
        <v>34</v>
      </c>
      <c r="L696" s="126" t="s">
        <v>54</v>
      </c>
      <c r="M696" s="126" t="s">
        <v>368</v>
      </c>
      <c r="N696" s="126" t="s">
        <v>2727</v>
      </c>
      <c r="O696" s="161"/>
      <c r="Q696" s="154" t="s">
        <v>336</v>
      </c>
      <c r="R696" s="126"/>
    </row>
    <row r="697" spans="1:18">
      <c r="A697" s="158">
        <f t="shared" si="24"/>
        <v>696</v>
      </c>
      <c r="B697" s="138">
        <v>46110</v>
      </c>
      <c r="C697" s="159" t="s">
        <v>2728</v>
      </c>
      <c r="D697" s="126" t="s">
        <v>2729</v>
      </c>
      <c r="E697" s="126" t="s">
        <v>206</v>
      </c>
      <c r="F697" s="126" t="s">
        <v>32</v>
      </c>
      <c r="G697" s="129" t="s">
        <v>32</v>
      </c>
      <c r="H697" s="64">
        <v>8057900835</v>
      </c>
      <c r="I697" s="237" t="s">
        <v>2730</v>
      </c>
      <c r="J697" s="154" t="s">
        <v>81</v>
      </c>
      <c r="K697" s="240" t="s">
        <v>2731</v>
      </c>
      <c r="L697" s="126" t="s">
        <v>76</v>
      </c>
      <c r="M697" s="126" t="s">
        <v>69</v>
      </c>
      <c r="N697" s="126"/>
      <c r="O697" s="161"/>
      <c r="Q697" s="154" t="s">
        <v>336</v>
      </c>
      <c r="R697" s="126"/>
    </row>
    <row r="698" spans="1:18">
      <c r="A698" s="158">
        <f t="shared" si="24"/>
        <v>697</v>
      </c>
      <c r="B698" s="138">
        <v>46110</v>
      </c>
      <c r="C698" s="159" t="s">
        <v>2732</v>
      </c>
      <c r="D698" s="126" t="s">
        <v>2733</v>
      </c>
      <c r="E698" s="126" t="s">
        <v>58</v>
      </c>
      <c r="F698" s="126" t="s">
        <v>117</v>
      </c>
      <c r="G698" s="129" t="s">
        <v>1737</v>
      </c>
      <c r="H698" s="64">
        <v>7665786018</v>
      </c>
      <c r="I698" s="237" t="s">
        <v>2734</v>
      </c>
      <c r="J698" s="154" t="s">
        <v>272</v>
      </c>
      <c r="K698" s="240" t="s">
        <v>2735</v>
      </c>
      <c r="L698" s="126" t="s">
        <v>76</v>
      </c>
      <c r="M698" s="126" t="s">
        <v>55</v>
      </c>
      <c r="N698" s="126"/>
      <c r="O698" s="161"/>
      <c r="Q698" s="154" t="s">
        <v>336</v>
      </c>
      <c r="R698" s="126"/>
    </row>
    <row r="699" spans="1:18">
      <c r="A699" s="158">
        <f t="shared" si="24"/>
        <v>698</v>
      </c>
      <c r="B699" s="138">
        <v>46110</v>
      </c>
      <c r="C699" s="159" t="s">
        <v>2736</v>
      </c>
      <c r="D699" s="126" t="s">
        <v>2737</v>
      </c>
      <c r="E699" s="126" t="s">
        <v>84</v>
      </c>
      <c r="F699" s="126" t="s">
        <v>80</v>
      </c>
      <c r="G699" t="s">
        <v>260</v>
      </c>
      <c r="H699" s="64">
        <v>9913717219</v>
      </c>
      <c r="I699" s="237" t="s">
        <v>2738</v>
      </c>
      <c r="J699" s="154" t="s">
        <v>272</v>
      </c>
      <c r="K699" s="240" t="s">
        <v>2739</v>
      </c>
      <c r="L699" s="126" t="s">
        <v>76</v>
      </c>
      <c r="M699" s="126" t="s">
        <v>69</v>
      </c>
      <c r="N699" s="126"/>
      <c r="O699" s="161"/>
      <c r="Q699" s="154" t="s">
        <v>336</v>
      </c>
      <c r="R699" s="126"/>
    </row>
    <row r="700" spans="1:18">
      <c r="A700" s="158">
        <f t="shared" si="24"/>
        <v>699</v>
      </c>
      <c r="B700" s="138">
        <v>46110</v>
      </c>
      <c r="C700" s="159"/>
      <c r="D700" s="126" t="s">
        <v>407</v>
      </c>
      <c r="E700" s="126" t="s">
        <v>84</v>
      </c>
      <c r="F700" s="126" t="s">
        <v>32</v>
      </c>
      <c r="G700" t="s">
        <v>697</v>
      </c>
      <c r="H700" s="64">
        <v>9904699800</v>
      </c>
      <c r="I700" s="261"/>
      <c r="J700" s="154" t="s">
        <v>99</v>
      </c>
      <c r="K700" s="240" t="s">
        <v>2740</v>
      </c>
      <c r="L700" s="126" t="s">
        <v>101</v>
      </c>
      <c r="M700" s="126" t="s">
        <v>69</v>
      </c>
      <c r="N700" s="126"/>
      <c r="O700" s="161"/>
      <c r="Q700" s="154"/>
      <c r="R700" s="126"/>
    </row>
    <row r="701" spans="1:18">
      <c r="A701" s="158">
        <f t="shared" ref="A701:A732" si="25">ROW()-1</f>
        <v>700</v>
      </c>
      <c r="B701" s="138">
        <v>46111</v>
      </c>
      <c r="C701" s="159" t="s">
        <v>2741</v>
      </c>
      <c r="D701" s="126" t="s">
        <v>324</v>
      </c>
      <c r="E701" s="126" t="s">
        <v>41</v>
      </c>
      <c r="F701" s="126" t="s">
        <v>117</v>
      </c>
      <c r="G701" s="129" t="s">
        <v>2742</v>
      </c>
      <c r="H701" s="64"/>
      <c r="I701" s="237" t="s">
        <v>2743</v>
      </c>
      <c r="J701" s="154" t="s">
        <v>34</v>
      </c>
      <c r="K701" t="s">
        <v>2744</v>
      </c>
      <c r="L701" s="126" t="s">
        <v>54</v>
      </c>
      <c r="M701" s="126" t="s">
        <v>37</v>
      </c>
      <c r="N701" s="126" t="s">
        <v>2745</v>
      </c>
      <c r="O701" s="161">
        <v>46111</v>
      </c>
      <c r="Q701" s="154" t="s">
        <v>336</v>
      </c>
      <c r="R701" s="126"/>
    </row>
    <row r="702" spans="1:18">
      <c r="A702" s="158">
        <f t="shared" si="25"/>
        <v>701</v>
      </c>
      <c r="B702" s="138">
        <v>46111</v>
      </c>
      <c r="C702" s="159" t="s">
        <v>2746</v>
      </c>
      <c r="D702" s="126" t="s">
        <v>324</v>
      </c>
      <c r="E702" s="126" t="s">
        <v>58</v>
      </c>
      <c r="F702" s="126" t="s">
        <v>32</v>
      </c>
      <c r="G702" s="129" t="s">
        <v>1051</v>
      </c>
      <c r="H702" s="64"/>
      <c r="I702" s="177" t="s">
        <v>2747</v>
      </c>
      <c r="J702" s="154" t="s">
        <v>34</v>
      </c>
      <c r="K702" t="s">
        <v>2748</v>
      </c>
      <c r="L702" s="126" t="s">
        <v>76</v>
      </c>
      <c r="M702" s="126" t="s">
        <v>69</v>
      </c>
      <c r="N702" s="126" t="s">
        <v>2749</v>
      </c>
      <c r="O702" s="161">
        <v>46111</v>
      </c>
      <c r="Q702" s="154" t="s">
        <v>336</v>
      </c>
      <c r="R702" s="126"/>
    </row>
    <row r="703" spans="1:18" ht="30">
      <c r="A703" s="158">
        <f t="shared" si="25"/>
        <v>702</v>
      </c>
      <c r="B703" s="138">
        <v>46111</v>
      </c>
      <c r="C703" s="159" t="s">
        <v>2750</v>
      </c>
      <c r="D703" s="128" t="s">
        <v>2751</v>
      </c>
      <c r="E703" s="126" t="s">
        <v>41</v>
      </c>
      <c r="F703" s="126" t="s">
        <v>117</v>
      </c>
      <c r="G703" s="126" t="s">
        <v>2752</v>
      </c>
      <c r="H703" s="64">
        <v>8956412563</v>
      </c>
      <c r="I703" s="174" t="s">
        <v>2753</v>
      </c>
      <c r="J703" s="154" t="s">
        <v>34</v>
      </c>
      <c r="K703" s="258" t="s">
        <v>2754</v>
      </c>
      <c r="L703" s="128" t="s">
        <v>54</v>
      </c>
      <c r="M703" s="126" t="s">
        <v>77</v>
      </c>
      <c r="N703" s="126" t="s">
        <v>2755</v>
      </c>
      <c r="O703" s="161">
        <v>46113</v>
      </c>
      <c r="Q703" s="154" t="s">
        <v>336</v>
      </c>
      <c r="R703" s="126"/>
    </row>
    <row r="704" spans="1:18" ht="30">
      <c r="A704" s="158">
        <f t="shared" si="25"/>
        <v>703</v>
      </c>
      <c r="B704" s="138">
        <v>46111</v>
      </c>
      <c r="C704" s="159" t="s">
        <v>2756</v>
      </c>
      <c r="D704" s="126"/>
      <c r="E704" s="126" t="s">
        <v>58</v>
      </c>
      <c r="F704" s="126" t="s">
        <v>32</v>
      </c>
      <c r="G704" s="129"/>
      <c r="H704" s="64"/>
      <c r="I704" s="177" t="s">
        <v>2757</v>
      </c>
      <c r="J704" s="154" t="s">
        <v>34</v>
      </c>
      <c r="K704" s="18" t="s">
        <v>2758</v>
      </c>
      <c r="L704" s="126" t="s">
        <v>36</v>
      </c>
      <c r="M704" s="126" t="s">
        <v>37</v>
      </c>
      <c r="N704" s="126"/>
      <c r="O704" s="161">
        <v>46111</v>
      </c>
      <c r="Q704" s="154" t="s">
        <v>336</v>
      </c>
      <c r="R704" s="126"/>
    </row>
    <row r="705" spans="1:18">
      <c r="A705" s="158">
        <f t="shared" si="25"/>
        <v>704</v>
      </c>
      <c r="B705" s="138">
        <v>46111</v>
      </c>
      <c r="C705" s="159" t="s">
        <v>2759</v>
      </c>
      <c r="D705" s="126"/>
      <c r="E705" s="126" t="s">
        <v>58</v>
      </c>
      <c r="F705" s="126" t="s">
        <v>32</v>
      </c>
      <c r="G705" s="240" t="s">
        <v>2760</v>
      </c>
      <c r="H705" s="64"/>
      <c r="I705" s="177" t="s">
        <v>2761</v>
      </c>
      <c r="J705" s="154" t="s">
        <v>34</v>
      </c>
      <c r="L705" s="126" t="s">
        <v>36</v>
      </c>
      <c r="M705" s="126" t="s">
        <v>368</v>
      </c>
      <c r="N705" s="126"/>
      <c r="O705" s="161">
        <v>46111</v>
      </c>
      <c r="Q705" s="154" t="s">
        <v>336</v>
      </c>
      <c r="R705" s="126"/>
    </row>
    <row r="706" spans="1:18" ht="30">
      <c r="A706" s="158">
        <f t="shared" si="25"/>
        <v>705</v>
      </c>
      <c r="B706" s="138">
        <v>46111</v>
      </c>
      <c r="C706" s="244"/>
      <c r="D706" s="126" t="s">
        <v>2762</v>
      </c>
      <c r="E706" s="126" t="s">
        <v>41</v>
      </c>
      <c r="F706" s="126" t="s">
        <v>90</v>
      </c>
      <c r="G706" s="129" t="s">
        <v>132</v>
      </c>
      <c r="H706" s="64">
        <v>9168262630</v>
      </c>
      <c r="I706" s="174" t="s">
        <v>2763</v>
      </c>
      <c r="J706" s="154" t="s">
        <v>272</v>
      </c>
      <c r="K706" t="s">
        <v>2764</v>
      </c>
      <c r="L706" s="126" t="s">
        <v>76</v>
      </c>
      <c r="M706" s="126" t="s">
        <v>69</v>
      </c>
      <c r="N706" s="126"/>
      <c r="O706" s="161"/>
      <c r="Q706" s="154"/>
      <c r="R706" s="126"/>
    </row>
    <row r="707" spans="1:18">
      <c r="A707" s="158">
        <f t="shared" si="25"/>
        <v>706</v>
      </c>
      <c r="B707" s="138">
        <v>46111</v>
      </c>
      <c r="C707" t="s">
        <v>2765</v>
      </c>
      <c r="D707" s="126" t="s">
        <v>2766</v>
      </c>
      <c r="E707" s="126" t="s">
        <v>41</v>
      </c>
      <c r="F707" s="126" t="s">
        <v>80</v>
      </c>
      <c r="G707" s="129" t="s">
        <v>2767</v>
      </c>
      <c r="H707" s="64">
        <v>8308499133</v>
      </c>
      <c r="I707" s="174"/>
      <c r="J707" s="154" t="s">
        <v>34</v>
      </c>
      <c r="K707" t="s">
        <v>2768</v>
      </c>
      <c r="L707" s="126" t="s">
        <v>76</v>
      </c>
      <c r="M707" s="126" t="s">
        <v>69</v>
      </c>
      <c r="N707" s="126"/>
      <c r="O707" s="161"/>
      <c r="Q707" s="154"/>
      <c r="R707" s="126"/>
    </row>
    <row r="708" spans="1:18" ht="19.5">
      <c r="A708" s="158">
        <f t="shared" si="25"/>
        <v>707</v>
      </c>
      <c r="B708" s="138">
        <v>46111</v>
      </c>
      <c r="C708" s="159" t="s">
        <v>2769</v>
      </c>
      <c r="D708" s="259" t="s">
        <v>2770</v>
      </c>
      <c r="E708" s="126" t="s">
        <v>131</v>
      </c>
      <c r="F708" s="126" t="s">
        <v>71</v>
      </c>
      <c r="G708" s="129" t="s">
        <v>2771</v>
      </c>
      <c r="H708" s="64">
        <v>9095660070</v>
      </c>
      <c r="I708" s="174"/>
      <c r="J708" s="154" t="s">
        <v>272</v>
      </c>
      <c r="K708" t="s">
        <v>2029</v>
      </c>
      <c r="L708" s="126" t="s">
        <v>101</v>
      </c>
      <c r="M708" s="126" t="s">
        <v>77</v>
      </c>
      <c r="N708" s="126"/>
      <c r="O708" s="161"/>
      <c r="Q708" s="154"/>
      <c r="R708" s="126"/>
    </row>
    <row r="709" spans="1:18">
      <c r="A709" s="158">
        <f t="shared" si="25"/>
        <v>708</v>
      </c>
      <c r="B709" s="138">
        <v>46111</v>
      </c>
      <c r="C709" s="159" t="s">
        <v>2029</v>
      </c>
      <c r="D709" s="126" t="s">
        <v>337</v>
      </c>
      <c r="E709" s="126" t="s">
        <v>41</v>
      </c>
      <c r="F709" s="126" t="s">
        <v>71</v>
      </c>
      <c r="G709" s="129" t="s">
        <v>2771</v>
      </c>
      <c r="H709" s="64">
        <v>9076254725</v>
      </c>
      <c r="I709" s="237" t="s">
        <v>2772</v>
      </c>
      <c r="J709" s="154" t="s">
        <v>86</v>
      </c>
      <c r="K709" t="s">
        <v>2029</v>
      </c>
      <c r="L709" s="126" t="s">
        <v>101</v>
      </c>
      <c r="M709" s="126" t="s">
        <v>77</v>
      </c>
      <c r="N709" s="126"/>
      <c r="O709" s="161"/>
      <c r="Q709" s="154"/>
      <c r="R709" s="126"/>
    </row>
    <row r="710" spans="1:18" ht="30">
      <c r="A710" s="158">
        <f t="shared" si="25"/>
        <v>709</v>
      </c>
      <c r="B710" s="138">
        <v>46112</v>
      </c>
      <c r="C710" t="s">
        <v>2773</v>
      </c>
      <c r="D710" s="126" t="s">
        <v>2774</v>
      </c>
      <c r="E710" s="126" t="s">
        <v>41</v>
      </c>
      <c r="F710" s="126" t="s">
        <v>71</v>
      </c>
      <c r="G710" s="129" t="s">
        <v>212</v>
      </c>
      <c r="H710" s="64">
        <v>9145963923</v>
      </c>
      <c r="I710" s="174" t="s">
        <v>2775</v>
      </c>
      <c r="J710" s="154" t="s">
        <v>248</v>
      </c>
      <c r="K710" t="s">
        <v>2776</v>
      </c>
      <c r="L710" s="126" t="s">
        <v>76</v>
      </c>
      <c r="M710" s="126" t="s">
        <v>77</v>
      </c>
      <c r="N710" s="126"/>
      <c r="O710" s="161"/>
      <c r="Q710" s="154"/>
      <c r="R710" s="126"/>
    </row>
    <row r="711" spans="1:18">
      <c r="A711" s="158">
        <f t="shared" si="25"/>
        <v>710</v>
      </c>
      <c r="B711" s="138">
        <v>46112</v>
      </c>
      <c r="D711" s="126" t="s">
        <v>176</v>
      </c>
      <c r="E711" s="126" t="s">
        <v>41</v>
      </c>
      <c r="F711" s="126" t="s">
        <v>47</v>
      </c>
      <c r="G711" s="129" t="s">
        <v>2777</v>
      </c>
      <c r="H711" s="64">
        <v>8097298427</v>
      </c>
      <c r="I711" s="174"/>
      <c r="J711" s="154" t="s">
        <v>248</v>
      </c>
      <c r="K711" t="s">
        <v>2778</v>
      </c>
      <c r="L711" s="126" t="s">
        <v>76</v>
      </c>
      <c r="M711" s="126" t="s">
        <v>69</v>
      </c>
      <c r="N711" s="126"/>
      <c r="O711" s="161"/>
      <c r="Q711" s="154"/>
      <c r="R711" s="126"/>
    </row>
    <row r="712" spans="1:18" ht="19.5">
      <c r="A712" s="158">
        <f t="shared" si="25"/>
        <v>711</v>
      </c>
      <c r="B712" s="138">
        <v>46112</v>
      </c>
      <c r="C712" s="259"/>
      <c r="D712" s="259" t="s">
        <v>2779</v>
      </c>
      <c r="E712" s="126"/>
      <c r="F712" s="126" t="s">
        <v>32</v>
      </c>
      <c r="G712" s="129" t="s">
        <v>2780</v>
      </c>
      <c r="H712" s="64">
        <v>9380005085</v>
      </c>
      <c r="I712" s="64" t="s">
        <v>2580</v>
      </c>
      <c r="J712" s="154" t="s">
        <v>81</v>
      </c>
      <c r="K712" t="s">
        <v>2781</v>
      </c>
      <c r="L712" s="126" t="s">
        <v>101</v>
      </c>
      <c r="M712" s="126" t="s">
        <v>69</v>
      </c>
      <c r="N712" s="126"/>
      <c r="O712" s="161"/>
      <c r="Q712" s="154"/>
      <c r="R712" s="126"/>
    </row>
    <row r="713" spans="1:18">
      <c r="A713" s="158">
        <f t="shared" si="25"/>
        <v>712</v>
      </c>
      <c r="B713" s="138"/>
      <c r="C713" s="159"/>
      <c r="D713" s="126"/>
      <c r="E713" s="126"/>
      <c r="F713" s="126"/>
      <c r="G713" s="129"/>
      <c r="H713" s="64"/>
      <c r="I713" s="174"/>
      <c r="J713" s="154"/>
      <c r="L713" s="126"/>
      <c r="M713" s="126"/>
      <c r="N713" s="126"/>
      <c r="O713" s="161"/>
      <c r="Q713" s="154"/>
      <c r="R713" s="126"/>
    </row>
    <row r="714" spans="1:18">
      <c r="A714" s="158">
        <f t="shared" si="25"/>
        <v>713</v>
      </c>
      <c r="B714" s="138">
        <v>46112</v>
      </c>
      <c r="C714" s="138" t="s">
        <v>2782</v>
      </c>
      <c r="D714" s="126" t="s">
        <v>264</v>
      </c>
      <c r="E714" s="126" t="s">
        <v>41</v>
      </c>
      <c r="F714" s="126" t="s">
        <v>201</v>
      </c>
      <c r="G714" s="129" t="s">
        <v>2783</v>
      </c>
      <c r="H714" s="64">
        <v>7069990970</v>
      </c>
      <c r="I714" s="174"/>
      <c r="J714" s="154" t="s">
        <v>86</v>
      </c>
      <c r="K714" t="s">
        <v>2784</v>
      </c>
      <c r="L714" s="126" t="s">
        <v>76</v>
      </c>
      <c r="M714" s="126" t="s">
        <v>69</v>
      </c>
      <c r="N714" s="126"/>
      <c r="O714" s="161"/>
      <c r="Q714" s="154"/>
      <c r="R714" s="126"/>
    </row>
    <row r="715" spans="1:18">
      <c r="A715" s="158">
        <f t="shared" si="25"/>
        <v>714</v>
      </c>
      <c r="B715" s="138">
        <v>46112</v>
      </c>
      <c r="C715" t="s">
        <v>2785</v>
      </c>
      <c r="D715" s="126" t="s">
        <v>2786</v>
      </c>
      <c r="E715" s="126" t="s">
        <v>41</v>
      </c>
      <c r="F715" s="126" t="s">
        <v>71</v>
      </c>
      <c r="G715" s="129" t="s">
        <v>766</v>
      </c>
      <c r="H715" s="64">
        <v>8275098783</v>
      </c>
      <c r="I715" s="174"/>
      <c r="J715" s="154" t="s">
        <v>248</v>
      </c>
      <c r="K715" t="s">
        <v>2787</v>
      </c>
      <c r="L715" s="126" t="s">
        <v>76</v>
      </c>
      <c r="M715" s="126" t="s">
        <v>77</v>
      </c>
      <c r="N715" s="126"/>
      <c r="O715" s="161"/>
      <c r="Q715" s="154"/>
      <c r="R715" s="126"/>
    </row>
    <row r="716" spans="1:18" ht="30">
      <c r="A716" s="158">
        <f t="shared" si="25"/>
        <v>715</v>
      </c>
      <c r="B716" s="138">
        <v>46112</v>
      </c>
      <c r="C716" s="159"/>
      <c r="D716" s="126" t="s">
        <v>264</v>
      </c>
      <c r="E716" s="126" t="s">
        <v>41</v>
      </c>
      <c r="F716" s="126" t="s">
        <v>32</v>
      </c>
      <c r="G716" t="s">
        <v>643</v>
      </c>
      <c r="H716" s="64">
        <v>9049627272</v>
      </c>
      <c r="I716" s="174" t="s">
        <v>2788</v>
      </c>
      <c r="J716" s="154" t="s">
        <v>248</v>
      </c>
      <c r="K716" t="s">
        <v>2789</v>
      </c>
      <c r="L716" s="126" t="s">
        <v>76</v>
      </c>
      <c r="M716" s="126" t="s">
        <v>69</v>
      </c>
      <c r="N716" s="126"/>
      <c r="O716" s="161"/>
      <c r="Q716" s="154"/>
      <c r="R716" s="126"/>
    </row>
    <row r="717" spans="1:18" ht="30">
      <c r="A717" s="158">
        <f t="shared" si="25"/>
        <v>716</v>
      </c>
      <c r="B717" s="138">
        <v>46112</v>
      </c>
      <c r="C717" t="s">
        <v>2790</v>
      </c>
      <c r="D717" s="126" t="s">
        <v>2791</v>
      </c>
      <c r="E717" s="126" t="s">
        <v>711</v>
      </c>
      <c r="F717" s="126" t="s">
        <v>71</v>
      </c>
      <c r="G717" s="129" t="s">
        <v>212</v>
      </c>
      <c r="H717" s="64">
        <v>9008633391</v>
      </c>
      <c r="I717" s="174" t="s">
        <v>2792</v>
      </c>
      <c r="J717" s="154" t="s">
        <v>272</v>
      </c>
      <c r="K717" t="s">
        <v>2793</v>
      </c>
      <c r="L717" s="126" t="s">
        <v>76</v>
      </c>
      <c r="M717" s="126" t="s">
        <v>77</v>
      </c>
      <c r="N717" s="126"/>
      <c r="O717" s="161"/>
      <c r="Q717" s="154"/>
      <c r="R717" s="126"/>
    </row>
    <row r="718" spans="1:18">
      <c r="A718" s="158">
        <f t="shared" si="25"/>
        <v>717</v>
      </c>
      <c r="B718" s="138">
        <v>46112</v>
      </c>
      <c r="C718" s="126" t="s">
        <v>2794</v>
      </c>
      <c r="D718" s="126" t="s">
        <v>2795</v>
      </c>
      <c r="E718" s="126" t="s">
        <v>657</v>
      </c>
      <c r="F718" s="126" t="s">
        <v>201</v>
      </c>
      <c r="G718" s="129" t="s">
        <v>2796</v>
      </c>
      <c r="H718" s="64">
        <v>9830874680</v>
      </c>
      <c r="I718" s="174" t="s">
        <v>1358</v>
      </c>
      <c r="J718" s="154" t="s">
        <v>2523</v>
      </c>
      <c r="K718" t="s">
        <v>1359</v>
      </c>
      <c r="L718" s="126" t="s">
        <v>76</v>
      </c>
      <c r="M718" s="126" t="s">
        <v>37</v>
      </c>
      <c r="N718" s="126"/>
      <c r="O718" s="161"/>
      <c r="Q718" s="154"/>
      <c r="R718" s="126"/>
    </row>
    <row r="719" spans="1:18" ht="45">
      <c r="A719" s="158">
        <f t="shared" si="25"/>
        <v>718</v>
      </c>
      <c r="B719" s="138">
        <v>46113</v>
      </c>
      <c r="C719" s="159" t="s">
        <v>2797</v>
      </c>
      <c r="D719" s="126" t="s">
        <v>2798</v>
      </c>
      <c r="E719" s="126" t="s">
        <v>41</v>
      </c>
      <c r="F719" s="126" t="s">
        <v>42</v>
      </c>
      <c r="G719" s="129" t="s">
        <v>2799</v>
      </c>
      <c r="H719" s="249">
        <v>9767350574</v>
      </c>
      <c r="I719" s="174" t="s">
        <v>2800</v>
      </c>
      <c r="J719" s="154" t="s">
        <v>34</v>
      </c>
      <c r="K719" t="s">
        <v>2801</v>
      </c>
      <c r="L719" s="126" t="s">
        <v>122</v>
      </c>
      <c r="M719" s="126" t="s">
        <v>368</v>
      </c>
      <c r="N719" s="126"/>
      <c r="O719" s="161"/>
      <c r="Q719" s="154"/>
      <c r="R719" s="126"/>
    </row>
    <row r="720" spans="1:18">
      <c r="A720" s="158">
        <f t="shared" si="25"/>
        <v>719</v>
      </c>
      <c r="B720" s="138">
        <v>46113</v>
      </c>
      <c r="C720" s="159" t="s">
        <v>2802</v>
      </c>
      <c r="D720" s="126" t="s">
        <v>2803</v>
      </c>
      <c r="E720" s="126" t="s">
        <v>41</v>
      </c>
      <c r="F720" s="126" t="s">
        <v>80</v>
      </c>
      <c r="G720" s="129" t="s">
        <v>2804</v>
      </c>
      <c r="H720" s="247">
        <v>9970951430</v>
      </c>
      <c r="I720" s="177" t="s">
        <v>2805</v>
      </c>
      <c r="J720" s="154" t="s">
        <v>34</v>
      </c>
      <c r="K720" s="193" t="s">
        <v>2806</v>
      </c>
      <c r="L720" s="126" t="s">
        <v>36</v>
      </c>
      <c r="M720" s="126" t="s">
        <v>37</v>
      </c>
      <c r="N720" s="126"/>
      <c r="O720" s="161"/>
      <c r="Q720" s="154"/>
      <c r="R720" s="126"/>
    </row>
    <row r="721" spans="1:18" ht="30">
      <c r="A721" s="158">
        <f t="shared" si="25"/>
        <v>720</v>
      </c>
      <c r="B721" s="138">
        <v>46113</v>
      </c>
      <c r="C721" s="209"/>
      <c r="D721" s="126"/>
      <c r="E721" s="126"/>
      <c r="F721" s="126" t="s">
        <v>71</v>
      </c>
      <c r="G721" s="129" t="s">
        <v>2807</v>
      </c>
      <c r="H721" s="251">
        <v>9146215901</v>
      </c>
      <c r="I721" s="174" t="s">
        <v>2808</v>
      </c>
      <c r="J721" s="154" t="s">
        <v>248</v>
      </c>
      <c r="K721" s="193" t="s">
        <v>2809</v>
      </c>
      <c r="L721" s="126" t="s">
        <v>76</v>
      </c>
      <c r="M721" s="126" t="s">
        <v>77</v>
      </c>
      <c r="N721" s="126"/>
      <c r="O721" s="161"/>
      <c r="Q721" s="154"/>
      <c r="R721" s="126"/>
    </row>
    <row r="722" spans="1:18" ht="30">
      <c r="A722" s="158">
        <f t="shared" si="25"/>
        <v>721</v>
      </c>
      <c r="B722" s="138">
        <v>46113</v>
      </c>
      <c r="C722" s="159" t="s">
        <v>2810</v>
      </c>
      <c r="D722" s="126" t="s">
        <v>2811</v>
      </c>
      <c r="E722" s="126" t="s">
        <v>41</v>
      </c>
      <c r="F722" s="126" t="s">
        <v>32</v>
      </c>
      <c r="G722" t="s">
        <v>643</v>
      </c>
      <c r="H722" s="251">
        <v>7249020866</v>
      </c>
      <c r="I722" s="174" t="s">
        <v>2812</v>
      </c>
      <c r="J722" s="154" t="s">
        <v>248</v>
      </c>
      <c r="K722" s="193" t="s">
        <v>2813</v>
      </c>
      <c r="L722" s="126" t="s">
        <v>76</v>
      </c>
      <c r="M722" s="126" t="s">
        <v>69</v>
      </c>
      <c r="N722" s="126"/>
      <c r="O722" s="161"/>
      <c r="Q722" s="154"/>
      <c r="R722" s="126"/>
    </row>
    <row r="723" spans="1:18" ht="30">
      <c r="A723" s="158">
        <f t="shared" si="25"/>
        <v>722</v>
      </c>
      <c r="B723" s="138">
        <v>46113</v>
      </c>
      <c r="C723" s="159"/>
      <c r="D723" s="126" t="s">
        <v>2814</v>
      </c>
      <c r="E723" s="126"/>
      <c r="F723" s="126"/>
      <c r="G723" t="s">
        <v>423</v>
      </c>
      <c r="H723" s="251">
        <v>8080534980</v>
      </c>
      <c r="I723" s="174" t="s">
        <v>2814</v>
      </c>
      <c r="J723" s="154" t="s">
        <v>86</v>
      </c>
      <c r="K723" s="193" t="s">
        <v>2815</v>
      </c>
      <c r="L723" s="126" t="s">
        <v>76</v>
      </c>
      <c r="M723" s="126" t="s">
        <v>69</v>
      </c>
      <c r="N723" s="126"/>
      <c r="O723" s="161"/>
      <c r="Q723" s="154"/>
      <c r="R723" s="126"/>
    </row>
    <row r="724" spans="1:18">
      <c r="A724" s="158">
        <f t="shared" si="25"/>
        <v>723</v>
      </c>
      <c r="B724" s="138">
        <v>46113</v>
      </c>
      <c r="C724" s="159" t="s">
        <v>2816</v>
      </c>
      <c r="D724" s="126" t="s">
        <v>810</v>
      </c>
      <c r="E724" s="126" t="s">
        <v>41</v>
      </c>
      <c r="F724" s="126" t="s">
        <v>42</v>
      </c>
      <c r="G724" s="129"/>
      <c r="H724" s="64"/>
      <c r="I724" s="128"/>
      <c r="J724" s="154" t="s">
        <v>34</v>
      </c>
      <c r="K724" t="s">
        <v>2817</v>
      </c>
      <c r="L724" s="126" t="s">
        <v>36</v>
      </c>
      <c r="M724" s="126" t="s">
        <v>37</v>
      </c>
      <c r="N724" s="126"/>
      <c r="O724" s="161"/>
      <c r="Q724" s="154"/>
      <c r="R724" s="126"/>
    </row>
    <row r="725" spans="1:18">
      <c r="A725" s="158">
        <f t="shared" si="25"/>
        <v>724</v>
      </c>
      <c r="B725" s="138">
        <v>46113</v>
      </c>
      <c r="C725" s="159" t="s">
        <v>2818</v>
      </c>
      <c r="D725" s="126" t="s">
        <v>810</v>
      </c>
      <c r="E725" s="126" t="s">
        <v>41</v>
      </c>
      <c r="F725" s="126" t="s">
        <v>71</v>
      </c>
      <c r="G725" s="129" t="s">
        <v>2819</v>
      </c>
      <c r="H725" s="64"/>
      <c r="I725" s="128"/>
      <c r="J725" s="154" t="s">
        <v>34</v>
      </c>
      <c r="L725" s="126" t="s">
        <v>36</v>
      </c>
      <c r="M725" s="126" t="s">
        <v>37</v>
      </c>
      <c r="N725" s="126"/>
      <c r="O725" s="161"/>
      <c r="Q725" s="154"/>
      <c r="R725" s="126"/>
    </row>
    <row r="726" spans="1:18" ht="30">
      <c r="A726" s="158">
        <f t="shared" si="25"/>
        <v>725</v>
      </c>
      <c r="B726" s="138">
        <v>46113</v>
      </c>
      <c r="C726" s="159" t="s">
        <v>2820</v>
      </c>
      <c r="D726" s="126" t="s">
        <v>802</v>
      </c>
      <c r="E726" s="126" t="s">
        <v>131</v>
      </c>
      <c r="F726" s="126" t="s">
        <v>201</v>
      </c>
      <c r="G726" s="129" t="s">
        <v>2821</v>
      </c>
      <c r="H726" s="64"/>
      <c r="I726" s="174" t="s">
        <v>1516</v>
      </c>
      <c r="J726" s="154" t="s">
        <v>34</v>
      </c>
      <c r="K726" t="s">
        <v>1961</v>
      </c>
      <c r="L726" s="126" t="s">
        <v>36</v>
      </c>
      <c r="M726" s="126" t="s">
        <v>37</v>
      </c>
      <c r="N726" s="126" t="s">
        <v>2822</v>
      </c>
      <c r="O726" s="161">
        <v>46116</v>
      </c>
      <c r="Q726" s="154" t="s">
        <v>336</v>
      </c>
      <c r="R726" s="126"/>
    </row>
    <row r="727" spans="1:18" ht="30">
      <c r="A727" s="158">
        <f t="shared" si="25"/>
        <v>726</v>
      </c>
      <c r="B727" s="138">
        <v>46113</v>
      </c>
      <c r="C727" s="159" t="s">
        <v>2548</v>
      </c>
      <c r="D727" s="126" t="s">
        <v>1069</v>
      </c>
      <c r="E727" s="126" t="s">
        <v>41</v>
      </c>
      <c r="F727" s="126" t="s">
        <v>32</v>
      </c>
      <c r="G727" s="129" t="s">
        <v>2823</v>
      </c>
      <c r="H727" s="248">
        <v>9146185214</v>
      </c>
      <c r="I727" s="174" t="s">
        <v>2824</v>
      </c>
      <c r="J727" s="154" t="s">
        <v>34</v>
      </c>
      <c r="K727" s="193" t="s">
        <v>2825</v>
      </c>
      <c r="L727" s="126" t="s">
        <v>36</v>
      </c>
      <c r="M727" s="126" t="s">
        <v>368</v>
      </c>
      <c r="N727" s="126"/>
      <c r="O727" s="161"/>
      <c r="Q727" s="154"/>
      <c r="R727" s="126"/>
    </row>
    <row r="728" spans="1:18" ht="30">
      <c r="A728" s="158">
        <f t="shared" si="25"/>
        <v>727</v>
      </c>
      <c r="B728" s="138">
        <v>46113</v>
      </c>
      <c r="C728" s="159" t="s">
        <v>2826</v>
      </c>
      <c r="D728" s="126" t="s">
        <v>810</v>
      </c>
      <c r="E728" s="126" t="s">
        <v>41</v>
      </c>
      <c r="F728" s="126" t="s">
        <v>32</v>
      </c>
      <c r="G728" s="129" t="s">
        <v>2827</v>
      </c>
      <c r="H728" s="64">
        <v>9765559037</v>
      </c>
      <c r="I728" s="174" t="s">
        <v>2828</v>
      </c>
      <c r="J728" s="154" t="s">
        <v>34</v>
      </c>
      <c r="K728" s="193" t="s">
        <v>2829</v>
      </c>
      <c r="L728" s="126" t="s">
        <v>36</v>
      </c>
      <c r="M728" s="126" t="s">
        <v>37</v>
      </c>
      <c r="N728" s="126"/>
      <c r="O728" s="161"/>
      <c r="Q728" s="154"/>
      <c r="R728" s="126"/>
    </row>
    <row r="729" spans="1:18" ht="18" customHeight="1">
      <c r="A729" s="158">
        <f t="shared" si="25"/>
        <v>728</v>
      </c>
      <c r="B729" s="138">
        <v>46113</v>
      </c>
      <c r="C729" s="159"/>
      <c r="D729" s="126" t="s">
        <v>2830</v>
      </c>
      <c r="E729" s="126" t="s">
        <v>41</v>
      </c>
      <c r="F729" s="126" t="s">
        <v>1423</v>
      </c>
      <c r="G729" s="259" t="s">
        <v>2188</v>
      </c>
      <c r="H729" s="259">
        <v>9324210241</v>
      </c>
      <c r="I729" s="263" t="s">
        <v>2831</v>
      </c>
      <c r="J729" s="154" t="s">
        <v>99</v>
      </c>
      <c r="K729" s="262" t="s">
        <v>2832</v>
      </c>
      <c r="L729" s="126" t="s">
        <v>101</v>
      </c>
      <c r="M729" s="126" t="s">
        <v>69</v>
      </c>
      <c r="N729" s="126"/>
      <c r="O729" s="161"/>
      <c r="Q729" s="154"/>
      <c r="R729" s="126"/>
    </row>
    <row r="730" spans="1:18" ht="19.5">
      <c r="A730" s="158">
        <f t="shared" si="25"/>
        <v>729</v>
      </c>
      <c r="B730" s="138">
        <v>46113</v>
      </c>
      <c r="C730" s="159" t="s">
        <v>2833</v>
      </c>
      <c r="D730" s="259" t="s">
        <v>2834</v>
      </c>
      <c r="E730" s="126"/>
      <c r="F730" s="126" t="s">
        <v>32</v>
      </c>
      <c r="G730" s="259" t="s">
        <v>1766</v>
      </c>
      <c r="H730" s="64">
        <v>9007847150</v>
      </c>
      <c r="I730" s="259" t="s">
        <v>2835</v>
      </c>
      <c r="J730" s="154" t="s">
        <v>272</v>
      </c>
      <c r="K730" s="193" t="s">
        <v>2836</v>
      </c>
      <c r="L730" s="126" t="s">
        <v>101</v>
      </c>
      <c r="M730" s="126" t="s">
        <v>69</v>
      </c>
      <c r="N730" s="126"/>
      <c r="O730" s="161"/>
      <c r="Q730" s="154"/>
      <c r="R730" s="126"/>
    </row>
    <row r="731" spans="1:18">
      <c r="A731" s="158">
        <f t="shared" si="25"/>
        <v>730</v>
      </c>
      <c r="B731" s="138">
        <v>46113</v>
      </c>
      <c r="C731" s="159" t="s">
        <v>2837</v>
      </c>
      <c r="D731" s="126" t="s">
        <v>2838</v>
      </c>
      <c r="E731" s="126" t="s">
        <v>41</v>
      </c>
      <c r="F731" s="126" t="s">
        <v>32</v>
      </c>
      <c r="G731" s="129" t="s">
        <v>2827</v>
      </c>
      <c r="H731" s="247">
        <v>9970951430</v>
      </c>
      <c r="I731" s="177" t="s">
        <v>2805</v>
      </c>
      <c r="J731" s="154" t="s">
        <v>34</v>
      </c>
      <c r="K731" s="193" t="s">
        <v>2806</v>
      </c>
      <c r="L731" s="126" t="s">
        <v>36</v>
      </c>
      <c r="M731" s="126" t="s">
        <v>37</v>
      </c>
      <c r="N731" s="126"/>
      <c r="O731" s="161"/>
      <c r="Q731" s="154"/>
      <c r="R731" s="126"/>
    </row>
    <row r="732" spans="1:18" ht="30">
      <c r="A732" s="158">
        <f t="shared" si="25"/>
        <v>731</v>
      </c>
      <c r="B732" s="138">
        <v>46114</v>
      </c>
      <c r="C732" s="159" t="s">
        <v>2266</v>
      </c>
      <c r="D732" s="126" t="s">
        <v>264</v>
      </c>
      <c r="E732" s="126" t="s">
        <v>41</v>
      </c>
      <c r="F732" s="126" t="s">
        <v>71</v>
      </c>
      <c r="G732" s="129" t="s">
        <v>1268</v>
      </c>
      <c r="H732" s="251">
        <v>8766460470</v>
      </c>
      <c r="I732" s="174" t="s">
        <v>2267</v>
      </c>
      <c r="J732" s="154" t="s">
        <v>86</v>
      </c>
      <c r="K732" t="s">
        <v>2268</v>
      </c>
      <c r="L732" s="126" t="s">
        <v>76</v>
      </c>
      <c r="M732" s="126" t="s">
        <v>77</v>
      </c>
      <c r="N732" s="126"/>
      <c r="O732" s="161"/>
      <c r="Q732" s="154"/>
      <c r="R732" s="126"/>
    </row>
    <row r="733" spans="1:18">
      <c r="A733" s="158">
        <f t="shared" ref="A733:A763" si="26">ROW()-1</f>
        <v>732</v>
      </c>
      <c r="B733" s="138">
        <v>46114</v>
      </c>
      <c r="C733" s="154"/>
      <c r="D733" s="126" t="s">
        <v>264</v>
      </c>
      <c r="E733" s="126" t="s">
        <v>41</v>
      </c>
      <c r="F733" s="126" t="s">
        <v>32</v>
      </c>
      <c r="G733" s="129" t="s">
        <v>2839</v>
      </c>
      <c r="H733" s="264">
        <v>7385604099</v>
      </c>
      <c r="I733" s="174"/>
      <c r="J733" s="154" t="s">
        <v>81</v>
      </c>
      <c r="K733" t="s">
        <v>2840</v>
      </c>
      <c r="L733" s="126" t="s">
        <v>101</v>
      </c>
      <c r="M733" s="126" t="s">
        <v>69</v>
      </c>
      <c r="N733" s="126"/>
      <c r="O733" s="161"/>
      <c r="Q733" s="154"/>
      <c r="R733" s="126"/>
    </row>
    <row r="734" spans="1:18">
      <c r="A734" s="158">
        <f t="shared" si="26"/>
        <v>733</v>
      </c>
      <c r="B734" s="138">
        <v>46114</v>
      </c>
      <c r="C734" s="159"/>
      <c r="D734" s="126" t="s">
        <v>2841</v>
      </c>
      <c r="E734" s="126"/>
      <c r="F734" s="126" t="s">
        <v>32</v>
      </c>
      <c r="G734" s="129" t="s">
        <v>2842</v>
      </c>
      <c r="H734" s="264">
        <v>9883612877</v>
      </c>
      <c r="I734" s="174"/>
      <c r="J734" s="154" t="s">
        <v>81</v>
      </c>
      <c r="K734" t="s">
        <v>2843</v>
      </c>
      <c r="L734" s="126" t="s">
        <v>101</v>
      </c>
      <c r="M734" s="126" t="s">
        <v>69</v>
      </c>
      <c r="N734" s="126"/>
      <c r="O734" s="161"/>
      <c r="Q734" s="154"/>
      <c r="R734" s="126"/>
    </row>
    <row r="735" spans="1:18">
      <c r="A735" s="158">
        <f t="shared" si="26"/>
        <v>734</v>
      </c>
      <c r="B735" s="138">
        <v>46114</v>
      </c>
      <c r="C735" s="159" t="s">
        <v>2844</v>
      </c>
      <c r="D735" s="126" t="s">
        <v>2845</v>
      </c>
      <c r="E735" s="126" t="s">
        <v>171</v>
      </c>
      <c r="F735" s="126" t="s">
        <v>80</v>
      </c>
      <c r="G735" s="129" t="s">
        <v>260</v>
      </c>
      <c r="H735" s="264" t="s">
        <v>2846</v>
      </c>
      <c r="I735" s="174"/>
      <c r="J735" s="154" t="s">
        <v>34</v>
      </c>
      <c r="K735" t="s">
        <v>2847</v>
      </c>
      <c r="L735" s="126" t="s">
        <v>101</v>
      </c>
      <c r="M735" s="126" t="s">
        <v>69</v>
      </c>
      <c r="N735" s="269"/>
      <c r="O735" s="161"/>
      <c r="Q735" s="154"/>
      <c r="R735" s="126"/>
    </row>
    <row r="736" spans="1:18" ht="20.25" customHeight="1">
      <c r="A736" s="158">
        <f t="shared" si="26"/>
        <v>735</v>
      </c>
      <c r="B736" s="138">
        <v>46115</v>
      </c>
      <c r="C736" s="159" t="s">
        <v>2848</v>
      </c>
      <c r="D736" s="212" t="s">
        <v>2849</v>
      </c>
      <c r="E736" s="126" t="s">
        <v>41</v>
      </c>
      <c r="F736" s="126" t="s">
        <v>32</v>
      </c>
      <c r="G736" s="129" t="s">
        <v>2850</v>
      </c>
      <c r="H736" s="64"/>
      <c r="I736" s="191" t="s">
        <v>2851</v>
      </c>
      <c r="J736" s="154" t="s">
        <v>34</v>
      </c>
      <c r="L736" s="128" t="s">
        <v>122</v>
      </c>
      <c r="M736" s="126" t="s">
        <v>69</v>
      </c>
      <c r="N736" s="126" t="s">
        <v>2852</v>
      </c>
      <c r="O736" s="161">
        <v>46117</v>
      </c>
      <c r="Q736" s="154" t="s">
        <v>336</v>
      </c>
      <c r="R736" s="126"/>
    </row>
    <row r="737" spans="1:18" ht="23.25" customHeight="1">
      <c r="A737" s="158">
        <f t="shared" si="26"/>
        <v>736</v>
      </c>
      <c r="B737" s="138">
        <v>46115</v>
      </c>
      <c r="C737" s="159" t="s">
        <v>2853</v>
      </c>
      <c r="D737" s="126"/>
      <c r="E737" s="126" t="s">
        <v>41</v>
      </c>
      <c r="F737" s="126" t="s">
        <v>42</v>
      </c>
      <c r="G737" s="129" t="s">
        <v>2854</v>
      </c>
      <c r="H737" s="64"/>
      <c r="I737" s="191" t="s">
        <v>2855</v>
      </c>
      <c r="J737" s="154" t="s">
        <v>34</v>
      </c>
      <c r="L737" s="128" t="s">
        <v>76</v>
      </c>
      <c r="M737" s="126" t="s">
        <v>69</v>
      </c>
      <c r="N737" s="126" t="s">
        <v>2856</v>
      </c>
      <c r="O737" s="161">
        <v>46116</v>
      </c>
      <c r="Q737" s="154" t="s">
        <v>336</v>
      </c>
      <c r="R737" s="126"/>
    </row>
    <row r="738" spans="1:18" ht="15.75">
      <c r="A738" s="158">
        <f t="shared" si="26"/>
        <v>737</v>
      </c>
      <c r="B738" s="138">
        <v>46115</v>
      </c>
      <c r="C738" s="250" t="s">
        <v>2857</v>
      </c>
      <c r="D738" s="126" t="s">
        <v>2318</v>
      </c>
      <c r="E738" s="126" t="s">
        <v>41</v>
      </c>
      <c r="F738" s="126" t="s">
        <v>42</v>
      </c>
      <c r="G738" s="129" t="s">
        <v>2858</v>
      </c>
      <c r="H738" s="64"/>
      <c r="I738" s="177" t="s">
        <v>2859</v>
      </c>
      <c r="J738" s="154" t="s">
        <v>34</v>
      </c>
      <c r="L738" s="128" t="s">
        <v>122</v>
      </c>
      <c r="M738" s="126" t="s">
        <v>69</v>
      </c>
      <c r="N738" s="126" t="s">
        <v>2860</v>
      </c>
      <c r="O738" s="161">
        <v>46116</v>
      </c>
      <c r="Q738" s="154" t="s">
        <v>336</v>
      </c>
      <c r="R738" s="126"/>
    </row>
    <row r="739" spans="1:18" ht="30">
      <c r="A739" s="158">
        <f t="shared" si="26"/>
        <v>738</v>
      </c>
      <c r="B739" s="138">
        <v>46115</v>
      </c>
      <c r="C739" s="159" t="s">
        <v>2861</v>
      </c>
      <c r="D739" s="126" t="s">
        <v>2862</v>
      </c>
      <c r="E739" s="126" t="s">
        <v>41</v>
      </c>
      <c r="F739" s="126" t="s">
        <v>90</v>
      </c>
      <c r="G739" s="126" t="s">
        <v>132</v>
      </c>
      <c r="H739" s="64">
        <v>9960238973</v>
      </c>
      <c r="I739" s="145" t="s">
        <v>2863</v>
      </c>
      <c r="J739" s="154" t="s">
        <v>34</v>
      </c>
      <c r="K739" s="193" t="s">
        <v>2864</v>
      </c>
      <c r="L739" s="126" t="s">
        <v>76</v>
      </c>
      <c r="M739" s="126" t="s">
        <v>69</v>
      </c>
      <c r="N739" s="126"/>
      <c r="O739" s="161"/>
      <c r="Q739" s="154"/>
      <c r="R739" s="126"/>
    </row>
    <row r="740" spans="1:18" ht="30">
      <c r="A740" s="158">
        <f t="shared" si="26"/>
        <v>739</v>
      </c>
      <c r="B740" s="138">
        <v>46115</v>
      </c>
      <c r="C740" s="126" t="s">
        <v>2865</v>
      </c>
      <c r="D740" s="126" t="s">
        <v>2866</v>
      </c>
      <c r="E740" s="126" t="s">
        <v>41</v>
      </c>
      <c r="F740" s="126" t="s">
        <v>71</v>
      </c>
      <c r="G740" s="126" t="s">
        <v>745</v>
      </c>
      <c r="H740" s="64">
        <v>9923625798</v>
      </c>
      <c r="I740" s="145" t="s">
        <v>2867</v>
      </c>
      <c r="J740" s="154" t="s">
        <v>34</v>
      </c>
      <c r="K740" s="193" t="s">
        <v>2868</v>
      </c>
      <c r="L740" s="126" t="s">
        <v>76</v>
      </c>
      <c r="M740" s="126" t="s">
        <v>77</v>
      </c>
      <c r="N740" s="126"/>
      <c r="O740" s="161"/>
      <c r="Q740" s="154"/>
      <c r="R740" s="126"/>
    </row>
    <row r="741" spans="1:18">
      <c r="A741" s="158">
        <f t="shared" si="26"/>
        <v>740</v>
      </c>
      <c r="B741" s="138">
        <v>46115</v>
      </c>
      <c r="D741" s="126" t="s">
        <v>2869</v>
      </c>
      <c r="E741" s="126" t="s">
        <v>41</v>
      </c>
      <c r="F741" s="126" t="s">
        <v>71</v>
      </c>
      <c r="G741" s="126" t="s">
        <v>1647</v>
      </c>
      <c r="H741" s="64">
        <v>8591226468</v>
      </c>
      <c r="I741" s="128"/>
      <c r="J741" s="154" t="s">
        <v>99</v>
      </c>
      <c r="K741" s="193" t="s">
        <v>2870</v>
      </c>
      <c r="L741" s="126" t="s">
        <v>76</v>
      </c>
      <c r="M741" s="126" t="s">
        <v>77</v>
      </c>
      <c r="N741" s="126"/>
      <c r="O741" s="161"/>
      <c r="Q741" s="154"/>
      <c r="R741" s="126"/>
    </row>
    <row r="742" spans="1:18" ht="30">
      <c r="A742" s="158">
        <f t="shared" si="26"/>
        <v>741</v>
      </c>
      <c r="B742" s="138">
        <v>46115</v>
      </c>
      <c r="C742" s="126" t="s">
        <v>2871</v>
      </c>
      <c r="D742" s="126" t="s">
        <v>2872</v>
      </c>
      <c r="E742" s="126" t="s">
        <v>206</v>
      </c>
      <c r="F742" s="126" t="s">
        <v>201</v>
      </c>
      <c r="G742" s="126" t="s">
        <v>2873</v>
      </c>
      <c r="H742" s="64">
        <v>9370556327</v>
      </c>
      <c r="I742" s="145" t="s">
        <v>2874</v>
      </c>
      <c r="J742" s="154" t="s">
        <v>2523</v>
      </c>
      <c r="K742" s="193" t="s">
        <v>2875</v>
      </c>
      <c r="L742" s="126" t="s">
        <v>76</v>
      </c>
      <c r="M742" s="126" t="s">
        <v>37</v>
      </c>
      <c r="N742" s="126"/>
      <c r="O742" s="161"/>
      <c r="Q742" s="154"/>
      <c r="R742" s="126"/>
    </row>
    <row r="743" spans="1:18" ht="30">
      <c r="A743" s="158">
        <f t="shared" si="26"/>
        <v>742</v>
      </c>
      <c r="B743" s="138">
        <v>46115</v>
      </c>
      <c r="C743" s="159"/>
      <c r="D743" s="126" t="s">
        <v>647</v>
      </c>
      <c r="E743" s="126" t="s">
        <v>131</v>
      </c>
      <c r="F743" s="126" t="s">
        <v>71</v>
      </c>
      <c r="G743" s="126" t="s">
        <v>2807</v>
      </c>
      <c r="H743" s="64">
        <v>7708636022</v>
      </c>
      <c r="I743" s="145" t="s">
        <v>2876</v>
      </c>
      <c r="J743" s="154" t="s">
        <v>248</v>
      </c>
      <c r="K743" s="126" t="s">
        <v>2877</v>
      </c>
      <c r="L743" s="126" t="s">
        <v>76</v>
      </c>
      <c r="M743" s="126" t="s">
        <v>77</v>
      </c>
      <c r="N743" s="126"/>
      <c r="O743" s="161"/>
      <c r="Q743" s="154"/>
      <c r="R743" s="126"/>
    </row>
    <row r="744" spans="1:18" ht="30">
      <c r="A744" s="158">
        <f t="shared" si="26"/>
        <v>743</v>
      </c>
      <c r="B744" s="138">
        <v>46115</v>
      </c>
      <c r="C744" s="126" t="s">
        <v>2878</v>
      </c>
      <c r="D744" s="126" t="s">
        <v>2879</v>
      </c>
      <c r="E744" s="126" t="s">
        <v>206</v>
      </c>
      <c r="F744" s="126" t="s">
        <v>32</v>
      </c>
      <c r="G744" s="126" t="s">
        <v>2880</v>
      </c>
      <c r="H744" s="64">
        <v>9997306071</v>
      </c>
      <c r="I744" s="145" t="s">
        <v>2881</v>
      </c>
      <c r="J744" s="154" t="s">
        <v>86</v>
      </c>
      <c r="K744" s="126" t="s">
        <v>2882</v>
      </c>
      <c r="L744" s="126" t="s">
        <v>76</v>
      </c>
      <c r="M744" s="126" t="s">
        <v>69</v>
      </c>
      <c r="N744" s="126"/>
      <c r="O744" s="161"/>
      <c r="Q744" s="154"/>
      <c r="R744" s="126"/>
    </row>
    <row r="745" spans="1:18" ht="16.5" customHeight="1">
      <c r="A745" s="158">
        <f t="shared" si="26"/>
        <v>744</v>
      </c>
      <c r="B745" s="138">
        <v>46116</v>
      </c>
      <c r="C745" t="s">
        <v>2883</v>
      </c>
      <c r="D745" s="126" t="s">
        <v>2884</v>
      </c>
      <c r="E745" s="126" t="s">
        <v>308</v>
      </c>
      <c r="F745" s="126" t="s">
        <v>201</v>
      </c>
      <c r="G745" s="126" t="s">
        <v>2885</v>
      </c>
      <c r="H745" s="64">
        <v>9694664945</v>
      </c>
      <c r="I745" s="128" t="s">
        <v>2886</v>
      </c>
      <c r="J745" s="154" t="s">
        <v>81</v>
      </c>
      <c r="K745" t="s">
        <v>2887</v>
      </c>
      <c r="L745" s="126" t="s">
        <v>76</v>
      </c>
      <c r="M745" s="126" t="s">
        <v>69</v>
      </c>
      <c r="N745" s="126"/>
      <c r="O745" s="161"/>
      <c r="Q745" s="154"/>
      <c r="R745" s="126"/>
    </row>
    <row r="746" spans="1:18">
      <c r="A746" s="158">
        <f t="shared" si="26"/>
        <v>745</v>
      </c>
      <c r="B746" s="138">
        <v>46116</v>
      </c>
      <c r="C746" s="126" t="s">
        <v>2888</v>
      </c>
      <c r="D746" s="126" t="s">
        <v>508</v>
      </c>
      <c r="E746" s="126" t="s">
        <v>84</v>
      </c>
      <c r="F746" s="126" t="s">
        <v>32</v>
      </c>
      <c r="G746" s="126" t="s">
        <v>1676</v>
      </c>
      <c r="H746" s="64">
        <v>6351590630</v>
      </c>
      <c r="I746" s="126" t="s">
        <v>2889</v>
      </c>
      <c r="J746" s="154" t="s">
        <v>248</v>
      </c>
      <c r="K746" t="s">
        <v>2890</v>
      </c>
      <c r="L746" s="126" t="s">
        <v>76</v>
      </c>
      <c r="M746" s="126" t="s">
        <v>69</v>
      </c>
      <c r="N746" s="126"/>
      <c r="O746" s="161"/>
      <c r="Q746" s="154"/>
      <c r="R746" s="126"/>
    </row>
    <row r="747" spans="1:18">
      <c r="A747" s="158">
        <f t="shared" si="26"/>
        <v>746</v>
      </c>
      <c r="B747" s="138">
        <v>46116</v>
      </c>
      <c r="C747" s="126" t="s">
        <v>2891</v>
      </c>
      <c r="D747" s="126" t="s">
        <v>2892</v>
      </c>
      <c r="E747" s="126" t="s">
        <v>65</v>
      </c>
      <c r="F747" s="126" t="s">
        <v>71</v>
      </c>
      <c r="G747" s="126" t="s">
        <v>1096</v>
      </c>
      <c r="H747" s="64">
        <v>9440860225</v>
      </c>
      <c r="I747" s="126" t="s">
        <v>2893</v>
      </c>
      <c r="J747" s="154" t="s">
        <v>272</v>
      </c>
      <c r="K747" t="s">
        <v>2894</v>
      </c>
      <c r="L747" s="126" t="s">
        <v>76</v>
      </c>
      <c r="M747" s="126" t="s">
        <v>77</v>
      </c>
      <c r="N747" s="126"/>
      <c r="O747" s="161"/>
      <c r="Q747" s="154"/>
      <c r="R747" s="126"/>
    </row>
    <row r="748" spans="1:18">
      <c r="A748" s="158">
        <f t="shared" si="26"/>
        <v>747</v>
      </c>
      <c r="B748" s="138">
        <v>46116</v>
      </c>
      <c r="C748" s="159" t="s">
        <v>2895</v>
      </c>
      <c r="D748" s="126" t="s">
        <v>762</v>
      </c>
      <c r="E748" s="126" t="s">
        <v>131</v>
      </c>
      <c r="F748" s="126" t="s">
        <v>80</v>
      </c>
      <c r="G748" s="126" t="s">
        <v>300</v>
      </c>
      <c r="H748" s="64">
        <v>7397256036</v>
      </c>
      <c r="I748" s="126" t="s">
        <v>2896</v>
      </c>
      <c r="J748" s="154" t="s">
        <v>81</v>
      </c>
      <c r="K748" t="s">
        <v>2897</v>
      </c>
      <c r="L748" s="126" t="s">
        <v>76</v>
      </c>
      <c r="M748" s="126" t="s">
        <v>69</v>
      </c>
      <c r="N748" s="126"/>
      <c r="O748" s="161"/>
      <c r="Q748" s="154"/>
      <c r="R748" s="126"/>
    </row>
    <row r="749" spans="1:18">
      <c r="A749" s="158">
        <f t="shared" si="26"/>
        <v>748</v>
      </c>
      <c r="B749" s="138">
        <v>46116</v>
      </c>
      <c r="C749" s="159" t="s">
        <v>2898</v>
      </c>
      <c r="D749" s="126"/>
      <c r="E749" s="126" t="s">
        <v>206</v>
      </c>
      <c r="F749" s="126" t="s">
        <v>71</v>
      </c>
      <c r="G749" s="126" t="s">
        <v>2899</v>
      </c>
      <c r="H749" s="64">
        <v>9443114544</v>
      </c>
      <c r="I749" s="126" t="s">
        <v>2900</v>
      </c>
      <c r="J749" s="154" t="s">
        <v>248</v>
      </c>
      <c r="K749" t="s">
        <v>2901</v>
      </c>
      <c r="L749" s="126" t="s">
        <v>76</v>
      </c>
      <c r="M749" s="126" t="s">
        <v>77</v>
      </c>
      <c r="N749" s="126"/>
      <c r="O749" s="161"/>
      <c r="Q749" s="154"/>
      <c r="R749" s="126"/>
    </row>
    <row r="750" spans="1:18">
      <c r="A750" s="158">
        <f t="shared" si="26"/>
        <v>749</v>
      </c>
      <c r="B750" s="138">
        <v>46116</v>
      </c>
      <c r="C750" s="159"/>
      <c r="D750" s="126"/>
      <c r="E750" s="126" t="s">
        <v>206</v>
      </c>
      <c r="F750" s="126" t="s">
        <v>71</v>
      </c>
      <c r="G750" s="126" t="s">
        <v>212</v>
      </c>
      <c r="H750" s="64">
        <v>9850103500</v>
      </c>
      <c r="I750" s="126" t="s">
        <v>2242</v>
      </c>
      <c r="J750" s="154" t="s">
        <v>272</v>
      </c>
      <c r="K750" t="s">
        <v>2075</v>
      </c>
      <c r="L750" s="126" t="s">
        <v>76</v>
      </c>
      <c r="M750" s="126" t="s">
        <v>77</v>
      </c>
      <c r="N750" s="126"/>
      <c r="O750" s="161"/>
      <c r="Q750" s="154"/>
      <c r="R750" s="126"/>
    </row>
    <row r="751" spans="1:18">
      <c r="A751" s="158">
        <f t="shared" si="26"/>
        <v>750</v>
      </c>
      <c r="B751" s="138">
        <v>46116</v>
      </c>
      <c r="C751" s="159"/>
      <c r="D751" s="126" t="s">
        <v>337</v>
      </c>
      <c r="E751" s="126" t="s">
        <v>206</v>
      </c>
      <c r="F751" s="126" t="s">
        <v>71</v>
      </c>
      <c r="G751" t="s">
        <v>1268</v>
      </c>
      <c r="H751" s="64">
        <v>9561900219</v>
      </c>
      <c r="I751" s="126" t="s">
        <v>2902</v>
      </c>
      <c r="J751" s="154" t="s">
        <v>99</v>
      </c>
      <c r="K751" t="s">
        <v>2903</v>
      </c>
      <c r="L751" s="126" t="s">
        <v>76</v>
      </c>
      <c r="M751" s="126" t="s">
        <v>77</v>
      </c>
      <c r="N751" s="126"/>
      <c r="O751" s="161"/>
      <c r="Q751" s="154"/>
      <c r="R751" s="126"/>
    </row>
    <row r="752" spans="1:18">
      <c r="A752" s="158">
        <f t="shared" si="26"/>
        <v>751</v>
      </c>
      <c r="B752" s="138">
        <v>46116</v>
      </c>
      <c r="C752" s="138" t="s">
        <v>2904</v>
      </c>
      <c r="D752" s="126" t="s">
        <v>2905</v>
      </c>
      <c r="E752" s="126" t="s">
        <v>41</v>
      </c>
      <c r="F752" s="126" t="s">
        <v>71</v>
      </c>
      <c r="G752" s="126" t="s">
        <v>2906</v>
      </c>
      <c r="H752" s="64">
        <v>9158772627</v>
      </c>
      <c r="I752" s="126" t="s">
        <v>2907</v>
      </c>
      <c r="J752" s="154" t="s">
        <v>34</v>
      </c>
      <c r="K752" t="s">
        <v>2908</v>
      </c>
      <c r="L752" s="128" t="s">
        <v>76</v>
      </c>
      <c r="M752" s="126" t="s">
        <v>77</v>
      </c>
      <c r="N752" s="126"/>
      <c r="O752" s="161"/>
      <c r="Q752" s="154"/>
      <c r="R752" s="126"/>
    </row>
    <row r="753" spans="1:18">
      <c r="A753" s="158">
        <f t="shared" si="26"/>
        <v>752</v>
      </c>
      <c r="B753" s="138">
        <v>46116</v>
      </c>
      <c r="C753" s="159" t="s">
        <v>2909</v>
      </c>
      <c r="D753" s="126" t="s">
        <v>2910</v>
      </c>
      <c r="E753" s="126" t="s">
        <v>711</v>
      </c>
      <c r="F753" s="126" t="s">
        <v>71</v>
      </c>
      <c r="G753" s="126" t="s">
        <v>745</v>
      </c>
      <c r="H753" s="64">
        <v>9606739416</v>
      </c>
      <c r="I753" s="126" t="s">
        <v>2911</v>
      </c>
      <c r="J753" s="154" t="s">
        <v>248</v>
      </c>
      <c r="K753" t="s">
        <v>2206</v>
      </c>
      <c r="L753" s="128" t="s">
        <v>76</v>
      </c>
      <c r="M753" s="126" t="s">
        <v>77</v>
      </c>
      <c r="N753" s="126"/>
      <c r="O753" s="161"/>
      <c r="Q753" s="154"/>
      <c r="R753" s="126"/>
    </row>
    <row r="754" spans="1:18">
      <c r="A754" s="158">
        <f t="shared" si="26"/>
        <v>753</v>
      </c>
      <c r="B754" s="138">
        <v>46117</v>
      </c>
      <c r="C754" s="159" t="s">
        <v>2912</v>
      </c>
      <c r="D754" s="126" t="s">
        <v>46</v>
      </c>
      <c r="E754" s="126" t="s">
        <v>41</v>
      </c>
      <c r="F754" s="126" t="s">
        <v>32</v>
      </c>
      <c r="G754" s="129" t="s">
        <v>2913</v>
      </c>
      <c r="H754" s="64"/>
      <c r="I754" s="177" t="s">
        <v>2914</v>
      </c>
      <c r="J754" s="154" t="s">
        <v>34</v>
      </c>
      <c r="L754" s="128" t="s">
        <v>122</v>
      </c>
      <c r="M754" s="126" t="s">
        <v>368</v>
      </c>
      <c r="N754" s="126" t="s">
        <v>2915</v>
      </c>
      <c r="O754" s="161">
        <v>46117</v>
      </c>
      <c r="Q754" s="154" t="s">
        <v>336</v>
      </c>
      <c r="R754" s="126"/>
    </row>
    <row r="755" spans="1:18">
      <c r="A755" s="158">
        <f t="shared" si="26"/>
        <v>754</v>
      </c>
      <c r="B755" s="138">
        <v>46118</v>
      </c>
      <c r="C755" s="159" t="s">
        <v>2916</v>
      </c>
      <c r="D755" s="126" t="s">
        <v>264</v>
      </c>
      <c r="E755" s="126" t="s">
        <v>41</v>
      </c>
      <c r="F755" s="126" t="s">
        <v>80</v>
      </c>
      <c r="G755" t="s">
        <v>300</v>
      </c>
      <c r="H755" s="64">
        <v>9158899611</v>
      </c>
      <c r="I755" s="126" t="s">
        <v>2917</v>
      </c>
      <c r="J755" s="154" t="s">
        <v>86</v>
      </c>
      <c r="K755" t="s">
        <v>2918</v>
      </c>
      <c r="L755" s="128" t="s">
        <v>76</v>
      </c>
      <c r="M755" s="126" t="s">
        <v>69</v>
      </c>
      <c r="N755" s="126"/>
      <c r="O755" s="161"/>
      <c r="Q755" s="154"/>
      <c r="R755" s="126"/>
    </row>
    <row r="756" spans="1:18">
      <c r="A756" s="158">
        <f t="shared" si="26"/>
        <v>755</v>
      </c>
      <c r="B756" s="138">
        <v>46118</v>
      </c>
      <c r="C756" s="159" t="s">
        <v>2919</v>
      </c>
      <c r="D756" s="126" t="s">
        <v>2920</v>
      </c>
      <c r="E756" s="126" t="s">
        <v>41</v>
      </c>
      <c r="F756" s="126" t="s">
        <v>71</v>
      </c>
      <c r="G756" s="126" t="s">
        <v>72</v>
      </c>
      <c r="H756" s="64">
        <v>9765356786</v>
      </c>
      <c r="I756" s="126" t="s">
        <v>2921</v>
      </c>
      <c r="J756" s="154" t="s">
        <v>272</v>
      </c>
      <c r="K756" t="s">
        <v>2922</v>
      </c>
      <c r="L756" s="128" t="s">
        <v>76</v>
      </c>
      <c r="M756" s="126" t="s">
        <v>77</v>
      </c>
      <c r="N756" s="126"/>
      <c r="O756" s="161"/>
      <c r="Q756" s="154"/>
      <c r="R756" s="126"/>
    </row>
    <row r="757" spans="1:18">
      <c r="A757" s="158">
        <f t="shared" si="26"/>
        <v>756</v>
      </c>
      <c r="B757" s="138">
        <v>46118</v>
      </c>
      <c r="C757" s="159" t="s">
        <v>2923</v>
      </c>
      <c r="D757" s="126" t="s">
        <v>2924</v>
      </c>
      <c r="E757" s="126" t="s">
        <v>41</v>
      </c>
      <c r="F757" s="126" t="s">
        <v>71</v>
      </c>
      <c r="G757" s="126" t="s">
        <v>212</v>
      </c>
      <c r="H757" s="64">
        <v>7776076665</v>
      </c>
      <c r="I757" s="174"/>
      <c r="J757" s="154" t="s">
        <v>1420</v>
      </c>
      <c r="K757" t="s">
        <v>2925</v>
      </c>
      <c r="L757" s="128" t="s">
        <v>76</v>
      </c>
      <c r="M757" s="126" t="s">
        <v>77</v>
      </c>
      <c r="N757" s="126"/>
      <c r="O757" s="161"/>
      <c r="Q757" s="154"/>
      <c r="R757" s="126"/>
    </row>
    <row r="758" spans="1:18">
      <c r="A758" s="158">
        <f t="shared" si="26"/>
        <v>757</v>
      </c>
      <c r="B758" s="138">
        <v>46118</v>
      </c>
      <c r="C758" s="159" t="s">
        <v>2926</v>
      </c>
      <c r="D758" s="126" t="s">
        <v>2927</v>
      </c>
      <c r="E758" s="126" t="s">
        <v>41</v>
      </c>
      <c r="F758" s="126" t="s">
        <v>90</v>
      </c>
      <c r="G758" s="126" t="s">
        <v>423</v>
      </c>
      <c r="H758" s="64">
        <v>9324811919</v>
      </c>
      <c r="I758" s="126" t="s">
        <v>2928</v>
      </c>
      <c r="J758" s="154" t="s">
        <v>81</v>
      </c>
      <c r="K758" t="s">
        <v>2929</v>
      </c>
      <c r="L758" s="128" t="s">
        <v>76</v>
      </c>
      <c r="M758" s="126" t="s">
        <v>69</v>
      </c>
      <c r="N758" s="126"/>
      <c r="O758" s="161"/>
      <c r="Q758" s="154"/>
      <c r="R758" s="126"/>
    </row>
    <row r="759" spans="1:18">
      <c r="A759" s="158">
        <f t="shared" si="26"/>
        <v>758</v>
      </c>
      <c r="B759" s="138">
        <v>46118</v>
      </c>
      <c r="C759" s="159" t="s">
        <v>2930</v>
      </c>
      <c r="D759" s="126" t="s">
        <v>2931</v>
      </c>
      <c r="E759" s="126" t="s">
        <v>206</v>
      </c>
      <c r="F759" s="126" t="s">
        <v>80</v>
      </c>
      <c r="G759" s="126" t="s">
        <v>300</v>
      </c>
      <c r="H759" s="64">
        <v>8130300040</v>
      </c>
      <c r="I759" s="126" t="s">
        <v>2932</v>
      </c>
      <c r="J759" s="154" t="s">
        <v>81</v>
      </c>
      <c r="K759" t="s">
        <v>2933</v>
      </c>
      <c r="L759" s="128" t="s">
        <v>76</v>
      </c>
      <c r="M759" s="126" t="s">
        <v>69</v>
      </c>
      <c r="N759" s="126"/>
      <c r="O759" s="161"/>
      <c r="Q759" s="154"/>
      <c r="R759" s="126"/>
    </row>
    <row r="760" spans="1:18">
      <c r="A760" s="158">
        <f t="shared" si="26"/>
        <v>759</v>
      </c>
      <c r="B760" s="138">
        <v>46118</v>
      </c>
      <c r="C760" s="159" t="s">
        <v>2934</v>
      </c>
      <c r="D760" s="159" t="s">
        <v>2935</v>
      </c>
      <c r="E760" s="126" t="s">
        <v>41</v>
      </c>
      <c r="F760" s="126" t="s">
        <v>71</v>
      </c>
      <c r="G760" s="129" t="s">
        <v>1268</v>
      </c>
      <c r="H760" s="64">
        <v>9637320354</v>
      </c>
      <c r="I760" s="126" t="s">
        <v>2936</v>
      </c>
      <c r="J760" s="154" t="s">
        <v>34</v>
      </c>
      <c r="K760" t="s">
        <v>2937</v>
      </c>
      <c r="L760" s="128" t="s">
        <v>76</v>
      </c>
      <c r="M760" s="126" t="s">
        <v>77</v>
      </c>
      <c r="N760" s="126" t="s">
        <v>2938</v>
      </c>
      <c r="O760" s="161">
        <v>46119</v>
      </c>
      <c r="Q760" s="154" t="s">
        <v>336</v>
      </c>
      <c r="R760" s="126"/>
    </row>
    <row r="761" spans="1:18">
      <c r="A761" s="158">
        <f t="shared" si="26"/>
        <v>760</v>
      </c>
      <c r="B761" s="138">
        <v>46118</v>
      </c>
      <c r="C761" s="159" t="s">
        <v>2939</v>
      </c>
      <c r="D761" s="126" t="s">
        <v>2940</v>
      </c>
      <c r="E761" s="126" t="s">
        <v>41</v>
      </c>
      <c r="F761" s="126" t="s">
        <v>32</v>
      </c>
      <c r="G761"/>
      <c r="H761" s="64"/>
      <c r="I761" s="174" t="s">
        <v>2941</v>
      </c>
      <c r="J761" s="154" t="s">
        <v>34</v>
      </c>
      <c r="K761" s="186"/>
      <c r="L761" s="126" t="s">
        <v>54</v>
      </c>
      <c r="M761" s="126" t="s">
        <v>37</v>
      </c>
      <c r="N761" s="126" t="s">
        <v>2942</v>
      </c>
      <c r="O761" s="161">
        <v>46118</v>
      </c>
      <c r="Q761" s="154" t="s">
        <v>336</v>
      </c>
      <c r="R761" s="126"/>
    </row>
    <row r="762" spans="1:18">
      <c r="A762" s="158">
        <f t="shared" si="26"/>
        <v>761</v>
      </c>
      <c r="B762" s="138"/>
      <c r="C762" s="159"/>
      <c r="D762" s="126"/>
      <c r="E762" s="126"/>
      <c r="F762" s="126"/>
      <c r="G762" s="129"/>
      <c r="H762" s="64"/>
      <c r="I762" s="174"/>
      <c r="J762" s="154"/>
      <c r="K762" s="186"/>
      <c r="L762" s="126"/>
      <c r="M762" s="126"/>
      <c r="N762" s="126"/>
      <c r="O762" s="161"/>
      <c r="Q762" s="154"/>
      <c r="R762" s="126"/>
    </row>
    <row r="763" spans="1:18">
      <c r="A763" s="158">
        <f t="shared" si="26"/>
        <v>762</v>
      </c>
      <c r="B763" s="138">
        <v>46119</v>
      </c>
      <c r="C763" s="159" t="s">
        <v>2943</v>
      </c>
      <c r="D763" s="126" t="s">
        <v>443</v>
      </c>
      <c r="E763" s="126" t="s">
        <v>41</v>
      </c>
      <c r="F763" s="126" t="s">
        <v>42</v>
      </c>
      <c r="G763" s="129" t="s">
        <v>2944</v>
      </c>
      <c r="H763" s="64"/>
      <c r="I763" s="177" t="s">
        <v>2945</v>
      </c>
      <c r="J763" s="154" t="s">
        <v>34</v>
      </c>
      <c r="K763" t="s">
        <v>2946</v>
      </c>
      <c r="L763" s="126" t="s">
        <v>36</v>
      </c>
      <c r="M763" s="126" t="s">
        <v>37</v>
      </c>
      <c r="N763" s="126" t="s">
        <v>2947</v>
      </c>
      <c r="O763" s="161"/>
      <c r="Q763" s="154" t="s">
        <v>336</v>
      </c>
      <c r="R763" s="126"/>
    </row>
    <row r="764" spans="1:18">
      <c r="A764" s="158">
        <f t="shared" ref="A764:A766" si="27">ROW()-1</f>
        <v>763</v>
      </c>
      <c r="B764" s="138">
        <v>46119</v>
      </c>
      <c r="C764" s="159" t="s">
        <v>2948</v>
      </c>
      <c r="D764" s="126" t="s">
        <v>46</v>
      </c>
      <c r="E764" s="126" t="s">
        <v>41</v>
      </c>
      <c r="F764" s="126" t="s">
        <v>71</v>
      </c>
      <c r="G764" s="129" t="s">
        <v>2949</v>
      </c>
      <c r="H764" s="64">
        <v>7758036720</v>
      </c>
      <c r="I764" s="182" t="s">
        <v>2950</v>
      </c>
      <c r="J764" s="154" t="s">
        <v>74</v>
      </c>
      <c r="K764" s="212" t="s">
        <v>2951</v>
      </c>
      <c r="L764" s="126" t="s">
        <v>36</v>
      </c>
      <c r="M764" s="126" t="s">
        <v>77</v>
      </c>
      <c r="N764" s="126" t="s">
        <v>2952</v>
      </c>
      <c r="O764" s="161">
        <v>46119</v>
      </c>
      <c r="Q764" s="154" t="s">
        <v>78</v>
      </c>
      <c r="R764" s="126"/>
    </row>
    <row r="765" spans="1:18">
      <c r="A765" s="158">
        <f t="shared" si="27"/>
        <v>764</v>
      </c>
      <c r="B765" s="138">
        <v>46119</v>
      </c>
      <c r="C765" s="159" t="s">
        <v>2953</v>
      </c>
      <c r="D765" s="126" t="s">
        <v>46</v>
      </c>
      <c r="E765" s="126" t="s">
        <v>41</v>
      </c>
      <c r="F765" s="126" t="s">
        <v>80</v>
      </c>
      <c r="G765" s="129" t="s">
        <v>2954</v>
      </c>
      <c r="H765" s="64"/>
      <c r="I765" s="177" t="s">
        <v>2955</v>
      </c>
      <c r="J765" s="1" t="s">
        <v>74</v>
      </c>
      <c r="K765" s="212" t="s">
        <v>2956</v>
      </c>
      <c r="L765" s="126" t="s">
        <v>54</v>
      </c>
      <c r="M765" s="126" t="s">
        <v>69</v>
      </c>
      <c r="N765" s="126" t="s">
        <v>2957</v>
      </c>
      <c r="O765" s="161">
        <v>46119</v>
      </c>
      <c r="Q765" s="154" t="s">
        <v>78</v>
      </c>
      <c r="R765" s="126"/>
    </row>
    <row r="766" spans="1:18">
      <c r="A766" s="158">
        <f t="shared" si="27"/>
        <v>765</v>
      </c>
      <c r="B766" s="138">
        <v>46119</v>
      </c>
      <c r="C766" s="159" t="s">
        <v>2958</v>
      </c>
      <c r="D766" s="126" t="s">
        <v>46</v>
      </c>
      <c r="E766" s="126" t="s">
        <v>41</v>
      </c>
      <c r="F766" s="126" t="s">
        <v>71</v>
      </c>
      <c r="G766" s="240" t="s">
        <v>2959</v>
      </c>
      <c r="H766" s="64"/>
      <c r="I766" s="177" t="s">
        <v>2960</v>
      </c>
      <c r="J766" s="1" t="s">
        <v>34</v>
      </c>
      <c r="L766" s="126" t="s">
        <v>76</v>
      </c>
      <c r="M766" s="126" t="s">
        <v>69</v>
      </c>
      <c r="N766" s="126" t="s">
        <v>2961</v>
      </c>
      <c r="O766" s="161">
        <v>46119</v>
      </c>
      <c r="Q766" s="154" t="s">
        <v>336</v>
      </c>
      <c r="R766" s="126"/>
    </row>
    <row r="767" spans="1:18">
      <c r="A767" s="158">
        <f t="shared" ref="A767:A790" si="28">ROW()-1</f>
        <v>766</v>
      </c>
      <c r="B767" s="138">
        <v>46119</v>
      </c>
      <c r="C767" s="159" t="s">
        <v>2962</v>
      </c>
      <c r="D767" s="126" t="s">
        <v>46</v>
      </c>
      <c r="E767" s="126" t="s">
        <v>41</v>
      </c>
      <c r="F767" s="126" t="s">
        <v>117</v>
      </c>
      <c r="G767" s="129" t="s">
        <v>2963</v>
      </c>
      <c r="H767" s="64">
        <v>9822577592</v>
      </c>
      <c r="I767" s="177" t="s">
        <v>2964</v>
      </c>
      <c r="J767" s="1" t="s">
        <v>34</v>
      </c>
      <c r="K767" t="s">
        <v>1777</v>
      </c>
      <c r="L767" s="126" t="s">
        <v>54</v>
      </c>
      <c r="M767" s="126" t="s">
        <v>37</v>
      </c>
      <c r="N767" s="126" t="s">
        <v>2965</v>
      </c>
      <c r="O767" s="161">
        <v>46119</v>
      </c>
      <c r="Q767" s="154" t="s">
        <v>336</v>
      </c>
      <c r="R767" s="126"/>
    </row>
    <row r="768" spans="1:18">
      <c r="A768" s="158">
        <f t="shared" si="28"/>
        <v>767</v>
      </c>
      <c r="B768" s="138">
        <v>46119</v>
      </c>
      <c r="C768" s="159" t="s">
        <v>2966</v>
      </c>
      <c r="D768" s="126" t="s">
        <v>46</v>
      </c>
      <c r="E768" s="126" t="s">
        <v>41</v>
      </c>
      <c r="F768" s="126" t="s">
        <v>80</v>
      </c>
      <c r="G768" s="129" t="s">
        <v>2967</v>
      </c>
      <c r="H768" s="255">
        <v>8600120115</v>
      </c>
      <c r="I768" s="126" t="s">
        <v>1606</v>
      </c>
      <c r="J768" s="154" t="s">
        <v>34</v>
      </c>
      <c r="K768" s="212" t="s">
        <v>1607</v>
      </c>
      <c r="L768" s="126" t="s">
        <v>54</v>
      </c>
      <c r="M768" s="126" t="s">
        <v>37</v>
      </c>
      <c r="N768" s="126"/>
      <c r="O768" s="161"/>
      <c r="Q768" s="154"/>
      <c r="R768" s="126"/>
    </row>
    <row r="769" spans="1:18">
      <c r="A769" s="158">
        <f t="shared" si="28"/>
        <v>768</v>
      </c>
      <c r="B769" s="138">
        <v>46119</v>
      </c>
      <c r="C769" s="159"/>
      <c r="D769" s="126" t="s">
        <v>2968</v>
      </c>
      <c r="E769" s="126" t="s">
        <v>771</v>
      </c>
      <c r="F769" s="126" t="s">
        <v>71</v>
      </c>
      <c r="G769" s="126" t="s">
        <v>212</v>
      </c>
      <c r="H769" s="256"/>
      <c r="I769" s="126" t="s">
        <v>2969</v>
      </c>
      <c r="J769" s="154" t="s">
        <v>2523</v>
      </c>
      <c r="K769" s="212"/>
      <c r="L769" s="128" t="s">
        <v>76</v>
      </c>
      <c r="M769" s="126" t="s">
        <v>77</v>
      </c>
      <c r="N769" s="126"/>
      <c r="O769" s="161"/>
      <c r="Q769" s="154"/>
      <c r="R769" s="126"/>
    </row>
    <row r="770" spans="1:18">
      <c r="A770" s="158">
        <f t="shared" si="28"/>
        <v>769</v>
      </c>
      <c r="B770" s="138">
        <v>46119</v>
      </c>
      <c r="C770" s="159"/>
      <c r="D770" s="126" t="s">
        <v>2557</v>
      </c>
      <c r="E770" s="126" t="s">
        <v>131</v>
      </c>
      <c r="F770" s="126" t="s">
        <v>71</v>
      </c>
      <c r="G770" s="129" t="s">
        <v>788</v>
      </c>
      <c r="H770" s="256">
        <v>9842020245</v>
      </c>
      <c r="I770" s="128"/>
      <c r="J770" s="154" t="s">
        <v>86</v>
      </c>
      <c r="K770" s="212"/>
      <c r="L770" s="128" t="s">
        <v>76</v>
      </c>
      <c r="M770" s="126" t="s">
        <v>77</v>
      </c>
      <c r="N770" s="126"/>
      <c r="O770" s="161"/>
      <c r="Q770" s="154"/>
      <c r="R770" s="126"/>
    </row>
    <row r="771" spans="1:18">
      <c r="A771" s="158">
        <f t="shared" si="28"/>
        <v>770</v>
      </c>
      <c r="B771" s="138">
        <v>46119</v>
      </c>
      <c r="C771" s="159" t="s">
        <v>2970</v>
      </c>
      <c r="D771" s="126" t="s">
        <v>2971</v>
      </c>
      <c r="E771" s="126" t="s">
        <v>41</v>
      </c>
      <c r="F771" s="126" t="s">
        <v>71</v>
      </c>
      <c r="G771" s="126" t="s">
        <v>2972</v>
      </c>
      <c r="H771" s="256">
        <v>7769969765</v>
      </c>
      <c r="I771" s="126" t="s">
        <v>2973</v>
      </c>
      <c r="J771" s="154" t="s">
        <v>34</v>
      </c>
      <c r="K771" s="212" t="s">
        <v>2974</v>
      </c>
      <c r="L771" s="128" t="s">
        <v>76</v>
      </c>
      <c r="M771" s="126" t="s">
        <v>77</v>
      </c>
      <c r="N771" s="126"/>
      <c r="O771" s="161"/>
      <c r="Q771" s="154"/>
      <c r="R771" s="126"/>
    </row>
    <row r="772" spans="1:18">
      <c r="A772" s="158">
        <f t="shared" si="28"/>
        <v>771</v>
      </c>
      <c r="B772" s="138">
        <v>46119</v>
      </c>
      <c r="C772" s="159" t="s">
        <v>2975</v>
      </c>
      <c r="D772" s="126" t="s">
        <v>2975</v>
      </c>
      <c r="E772" s="126" t="s">
        <v>41</v>
      </c>
      <c r="F772" s="126" t="s">
        <v>80</v>
      </c>
      <c r="G772" s="129" t="s">
        <v>2444</v>
      </c>
      <c r="H772" s="256">
        <v>8857033592</v>
      </c>
      <c r="I772" s="126" t="s">
        <v>2976</v>
      </c>
      <c r="J772" s="154" t="s">
        <v>248</v>
      </c>
      <c r="K772" t="s">
        <v>2977</v>
      </c>
      <c r="L772" s="128" t="s">
        <v>76</v>
      </c>
      <c r="M772" s="126" t="s">
        <v>69</v>
      </c>
      <c r="N772" s="126"/>
      <c r="O772" s="161"/>
      <c r="Q772" s="154"/>
      <c r="R772" s="126"/>
    </row>
    <row r="773" spans="1:18">
      <c r="A773" s="158">
        <f t="shared" si="28"/>
        <v>772</v>
      </c>
      <c r="B773" s="138">
        <v>46119</v>
      </c>
      <c r="C773" s="159" t="s">
        <v>2663</v>
      </c>
      <c r="D773" s="126" t="s">
        <v>176</v>
      </c>
      <c r="E773" s="126" t="s">
        <v>41</v>
      </c>
      <c r="F773" s="126" t="s">
        <v>201</v>
      </c>
      <c r="G773" s="129" t="s">
        <v>2978</v>
      </c>
      <c r="H773" s="256"/>
      <c r="I773" s="128"/>
      <c r="J773" s="154" t="s">
        <v>2523</v>
      </c>
      <c r="K773" t="s">
        <v>2666</v>
      </c>
      <c r="L773" s="128" t="s">
        <v>76</v>
      </c>
      <c r="M773" s="126" t="s">
        <v>37</v>
      </c>
      <c r="N773" s="126"/>
      <c r="O773" s="161"/>
      <c r="Q773" s="154"/>
      <c r="R773" s="126"/>
    </row>
    <row r="774" spans="1:18">
      <c r="A774" s="158">
        <f t="shared" si="28"/>
        <v>773</v>
      </c>
      <c r="B774" s="138">
        <v>46119</v>
      </c>
      <c r="C774" s="159" t="s">
        <v>2979</v>
      </c>
      <c r="D774" s="126" t="s">
        <v>2980</v>
      </c>
      <c r="E774" s="126" t="s">
        <v>771</v>
      </c>
      <c r="F774" s="126" t="s">
        <v>32</v>
      </c>
      <c r="G774" s="129" t="s">
        <v>697</v>
      </c>
      <c r="H774" s="256">
        <v>9780400793</v>
      </c>
      <c r="I774" s="128"/>
      <c r="J774" t="s">
        <v>248</v>
      </c>
      <c r="K774" t="s">
        <v>2981</v>
      </c>
      <c r="L774" s="126" t="s">
        <v>101</v>
      </c>
      <c r="M774" s="126" t="s">
        <v>69</v>
      </c>
      <c r="N774" s="126"/>
      <c r="O774" s="161"/>
      <c r="Q774" s="154"/>
      <c r="R774" s="126"/>
    </row>
    <row r="775" spans="1:18">
      <c r="A775" s="158">
        <f t="shared" si="28"/>
        <v>774</v>
      </c>
      <c r="B775" s="138">
        <v>46119</v>
      </c>
      <c r="C775" s="159" t="s">
        <v>2982</v>
      </c>
      <c r="D775" s="126" t="s">
        <v>264</v>
      </c>
      <c r="E775" s="126" t="s">
        <v>41</v>
      </c>
      <c r="F775" s="126" t="s">
        <v>32</v>
      </c>
      <c r="G775" t="s">
        <v>643</v>
      </c>
      <c r="H775" s="256"/>
      <c r="I775" s="128"/>
      <c r="J775" s="154" t="s">
        <v>81</v>
      </c>
      <c r="K775" t="s">
        <v>2983</v>
      </c>
      <c r="L775" s="128" t="s">
        <v>76</v>
      </c>
      <c r="M775" s="126" t="s">
        <v>69</v>
      </c>
      <c r="N775" s="126"/>
      <c r="O775" s="161"/>
      <c r="Q775" s="154"/>
      <c r="R775" s="126"/>
    </row>
    <row r="776" spans="1:18">
      <c r="A776" s="158">
        <f t="shared" si="28"/>
        <v>775</v>
      </c>
      <c r="B776" s="138">
        <v>46119</v>
      </c>
      <c r="C776" s="159" t="s">
        <v>2948</v>
      </c>
      <c r="D776" s="126" t="s">
        <v>46</v>
      </c>
      <c r="E776" s="126" t="s">
        <v>41</v>
      </c>
      <c r="F776" s="126" t="s">
        <v>71</v>
      </c>
      <c r="G776" s="129" t="s">
        <v>2984</v>
      </c>
      <c r="H776" s="256">
        <v>7722050915</v>
      </c>
      <c r="I776" s="126" t="s">
        <v>1882</v>
      </c>
      <c r="J776" s="154" t="s">
        <v>34</v>
      </c>
      <c r="K776" s="212" t="s">
        <v>2985</v>
      </c>
      <c r="L776" s="126" t="s">
        <v>54</v>
      </c>
      <c r="M776" s="126" t="s">
        <v>77</v>
      </c>
      <c r="N776" s="126"/>
      <c r="O776" s="161"/>
      <c r="Q776" s="154"/>
      <c r="R776" s="126"/>
    </row>
    <row r="777" spans="1:18">
      <c r="A777" s="158">
        <f t="shared" si="28"/>
        <v>776</v>
      </c>
      <c r="B777" s="138">
        <v>46120</v>
      </c>
      <c r="C777" s="159" t="s">
        <v>2986</v>
      </c>
      <c r="D777" s="126" t="s">
        <v>2155</v>
      </c>
      <c r="E777" s="126" t="s">
        <v>41</v>
      </c>
      <c r="F777" s="126" t="s">
        <v>71</v>
      </c>
      <c r="G777" s="129" t="s">
        <v>2984</v>
      </c>
      <c r="H777" s="64"/>
      <c r="I777" s="128"/>
      <c r="J777" s="154" t="s">
        <v>34</v>
      </c>
      <c r="L777" s="126" t="s">
        <v>122</v>
      </c>
      <c r="M777" s="126" t="s">
        <v>69</v>
      </c>
      <c r="N777" s="126"/>
      <c r="O777" s="161"/>
      <c r="Q777" s="154"/>
      <c r="R777" s="126"/>
    </row>
    <row r="778" spans="1:18" ht="30">
      <c r="A778" s="158">
        <f t="shared" si="28"/>
        <v>777</v>
      </c>
      <c r="B778" s="138">
        <v>46120</v>
      </c>
      <c r="C778" s="159" t="s">
        <v>2987</v>
      </c>
      <c r="D778" s="128" t="s">
        <v>2988</v>
      </c>
      <c r="E778" s="126" t="s">
        <v>65</v>
      </c>
      <c r="F778" s="126" t="s">
        <v>71</v>
      </c>
      <c r="G778" s="240" t="s">
        <v>2959</v>
      </c>
      <c r="H778" s="64">
        <v>9567698052</v>
      </c>
      <c r="I778" s="126" t="s">
        <v>2989</v>
      </c>
      <c r="J778" s="154" t="s">
        <v>34</v>
      </c>
      <c r="K778" t="s">
        <v>2990</v>
      </c>
      <c r="L778" s="126" t="s">
        <v>54</v>
      </c>
      <c r="M778" s="126" t="s">
        <v>77</v>
      </c>
      <c r="N778" s="126"/>
      <c r="O778" s="161"/>
      <c r="Q778" s="154"/>
      <c r="R778" s="126"/>
    </row>
    <row r="779" spans="1:18">
      <c r="A779" s="158">
        <f t="shared" si="28"/>
        <v>778</v>
      </c>
      <c r="B779" s="138">
        <v>46120</v>
      </c>
      <c r="C779" s="159" t="s">
        <v>2470</v>
      </c>
      <c r="D779" s="126" t="s">
        <v>2991</v>
      </c>
      <c r="E779" s="126" t="s">
        <v>41</v>
      </c>
      <c r="F779" s="126" t="s">
        <v>80</v>
      </c>
      <c r="G779" s="129" t="s">
        <v>260</v>
      </c>
      <c r="H779" s="64">
        <v>9370694025</v>
      </c>
      <c r="I779" s="126" t="s">
        <v>2471</v>
      </c>
      <c r="J779" s="154" t="s">
        <v>99</v>
      </c>
      <c r="K779" t="s">
        <v>2472</v>
      </c>
      <c r="L779" s="128" t="s">
        <v>101</v>
      </c>
      <c r="M779" s="126" t="s">
        <v>69</v>
      </c>
      <c r="N779" s="126"/>
      <c r="O779" s="161"/>
      <c r="Q779" s="154"/>
      <c r="R779" s="126"/>
    </row>
    <row r="780" spans="1:18">
      <c r="A780" s="158">
        <f t="shared" si="28"/>
        <v>779</v>
      </c>
      <c r="B780" s="138">
        <v>46120</v>
      </c>
      <c r="C780" s="159"/>
      <c r="D780" s="126"/>
      <c r="E780" s="126"/>
      <c r="F780" s="126" t="s">
        <v>32</v>
      </c>
      <c r="G780" s="265" t="s">
        <v>2992</v>
      </c>
      <c r="H780" s="64">
        <v>7373390090</v>
      </c>
      <c r="I780" s="128"/>
      <c r="J780" s="154" t="s">
        <v>81</v>
      </c>
      <c r="K780" s="159" t="s">
        <v>2993</v>
      </c>
      <c r="L780" s="128" t="s">
        <v>101</v>
      </c>
      <c r="M780" s="126" t="s">
        <v>69</v>
      </c>
      <c r="N780" s="126"/>
      <c r="O780" s="161"/>
      <c r="Q780" s="154"/>
      <c r="R780" s="126"/>
    </row>
    <row r="781" spans="1:18">
      <c r="A781" s="158">
        <f t="shared" si="28"/>
        <v>780</v>
      </c>
      <c r="B781" s="138">
        <v>46120</v>
      </c>
      <c r="C781" s="126" t="s">
        <v>2994</v>
      </c>
      <c r="D781" s="126" t="s">
        <v>2995</v>
      </c>
      <c r="E781" s="126" t="s">
        <v>41</v>
      </c>
      <c r="F781" s="126" t="s">
        <v>32</v>
      </c>
      <c r="G781" s="265" t="s">
        <v>679</v>
      </c>
      <c r="H781" s="64">
        <v>9764000241</v>
      </c>
      <c r="I781" s="128"/>
      <c r="J781" s="154" t="s">
        <v>248</v>
      </c>
      <c r="K781" t="s">
        <v>2996</v>
      </c>
      <c r="L781" s="126" t="s">
        <v>76</v>
      </c>
      <c r="M781" s="126" t="s">
        <v>69</v>
      </c>
      <c r="N781" s="126"/>
      <c r="O781" s="161"/>
      <c r="Q781" s="154"/>
      <c r="R781" s="126"/>
    </row>
    <row r="782" spans="1:18">
      <c r="A782" s="158">
        <f t="shared" si="28"/>
        <v>781</v>
      </c>
      <c r="B782" s="138">
        <v>46120</v>
      </c>
      <c r="C782" s="159" t="s">
        <v>2997</v>
      </c>
      <c r="D782" s="126" t="s">
        <v>2997</v>
      </c>
      <c r="E782" s="126" t="s">
        <v>41</v>
      </c>
      <c r="F782" s="126" t="s">
        <v>32</v>
      </c>
      <c r="G782" s="265" t="s">
        <v>2998</v>
      </c>
      <c r="H782" s="64">
        <v>9730558867</v>
      </c>
      <c r="I782" s="126" t="s">
        <v>2999</v>
      </c>
      <c r="J782" s="154" t="s">
        <v>99</v>
      </c>
      <c r="K782" t="s">
        <v>2578</v>
      </c>
      <c r="L782" s="126" t="s">
        <v>76</v>
      </c>
      <c r="M782" s="126" t="s">
        <v>69</v>
      </c>
      <c r="N782" s="126"/>
      <c r="O782" s="161"/>
      <c r="Q782" s="154"/>
      <c r="R782" s="126"/>
    </row>
    <row r="783" spans="1:18">
      <c r="A783" s="158">
        <f t="shared" si="28"/>
        <v>782</v>
      </c>
      <c r="B783" s="138">
        <v>46121</v>
      </c>
      <c r="C783" s="159" t="s">
        <v>3000</v>
      </c>
      <c r="D783" s="126" t="s">
        <v>46</v>
      </c>
      <c r="E783" s="126" t="s">
        <v>41</v>
      </c>
      <c r="F783" s="126" t="s">
        <v>117</v>
      </c>
      <c r="G783"/>
      <c r="H783" s="64"/>
      <c r="I783" s="128"/>
      <c r="J783" s="154" t="s">
        <v>34</v>
      </c>
      <c r="L783" s="126" t="s">
        <v>54</v>
      </c>
      <c r="M783" s="126" t="s">
        <v>37</v>
      </c>
      <c r="N783" s="126" t="s">
        <v>3001</v>
      </c>
      <c r="O783" s="161">
        <v>46122</v>
      </c>
      <c r="Q783" s="154" t="s">
        <v>336</v>
      </c>
      <c r="R783" s="126"/>
    </row>
    <row r="784" spans="1:18">
      <c r="A784" s="158">
        <f t="shared" si="28"/>
        <v>783</v>
      </c>
      <c r="B784" s="138">
        <v>46121</v>
      </c>
      <c r="C784" s="159" t="s">
        <v>3002</v>
      </c>
      <c r="D784" s="126" t="s">
        <v>3003</v>
      </c>
      <c r="E784" s="126" t="s">
        <v>41</v>
      </c>
      <c r="F784" s="126" t="s">
        <v>71</v>
      </c>
      <c r="G784" s="266" t="s">
        <v>1268</v>
      </c>
      <c r="H784" s="64">
        <v>9403565656</v>
      </c>
      <c r="I784" s="126" t="s">
        <v>3004</v>
      </c>
      <c r="J784" s="154" t="s">
        <v>86</v>
      </c>
      <c r="K784" t="s">
        <v>3005</v>
      </c>
      <c r="L784" s="126" t="s">
        <v>76</v>
      </c>
      <c r="M784" s="126" t="s">
        <v>77</v>
      </c>
      <c r="N784" s="126"/>
      <c r="O784" s="161"/>
      <c r="Q784" s="154"/>
      <c r="R784" s="126"/>
    </row>
    <row r="785" spans="1:18">
      <c r="A785" s="158">
        <f t="shared" si="28"/>
        <v>784</v>
      </c>
      <c r="B785" s="138">
        <v>46121</v>
      </c>
      <c r="C785" s="159"/>
      <c r="D785" s="126" t="s">
        <v>3006</v>
      </c>
      <c r="E785" s="126" t="s">
        <v>206</v>
      </c>
      <c r="F785" s="126" t="s">
        <v>201</v>
      </c>
      <c r="G785" s="265" t="s">
        <v>692</v>
      </c>
      <c r="H785" s="64">
        <v>7835907263</v>
      </c>
      <c r="I785" s="128"/>
      <c r="J785" s="154" t="s">
        <v>2523</v>
      </c>
      <c r="L785" s="126" t="s">
        <v>76</v>
      </c>
      <c r="M785" s="126" t="s">
        <v>37</v>
      </c>
      <c r="N785" s="126"/>
      <c r="O785" s="161"/>
      <c r="Q785" s="154"/>
      <c r="R785" s="126"/>
    </row>
    <row r="786" spans="1:18">
      <c r="A786" s="158">
        <f t="shared" si="28"/>
        <v>785</v>
      </c>
      <c r="B786" s="138">
        <v>46121</v>
      </c>
      <c r="C786" s="159" t="s">
        <v>1510</v>
      </c>
      <c r="D786" s="126" t="s">
        <v>46</v>
      </c>
      <c r="E786" s="126" t="s">
        <v>41</v>
      </c>
      <c r="F786" s="126" t="s">
        <v>117</v>
      </c>
      <c r="G786" s="240" t="s">
        <v>3007</v>
      </c>
      <c r="H786" s="64"/>
      <c r="I786" s="126" t="s">
        <v>3008</v>
      </c>
      <c r="J786" s="154" t="s">
        <v>34</v>
      </c>
      <c r="L786" s="126" t="s">
        <v>54</v>
      </c>
      <c r="M786" s="126" t="s">
        <v>37</v>
      </c>
      <c r="N786" s="126"/>
      <c r="O786" s="161"/>
      <c r="Q786" s="154"/>
      <c r="R786" s="126"/>
    </row>
    <row r="787" spans="1:18" ht="30">
      <c r="A787" s="158">
        <f t="shared" si="28"/>
        <v>786</v>
      </c>
      <c r="B787" s="138">
        <v>46121</v>
      </c>
      <c r="C787" s="159" t="s">
        <v>3009</v>
      </c>
      <c r="D787" s="128" t="s">
        <v>3010</v>
      </c>
      <c r="E787" s="126" t="s">
        <v>41</v>
      </c>
      <c r="F787" s="126" t="s">
        <v>71</v>
      </c>
      <c r="G787" s="129" t="s">
        <v>3011</v>
      </c>
      <c r="H787" s="64" t="s">
        <v>3012</v>
      </c>
      <c r="I787" s="126" t="s">
        <v>3013</v>
      </c>
      <c r="J787" s="154" t="s">
        <v>34</v>
      </c>
      <c r="K787" s="212" t="s">
        <v>3014</v>
      </c>
      <c r="L787" s="126" t="s">
        <v>54</v>
      </c>
      <c r="M787" s="126" t="s">
        <v>368</v>
      </c>
      <c r="N787" s="126" t="s">
        <v>3015</v>
      </c>
      <c r="O787" s="161">
        <v>46122</v>
      </c>
      <c r="Q787" s="154" t="s">
        <v>336</v>
      </c>
      <c r="R787" s="126"/>
    </row>
    <row r="788" spans="1:18">
      <c r="A788" s="158">
        <f t="shared" si="28"/>
        <v>787</v>
      </c>
      <c r="B788" s="138">
        <v>46121</v>
      </c>
      <c r="C788" s="159"/>
      <c r="D788" s="126" t="s">
        <v>2510</v>
      </c>
      <c r="E788" s="126" t="s">
        <v>84</v>
      </c>
      <c r="F788" s="126" t="s">
        <v>32</v>
      </c>
      <c r="G788" s="129" t="s">
        <v>3016</v>
      </c>
      <c r="H788" s="126">
        <v>9924546462</v>
      </c>
      <c r="I788" s="126" t="s">
        <v>3017</v>
      </c>
      <c r="J788" s="154" t="s">
        <v>272</v>
      </c>
      <c r="L788" s="128" t="s">
        <v>101</v>
      </c>
      <c r="M788" s="126" t="s">
        <v>69</v>
      </c>
      <c r="N788" s="126"/>
      <c r="O788" s="161"/>
      <c r="Q788" s="154"/>
      <c r="R788" s="126"/>
    </row>
    <row r="789" spans="1:18">
      <c r="A789" s="158">
        <f t="shared" si="28"/>
        <v>788</v>
      </c>
      <c r="B789" s="138">
        <v>46122</v>
      </c>
      <c r="C789" s="159" t="s">
        <v>3018</v>
      </c>
      <c r="D789" s="126" t="s">
        <v>3019</v>
      </c>
      <c r="E789" s="126" t="s">
        <v>41</v>
      </c>
      <c r="F789" s="126" t="s">
        <v>90</v>
      </c>
      <c r="G789" s="129" t="s">
        <v>423</v>
      </c>
      <c r="H789" s="64">
        <v>9921993346</v>
      </c>
      <c r="I789" s="128"/>
      <c r="J789" s="154" t="s">
        <v>81</v>
      </c>
      <c r="L789" s="126" t="s">
        <v>76</v>
      </c>
      <c r="M789" s="126" t="s">
        <v>69</v>
      </c>
      <c r="N789" s="126"/>
      <c r="O789" s="161"/>
      <c r="Q789" s="154"/>
      <c r="R789" s="126"/>
    </row>
    <row r="790" spans="1:18">
      <c r="A790" s="158">
        <f t="shared" si="28"/>
        <v>789</v>
      </c>
      <c r="B790" s="138">
        <v>46122</v>
      </c>
      <c r="C790" s="126" t="s">
        <v>3020</v>
      </c>
      <c r="D790" s="126" t="s">
        <v>3021</v>
      </c>
      <c r="E790" s="126" t="s">
        <v>711</v>
      </c>
      <c r="F790" s="126" t="s">
        <v>71</v>
      </c>
      <c r="G790" s="129" t="s">
        <v>3022</v>
      </c>
      <c r="H790" s="64"/>
      <c r="I790" s="126" t="s">
        <v>3023</v>
      </c>
      <c r="J790" s="1" t="s">
        <v>2523</v>
      </c>
      <c r="L790" s="126" t="s">
        <v>76</v>
      </c>
      <c r="M790" s="126" t="s">
        <v>77</v>
      </c>
      <c r="N790" s="126"/>
      <c r="O790" s="161"/>
      <c r="Q790" s="154"/>
      <c r="R790" s="126"/>
    </row>
  </sheetData>
  <dataConsolidate/>
  <conditionalFormatting sqref="J2">
    <cfRule type="expression" dxfId="59" priority="1">
      <formula>ISNUMBER(SEARCH("WIN",$J1))</formula>
    </cfRule>
  </conditionalFormatting>
  <dataValidations count="8">
    <dataValidation allowBlank="1" sqref="H88:H94 H99:H120 S89:S105 S107:S157 H377 H384:H389 H391:H424 H433:H435 H4 H440 H426:H427 H442 H458 H460:H461 P2:P91 H463:H474 H476:H489 H493:H497 H502:H513 H515:H527 H534:H538 H540:H543 H557:H569 H581:H590 H599:H611 H713:H718 H724:H726 H728 H635:H637 H639:H643 H645:H652 H655:H659 H662:H671 H673:H674 H678:H680 H682:H694 H696:H699 H701:H707 H710:H711 H777:H778 H783:H787 H789:H1592 S161:S1237 H736:H767" xr:uid="{00000000-0002-0000-0000-000000000000}"/>
    <dataValidation type="list" allowBlank="1" sqref="T88 U89:U157 U161:U1237" xr:uid="{00000000-0002-0000-0000-000001000000}">
      <formula1>"Not Started,In Progress,Received, Cancelled"</formula1>
    </dataValidation>
    <dataValidation type="list" allowBlank="1" sqref="G96 S106 G158 G428:G430 G439 C479 G454 D463 C477 C483 G571 F703:G703 F2:F702 C781 F761:F790 C790 F704:F758" xr:uid="{00000000-0002-0000-0000-000002000000}">
      <formula1>"Modification,LCS,Monorail,EOT Crane,Jib Crane,Hoist,Gantry Crane,Manipulator,Scissor lifter,Manipulator, Others,Underslung, Goliath"</formula1>
    </dataValidation>
    <dataValidation type="list" allowBlank="1" showInputMessage="1" showErrorMessage="1" sqref="R66" xr:uid="{00000000-0002-0000-0000-000009000000}">
      <formula1>"Highcost, brand prefrence, d"</formula1>
    </dataValidation>
    <dataValidation type="list" allowBlank="1" showInputMessage="1" showErrorMessage="1" sqref="Q383:Q387 Q390 Q2:Q379 Q411:Q661 Q787 Q783 Q672:Q767" xr:uid="{809BF940-FFBF-4B87-B3E2-68257823CEC4}">
      <formula1>INDIRECT("QUOT[Quotation Status]")</formula1>
    </dataValidation>
    <dataValidation type="list" allowBlank="1" showInputMessage="1" showErrorMessage="1" sqref="P435 L2:L790" xr:uid="{00000000-0002-0000-0000-000007000000}">
      <formula1>INDIRECT("Table9[SALES OVERVIEW]")</formula1>
    </dataValidation>
    <dataValidation type="list" allowBlank="1" showInputMessage="1" showErrorMessage="1" sqref="M2:M790" xr:uid="{00000000-0002-0000-0000-000008000000}">
      <formula1>INDIRECT("LO[LEAD OWNER]")</formula1>
    </dataValidation>
    <dataValidation type="list" allowBlank="1" showInputMessage="1" showErrorMessage="1" sqref="J2:J790" xr:uid="{00000000-0002-0000-0000-000004000000}">
      <formula1>INDIRECT("INQ[INQUIRY]")</formula1>
    </dataValidation>
  </dataValidations>
  <hyperlinks>
    <hyperlink ref="I6" r:id="rId1" xr:uid="{00000000-0004-0000-0000-000000000000}"/>
    <hyperlink ref="I7" r:id="rId2" xr:uid="{00000000-0004-0000-0000-000001000000}"/>
    <hyperlink ref="I17" r:id="rId3" xr:uid="{00000000-0004-0000-0000-000003000000}"/>
    <hyperlink ref="I21" r:id="rId4" xr:uid="{00000000-0004-0000-0000-000004000000}"/>
    <hyperlink ref="I59" r:id="rId5" xr:uid="{00000000-0004-0000-0000-000006000000}"/>
    <hyperlink ref="I48" r:id="rId6" xr:uid="{00000000-0004-0000-0000-000007000000}"/>
    <hyperlink ref="I50" r:id="rId7" xr:uid="{00000000-0004-0000-0000-000008000000}"/>
    <hyperlink ref="I49" r:id="rId8" xr:uid="{00000000-0004-0000-0000-000009000000}"/>
    <hyperlink ref="I51" r:id="rId9" xr:uid="{00000000-0004-0000-0000-00000A000000}"/>
    <hyperlink ref="I54" r:id="rId10" xr:uid="{00000000-0004-0000-0000-00000B000000}"/>
    <hyperlink ref="I57" r:id="rId11" xr:uid="{00000000-0004-0000-0000-00000C000000}"/>
    <hyperlink ref="I52" r:id="rId12" xr:uid="{00000000-0004-0000-0000-00000D000000}"/>
    <hyperlink ref="I58" r:id="rId13" xr:uid="{00000000-0004-0000-0000-000010000000}"/>
    <hyperlink ref="I56" r:id="rId14" xr:uid="{00000000-0004-0000-0000-000011000000}"/>
    <hyperlink ref="I71" r:id="rId15" xr:uid="{00000000-0004-0000-0000-000012000000}"/>
    <hyperlink ref="I72" r:id="rId16" xr:uid="{00000000-0004-0000-0000-000013000000}"/>
    <hyperlink ref="I73" r:id="rId17" xr:uid="{00000000-0004-0000-0000-000014000000}"/>
    <hyperlink ref="I76" r:id="rId18" xr:uid="{00000000-0004-0000-0000-000015000000}"/>
    <hyperlink ref="I79" r:id="rId19" xr:uid="{00000000-0004-0000-0000-000016000000}"/>
    <hyperlink ref="I77" r:id="rId20" xr:uid="{00000000-0004-0000-0000-000018000000}"/>
    <hyperlink ref="I78" r:id="rId21" xr:uid="{00000000-0004-0000-0000-000019000000}"/>
    <hyperlink ref="I83" r:id="rId22" xr:uid="{00000000-0004-0000-0000-00001A000000}"/>
    <hyperlink ref="I89" r:id="rId23" xr:uid="{00000000-0004-0000-0000-00001B000000}"/>
    <hyperlink ref="I99" r:id="rId24" xr:uid="{00000000-0004-0000-0000-00001D000000}"/>
    <hyperlink ref="I100" r:id="rId25" xr:uid="{00000000-0004-0000-0000-00001E000000}"/>
    <hyperlink ref="I101" r:id="rId26" xr:uid="{00000000-0004-0000-0000-00001F000000}"/>
    <hyperlink ref="I103" r:id="rId27" xr:uid="{00000000-0004-0000-0000-000021000000}"/>
    <hyperlink ref="I102" r:id="rId28" xr:uid="{00000000-0004-0000-0000-000022000000}"/>
    <hyperlink ref="I53" r:id="rId29" xr:uid="{00000000-0004-0000-0000-000025000000}"/>
    <hyperlink ref="I68" r:id="rId30" xr:uid="{00000000-0004-0000-0000-000028000000}"/>
    <hyperlink ref="I112" r:id="rId31" xr:uid="{BEC9B066-D002-4538-93E4-E5171647B6AA}"/>
    <hyperlink ref="I113" r:id="rId32" xr:uid="{1F1B6D6D-0309-4575-B3CE-886175271A32}"/>
    <hyperlink ref="I114" r:id="rId33" xr:uid="{E8B21422-70E2-4A0F-BBC6-E616B1390AFB}"/>
    <hyperlink ref="I115" r:id="rId34" xr:uid="{EFE908ED-E2CF-4352-AB09-4B156287F729}"/>
    <hyperlink ref="I117" r:id="rId35" xr:uid="{21A0C69F-3F29-4F13-9EC6-2A69D8A2FA8D}"/>
    <hyperlink ref="I116" r:id="rId36" xr:uid="{2C9E4939-D096-49D0-A0C2-20F227617571}"/>
    <hyperlink ref="I118" r:id="rId37" xr:uid="{C1C98C0C-2380-40CF-995C-6722FB809ECE}"/>
    <hyperlink ref="I119" r:id="rId38" xr:uid="{C9AD6208-ED36-461F-8EDC-3950552D0351}"/>
    <hyperlink ref="I120" r:id="rId39" xr:uid="{53165F7B-3452-41C6-B653-158F2D7283A1}"/>
    <hyperlink ref="I121" r:id="rId40" display="'santoshkumardas@merinoindia.com'" xr:uid="{251D7240-CAC6-44C1-A4D2-84DE46D3B858}"/>
    <hyperlink ref="I122" r:id="rId41" display="'yogesh.patil@kirloskar.com'" xr:uid="{36EADD12-C1ED-4BA9-988C-72C3523B18C1}"/>
    <hyperlink ref="I123" r:id="rId42" display="'ojyadav@paranjapeautocast.com'" xr:uid="{A98E2131-2F2A-41F3-9D06-7D8158F42725}"/>
    <hyperlink ref="I124" r:id="rId43" display="'nwarang@ultracorpotech.com'" xr:uid="{F66993AA-8082-4B1F-9D4E-06E34883401A}"/>
    <hyperlink ref="I126" r:id="rId44" xr:uid="{FF3F7518-4912-4069-8F85-4C8BB060C895}"/>
    <hyperlink ref="I128" r:id="rId45" xr:uid="{888965ED-F47B-4851-955A-67FC7723D8C4}"/>
    <hyperlink ref="I129" r:id="rId46" xr:uid="{6EC27B05-F3E9-487E-98E7-FC81F7C61CC7}"/>
    <hyperlink ref="I130" r:id="rId47" xr:uid="{914E428C-5FEC-4E48-BB0D-C9750FF2670B}"/>
    <hyperlink ref="I131" r:id="rId48" xr:uid="{A9039618-7148-4BC9-99E6-E5C50D05C5E3}"/>
    <hyperlink ref="I132" r:id="rId49" xr:uid="{75D43C28-AE52-4931-BD78-9F85F337D174}"/>
    <hyperlink ref="I133" r:id="rId50" xr:uid="{87D9BB23-0132-4B19-AFF1-C58EA941D92A}"/>
    <hyperlink ref="I134" r:id="rId51" xr:uid="{4C7DBB5D-8C7B-4D17-953D-0F7923BB98B0}"/>
    <hyperlink ref="I135" r:id="rId52" xr:uid="{435539EA-21DE-4DAE-A2CB-BD547E682A20}"/>
    <hyperlink ref="I136" r:id="rId53" xr:uid="{18959AA9-6E60-42A7-B9FE-A671D7C71C90}"/>
    <hyperlink ref="I125" r:id="rId54" display="'eki1@endo-india.co.in" xr:uid="{456155FC-3DED-48D7-B577-B77C1A1019EC}"/>
    <hyperlink ref="I138" r:id="rId55" display="'paragempire@gmail.com'" xr:uid="{6E3D4304-3BAD-4CAB-9F9F-C7A0A884A8B5}"/>
    <hyperlink ref="I139" r:id="rId56" xr:uid="{73905E50-8B2B-4172-91BB-D96DFF141BF0}"/>
    <hyperlink ref="I140" r:id="rId57" display="'kishor.agale@kirloskar.com'" xr:uid="{B98786CD-2E09-4E20-89AE-CD0A1B4FE753}"/>
    <hyperlink ref="I143" r:id="rId58" display="'levin.c.v.5346@gmail.com'" xr:uid="{F3F32F4A-72FE-4B1C-A552-A125D036BFB9}"/>
    <hyperlink ref="I142" r:id="rId59" xr:uid="{750F5029-C379-474D-B1E6-53291849FEA4}"/>
    <hyperlink ref="I144" r:id="rId60" xr:uid="{89C0E589-B80E-4770-80EC-F48552FD9CA5}"/>
    <hyperlink ref="I150" r:id="rId61" xr:uid="{6B899A14-24C9-4C7B-B825-3F2296208A78}"/>
    <hyperlink ref="I152" r:id="rId62" xr:uid="{BF5574FB-8B4F-4CCA-B927-7C150E8234FD}"/>
    <hyperlink ref="I153" r:id="rId63" xr:uid="{AB64873F-E08D-4FF0-8BB8-5CEA497A1DBD}"/>
    <hyperlink ref="I157" r:id="rId64" xr:uid="{C4F607A5-05D1-48EA-BF2E-E53F1C86D47E}"/>
    <hyperlink ref="I159" r:id="rId65" xr:uid="{FEA61EC8-16A2-497D-8295-0552F8EFD4D5}"/>
    <hyperlink ref="I161" r:id="rId66" xr:uid="{A1E5EC7D-FCAC-4BDC-BC2D-92E680CFB55F}"/>
    <hyperlink ref="I166" r:id="rId67" xr:uid="{1499B05F-1B88-48D9-ABE8-37B115EF27A0}"/>
    <hyperlink ref="I167" r:id="rId68" xr:uid="{F3BE1935-5541-4682-9F33-44100D35D2C3}"/>
    <hyperlink ref="I168" r:id="rId69" xr:uid="{67CB60F2-BA3A-4502-B85C-0E897FD30923}"/>
    <hyperlink ref="I172" r:id="rId70" xr:uid="{620720B1-B1F8-4BDE-A4A6-C61138273CCD}"/>
    <hyperlink ref="I181" r:id="rId71" xr:uid="{3EE46AB3-A2FC-4C61-964F-D85289DB9AE7}"/>
    <hyperlink ref="I182" r:id="rId72" xr:uid="{8221005D-D332-485F-BBEE-49A711DB7086}"/>
    <hyperlink ref="I183" r:id="rId73" xr:uid="{BEE84B1B-B30E-410D-9E51-98504892520F}"/>
    <hyperlink ref="I174" r:id="rId74" display="'kiran.nikam@kirloskar.com'" xr:uid="{072AFE08-8EF3-4954-B247-531CA75C1488}"/>
    <hyperlink ref="I175" r:id="rId75" xr:uid="{CE94FADA-1C77-4720-ACDB-B9AF7D587F03}"/>
    <hyperlink ref="I178" r:id="rId76" display="'alok.deshmukh@atlascopco.com'" xr:uid="{5563FD8D-481C-4142-8AA3-F9C2F0715F94}"/>
    <hyperlink ref="I184" r:id="rId77" xr:uid="{F3D0D9A5-E0D0-440B-B746-C5CB833FC6FF}"/>
    <hyperlink ref="I186" r:id="rId78" xr:uid="{14CDDF8B-5390-4907-88D9-1550FE662793}"/>
    <hyperlink ref="I188" r:id="rId79" xr:uid="{C11905CF-E786-4B7C-842B-4DCFA4181E35}"/>
    <hyperlink ref="I189" r:id="rId80" xr:uid="{EE2AD4D6-FA15-4241-86D1-31F1A1A9A8C6}"/>
    <hyperlink ref="I190" r:id="rId81" xr:uid="{8057DAFE-35A9-469F-9151-FA3A867BBBF9}"/>
    <hyperlink ref="I191" r:id="rId82" xr:uid="{4C323816-C767-487C-9C91-EC84F572E0C2}"/>
    <hyperlink ref="I196" r:id="rId83" xr:uid="{29F5F695-F2B0-476B-A7B5-E65AA1154580}"/>
    <hyperlink ref="I198" r:id="rId84" xr:uid="{366EA379-CBC7-489D-AA7D-2B6979924543}"/>
    <hyperlink ref="I199" r:id="rId85" display="'MallikarjunBillur@bharatforge.com'" xr:uid="{B432B884-2DF6-4E3F-A5FA-8DB6187552A8}"/>
    <hyperlink ref="I200" r:id="rId86" xr:uid="{F727F4C9-DEDA-46E2-A203-52A38B74338C}"/>
    <hyperlink ref="I201" r:id="rId87" xr:uid="{B50DB5F7-4F10-48B9-8F53-82D74BFC36AE}"/>
    <hyperlink ref="I203" r:id="rId88" xr:uid="{BC278840-D355-4AD5-978F-495DD9CCAAE9}"/>
    <hyperlink ref="I204" r:id="rId89" xr:uid="{DDE0CD85-0322-405F-AB0D-04D6FFD0D0F1}"/>
    <hyperlink ref="I209" r:id="rId90" xr:uid="{50FF55AF-EE79-43E1-9261-3C867D2AB612}"/>
    <hyperlink ref="I210" r:id="rId91" xr:uid="{DF74A14E-1EA0-41DA-9B1E-BBA65FF7E4CE}"/>
    <hyperlink ref="I212" r:id="rId92" xr:uid="{2A90C38D-F1A4-471C-AD26-9A5AE969F3C7}"/>
    <hyperlink ref="I215" r:id="rId93" display="'ganesh.godambe@jcb.com'" xr:uid="{50378C77-02F5-40CD-9222-5252E92163D3}"/>
    <hyperlink ref="I217" r:id="rId94" display="'assembly@arhan.co.in'" xr:uid="{9D29CFE4-7FA6-445E-8796-8DBB57B271AE}"/>
    <hyperlink ref="I218" r:id="rId95" xr:uid="{B2AF512C-CBA8-4251-B844-ECD0FD96D649}"/>
    <hyperlink ref="I219" r:id="rId96" xr:uid="{04A9656D-416B-484E-B0CA-D78AC709390D}"/>
    <hyperlink ref="I220" r:id="rId97" xr:uid="{1D0D51D9-64E6-4C70-9B69-01C3CF93C2D7}"/>
    <hyperlink ref="I221" r:id="rId98" xr:uid="{D5B3F27F-81FC-42D2-939A-5C7A1B058B21}"/>
    <hyperlink ref="I222" r:id="rId99" xr:uid="{59444A76-6763-44AF-AF51-E38C89CAE19F}"/>
    <hyperlink ref="I226" r:id="rId100" xr:uid="{E20AF414-D52C-41E1-8DCD-4E0F810BCAED}"/>
    <hyperlink ref="I227" r:id="rId101" xr:uid="{F85A62B5-D5A2-44F9-8F2A-B2F1558C42CE}"/>
    <hyperlink ref="I229" r:id="rId102" xr:uid="{41A5F399-480A-41C7-90C6-F7A6CDF1736D}"/>
    <hyperlink ref="I228" r:id="rId103" xr:uid="{468B7A89-2EB6-493A-8B66-B1BD0D615923}"/>
    <hyperlink ref="I230" r:id="rId104" xr:uid="{4C58DC86-897B-4C35-A0C6-2FA3E5BF3EC1}"/>
    <hyperlink ref="I231" r:id="rId105" xr:uid="{5950D321-EDD8-4310-BCD4-F8963B03687D}"/>
    <hyperlink ref="I232" r:id="rId106" xr:uid="{CABFEEEB-E873-4A91-BF34-A3EB076E2162}"/>
    <hyperlink ref="I236" r:id="rId107" xr:uid="{F76AE1F9-1517-4179-AC9E-549DD5ADAC72}"/>
    <hyperlink ref="I238" r:id="rId108" display="'Devendra.Kapade@ksb.com'" xr:uid="{5FFEC8FC-0F83-4AE3-BCCA-0A03B4B8F7AE}"/>
    <hyperlink ref="I239" r:id="rId109" display="'pur2@masterhandlers.com'" xr:uid="{18112798-9358-490B-8973-10C5113EDC80}"/>
    <hyperlink ref="I240" r:id="rId110" xr:uid="{4368439F-D40F-474D-A79E-58DD7CE77641}"/>
    <hyperlink ref="I242" r:id="rId111" display="'skshirsagar@ultracorpotech.com'" xr:uid="{4450BE42-BFDB-41D0-9245-578F0A62F524}"/>
    <hyperlink ref="I246" r:id="rId112" xr:uid="{B0CC880D-8A40-4713-A03B-D70A95C00CF5}"/>
    <hyperlink ref="I247" r:id="rId113" xr:uid="{6ED0A1D3-EBA2-440A-8DCA-06C482C9BD5D}"/>
    <hyperlink ref="I244" r:id="rId114" display="'dhiraj.shetkar@mrfmail.com'" xr:uid="{85440FAE-C6C0-4C57-ACA0-992E37F98082}"/>
    <hyperlink ref="I245" r:id="rId115" display="'shailesh.paithankar@duncanengg.com'" xr:uid="{72B373BE-04B3-4166-BBF2-86F74ADFAE49}"/>
    <hyperlink ref="I250" r:id="rId116" xr:uid="{218B0FE2-E2A0-443D-9795-3B616C197784}"/>
    <hyperlink ref="I251" r:id="rId117" xr:uid="{6894EFE5-1F55-489D-8461-B135A7D4B39D}"/>
    <hyperlink ref="I252" r:id="rId118" xr:uid="{D68238E3-0CCC-4F42-9B86-5D62D6332054}"/>
    <hyperlink ref="I253" r:id="rId119" xr:uid="{E1EF2E5D-C389-4CA2-B681-A14A1165B28A}"/>
    <hyperlink ref="I259" r:id="rId120" display="'srindustries77@gmail.com'" xr:uid="{4ACDCF4D-56A7-44D0-B15F-1E5B2A0FBDFC}"/>
    <hyperlink ref="I260" r:id="rId121" xr:uid="{E11766E3-AF48-4E7A-A169-3E4BABC60129}"/>
    <hyperlink ref="I264" r:id="rId122" display="'vikaspadalkar@bharatforge.com'" xr:uid="{D392A47D-8295-4DB0-B896-170B4491A2A6}"/>
    <hyperlink ref="I266" r:id="rId123" display="'sandipan@jendamark.in'" xr:uid="{6E88D8FA-6BC8-47AE-A2A3-ADD6CC69D29C}"/>
    <hyperlink ref="I268" r:id="rId124" display="'brijesh.patel@jsw.in'" xr:uid="{FE378652-6AC5-462C-BE4A-5422CE7AA8A6}"/>
    <hyperlink ref="I254" r:id="rId125" xr:uid="{CBF5338E-0FD6-497C-B866-0658B9A7968D}"/>
    <hyperlink ref="I255" r:id="rId126" xr:uid="{7AC059C0-D869-41AE-8D6D-4CE16349F34F}"/>
    <hyperlink ref="I256" r:id="rId127" xr:uid="{1710B720-AA94-4B6A-A1D1-216B25410FBE}"/>
    <hyperlink ref="I257" r:id="rId128" xr:uid="{098EC669-9358-4C4C-9334-E590AD806C0A}"/>
    <hyperlink ref="I270" r:id="rId129" xr:uid="{96809824-12E3-47FE-BF6C-1677E70C1BE6}"/>
    <hyperlink ref="I271" r:id="rId130" xr:uid="{BAE6C143-FFDB-495B-8005-C9AED5B2A123}"/>
    <hyperlink ref="I273" r:id="rId131" xr:uid="{FB742AB8-5845-41B8-A42A-A74B395E455B}"/>
    <hyperlink ref="I274" r:id="rId132" xr:uid="{324E0BD6-2AA1-4D26-8B2B-CA099D03AE5E}"/>
    <hyperlink ref="I276" r:id="rId133" xr:uid="{A2569838-BDCE-4D45-B49D-0BACAD97A616}"/>
    <hyperlink ref="I277" r:id="rId134" xr:uid="{5A1D6723-E059-4F06-A9A4-EE4A084AB40C}"/>
    <hyperlink ref="I278" r:id="rId135" xr:uid="{5897F004-298E-4DD7-8190-A69E71065CAF}"/>
    <hyperlink ref="I279" r:id="rId136" xr:uid="{1164E340-2A55-475E-844D-1F6AB3A19777}"/>
    <hyperlink ref="I284" r:id="rId137" display="'Ayush.Kumar6@vedanta.co.in'" xr:uid="{F97674B3-6BA3-40A6-932B-DD604BB3241D}"/>
    <hyperlink ref="I285" r:id="rId138" display="'engineering@alexgrinders.com'" xr:uid="{6A4525EC-BBFD-4A1E-82CB-0FF5E4BF589A}"/>
    <hyperlink ref="I281" r:id="rId139" xr:uid="{EBB08719-93B2-4BDE-AD8A-AD987DCF8D91}"/>
    <hyperlink ref="I283" r:id="rId140" xr:uid="{1CD49522-864B-4252-871C-4EDCDF1068B5}"/>
    <hyperlink ref="I286" r:id="rId141" xr:uid="{ABB8A546-DC17-48A9-96F6-C8EB7592A8EB}"/>
    <hyperlink ref="I287" r:id="rId142" xr:uid="{A1906B8B-337D-4B57-B0B8-572526FB097C}"/>
    <hyperlink ref="I288" r:id="rId143" xr:uid="{F5701734-2226-4E53-9161-238F3ACDB500}"/>
    <hyperlink ref="I289" r:id="rId144" xr:uid="{26396900-F08D-4049-AA56-A1F2330E0C3F}"/>
    <hyperlink ref="I290" r:id="rId145" xr:uid="{92B988F9-57ED-4DDE-969B-D5E42851F5E7}"/>
    <hyperlink ref="I291" r:id="rId146" xr:uid="{CF276CA7-0317-4A3A-9848-E167FD1A07D0}"/>
    <hyperlink ref="I292" r:id="rId147" xr:uid="{D58B5710-6834-482F-A1E3-05083EBFF74B}"/>
    <hyperlink ref="I293" r:id="rId148" xr:uid="{A6C04B8D-BB45-444D-9C02-0E651833A79A}"/>
    <hyperlink ref="I299" r:id="rId149" xr:uid="{8978F766-002C-45E1-BFCF-C2F19DA7CA30}"/>
    <hyperlink ref="I306" r:id="rId150" xr:uid="{BAAD0AA8-ED55-4558-9910-413809A1E831}"/>
    <hyperlink ref="I307" r:id="rId151" xr:uid="{4EDD0191-AE93-4EF8-94BA-A809B9E62945}"/>
    <hyperlink ref="I311" r:id="rId152" display="'Jiddewar.shashank@mahindra.com'" xr:uid="{2E5A9A78-EEAE-4249-B0DB-4C4BA27C065E}"/>
    <hyperlink ref="I312" r:id="rId153" xr:uid="{D3A7A725-BE9D-4115-9B2F-4FBECCA1A1B2}"/>
    <hyperlink ref="I314" r:id="rId154" xr:uid="{FAC45E68-65EF-411B-B661-B575E3082B09}"/>
    <hyperlink ref="I315" r:id="rId155" xr:uid="{825394C1-0F68-47EE-844A-8CBB93FBA157}"/>
    <hyperlink ref="I300" r:id="rId156" xr:uid="{74277ABD-38C6-45E3-BDC6-482BB257CFAB}"/>
    <hyperlink ref="I301" r:id="rId157" xr:uid="{2231BF24-9000-4618-90CE-29DE8A972859}"/>
    <hyperlink ref="I302" r:id="rId158" xr:uid="{F5DED00B-06E2-4022-A4B2-BED78773FA8D}"/>
    <hyperlink ref="I303" r:id="rId159" xr:uid="{2C89E296-2092-49A3-BCC0-CEC43BF3E33E}"/>
    <hyperlink ref="I304" r:id="rId160" xr:uid="{DA2ED2C7-779B-47D5-ADA8-C649131377AA}"/>
    <hyperlink ref="I318" r:id="rId161" display="'hoffenplastics@gmail.com'" xr:uid="{9D60538F-6CD7-416B-9923-80294C61CDF4}"/>
    <hyperlink ref="I308" r:id="rId162" xr:uid="{62BD901C-8F84-4ABE-B0C8-F5DF00EC4E73}"/>
    <hyperlink ref="I309" r:id="rId163" xr:uid="{0504E671-0AD6-4725-B49C-60BEA52B71B9}"/>
    <hyperlink ref="I317" r:id="rId164" xr:uid="{153726ED-8FE6-463E-BC1B-EE646529FA4A}"/>
    <hyperlink ref="I319" r:id="rId165" xr:uid="{D4017A2B-DE93-403C-B897-D10F4DC58C3B}"/>
    <hyperlink ref="I321" r:id="rId166" xr:uid="{87745E1C-2BBF-4278-9337-E1033F5B676E}"/>
    <hyperlink ref="I323" r:id="rId167" xr:uid="{8751168D-6E81-4934-A55B-C60CEB155D91}"/>
    <hyperlink ref="I322" r:id="rId168" xr:uid="{00C957EC-977C-433E-ABE4-0F89018652AA}"/>
    <hyperlink ref="I324" r:id="rId169" xr:uid="{967890A0-38D1-486B-AB68-0D68346177AB}"/>
    <hyperlink ref="I333" r:id="rId170" xr:uid="{455EF548-74D7-408D-8355-5F531B0CDB66}"/>
    <hyperlink ref="I339" r:id="rId171" xr:uid="{4F4E83E0-BA42-481B-BE7A-883FFA955081}"/>
    <hyperlink ref="I341" r:id="rId172" xr:uid="{52924079-7C29-41E8-BE86-B5C06CEEFCA1}"/>
    <hyperlink ref="I298" r:id="rId173" display="'mustafa@qpointsolutions.com'" xr:uid="{0A6B2D3F-51E9-4FCB-B9B2-43D3E3B860C9}"/>
    <hyperlink ref="I349" r:id="rId174" display="'sales@carelifting.com'" xr:uid="{E680D010-AC19-4D76-9F07-DDC818245E11}"/>
    <hyperlink ref="I350" r:id="rId175" display="'Shreeniwasbbh@gmail.com'" xr:uid="{CBE7C3C0-1210-46A6-B3B8-ABA3BD1331D9}"/>
    <hyperlink ref="I351" r:id="rId176" display="'salespune@pacetools.in'" xr:uid="{3D7B4073-EDC2-457D-AD09-FD0FA5EEFB70}"/>
    <hyperlink ref="I360" r:id="rId177" display="'mayur.jagtap@winfastsolution.in'" xr:uid="{9812B4EF-B8B5-4BD6-963B-5317330BEAC7}"/>
    <hyperlink ref="I361" r:id="rId178" display="'sscranesindia@gmail.com'" xr:uid="{4A48CFDE-6AD1-46CF-8832-A895F2DEA1C8}"/>
    <hyperlink ref="I363" r:id="rId179" display="'anil.m@ekamobility.com'" xr:uid="{8F573222-FF3B-4777-96E5-F45E360ADBF3}"/>
    <hyperlink ref="I368" r:id="rId180" display="'Devendra.Kapade@ksb.com'" xr:uid="{9F0101AC-28A4-4ED4-9101-EB67BD1A5068}"/>
    <hyperlink ref="I376" r:id="rId181" display="'mrajput@delvalflow.com'" xr:uid="{206E61ED-E171-4335-8024-59EB29023A64}"/>
    <hyperlink ref="I352" r:id="rId182" xr:uid="{9D096E56-3CD3-4808-9E39-3D00683E9BE5}"/>
    <hyperlink ref="I354" r:id="rId183" xr:uid="{5690F13D-B6C1-4C1A-A415-1715FAD7BB3B}"/>
    <hyperlink ref="I356" r:id="rId184" xr:uid="{18C131C1-AE97-4BD3-8EDB-E17AB3757FB7}"/>
    <hyperlink ref="I365" r:id="rId185" xr:uid="{76E01863-E357-4F3B-A5F6-8CF0EDFE4C25}"/>
    <hyperlink ref="I366" r:id="rId186" xr:uid="{B08A1A01-42F8-41D5-A197-D4EE602F4005}"/>
    <hyperlink ref="I367" r:id="rId187" xr:uid="{8DC00EAD-87A9-4EDB-86FB-02A66906510B}"/>
    <hyperlink ref="I378" r:id="rId188" display="'sbelambe@forbesmarshall.com'" xr:uid="{C203C941-4C72-45F3-B8F7-C136A848EE1C}"/>
    <hyperlink ref="I369" r:id="rId189" display="'sales@rimcoindia.com'" xr:uid="{6B14B8F1-8603-4E38-890F-6FB5EC21815D}"/>
    <hyperlink ref="I379" r:id="rId190" display="'gk@bwcbah.com'" xr:uid="{A22022C3-3375-4ED8-9A1C-50E4D15FDEC4}"/>
    <hyperlink ref="I370" r:id="rId191" xr:uid="{48E0D8C9-73CB-4867-B5BF-7F83BBCC7680}"/>
    <hyperlink ref="I371" r:id="rId192" xr:uid="{BEA53222-D7C3-47AB-9B34-01BC569EB9CB}"/>
    <hyperlink ref="I383" r:id="rId193" display="'gk@bwcbah.com'" xr:uid="{D044C289-1AA7-459D-84D4-B0628218F076}"/>
    <hyperlink ref="I372" r:id="rId194" xr:uid="{634E8EC8-4240-4CEF-981A-8B4B51C0E901}"/>
    <hyperlink ref="I373" r:id="rId195" xr:uid="{2FD052D2-0D34-4709-B7B3-80354ADDD36A}"/>
    <hyperlink ref="I374" r:id="rId196" xr:uid="{3C745B56-8080-4C06-8920-C6AA28F2FC4A}"/>
    <hyperlink ref="I375" r:id="rId197" xr:uid="{16E48F92-5C54-4535-999C-9BD0DB6F5A89}"/>
    <hyperlink ref="I385" r:id="rId198" xr:uid="{EEFCD044-BEC9-4098-AA7C-6205164AEE41}"/>
    <hyperlink ref="I386" r:id="rId199" display="'pankaj.damare@ekamobility.com'" xr:uid="{A2D84733-978E-4C37-9931-1C6C200BFD7E}"/>
    <hyperlink ref="I380" r:id="rId200" xr:uid="{3948FEFD-3036-4668-8A6E-D59652969BD8}"/>
    <hyperlink ref="I381" r:id="rId201" xr:uid="{198535F2-372E-446C-ABA0-5D967EC9598B}"/>
    <hyperlink ref="I388" r:id="rId202" xr:uid="{D6F37183-D382-49A6-9CD6-C6869B7665A4}"/>
    <hyperlink ref="I389" r:id="rId203" xr:uid="{6DD1EDBA-8C77-4845-9A8F-6FC4B64E8E15}"/>
    <hyperlink ref="I392" r:id="rId204" xr:uid="{F8F943A2-BA72-4CB4-9967-06743A91E5C8}"/>
    <hyperlink ref="I393" r:id="rId205" xr:uid="{8DC89AFA-480A-45C7-8A55-2F125E244DC9}"/>
    <hyperlink ref="I394" r:id="rId206" xr:uid="{B4702A7E-4E2A-4735-82DD-23230DAE5109}"/>
    <hyperlink ref="I395" r:id="rId207" xr:uid="{B2D6449B-E2F3-454D-974F-8CD29B9AFACA}"/>
    <hyperlink ref="I396" r:id="rId208" xr:uid="{DD3CC942-9838-41CB-9C75-F229B647C886}"/>
    <hyperlink ref="I397" r:id="rId209" xr:uid="{65A98EDB-AE2A-473D-BB8B-82C0E97A0BC3}"/>
    <hyperlink ref="I398" r:id="rId210" xr:uid="{CB01E967-BDB9-4293-A80B-036C0EA51327}"/>
    <hyperlink ref="I399" r:id="rId211" xr:uid="{7BBAE3CC-925B-4C33-9F45-0EF56DD2FF49}"/>
    <hyperlink ref="I401" r:id="rId212" xr:uid="{BA445767-D588-4F70-B8BB-C7C15197D696}"/>
    <hyperlink ref="I402" r:id="rId213" xr:uid="{C6B01E64-C19F-432D-923A-7FBE490C11BA}"/>
    <hyperlink ref="I403" r:id="rId214" xr:uid="{C28A6C17-712E-4ED8-B59E-76908F9DE801}"/>
    <hyperlink ref="I405" r:id="rId215" xr:uid="{867C3364-EC48-4460-B7B2-8121C69EFD3D}"/>
    <hyperlink ref="I406" r:id="rId216" xr:uid="{67BAD65B-4067-4EA2-B049-2B945AFB3EFB}"/>
    <hyperlink ref="I411" r:id="rId217" display="'pranav.bafna@piller.de'" xr:uid="{01129368-9EEE-40B9-9746-95D4A5DC73B3}"/>
    <hyperlink ref="I404" r:id="rId218" xr:uid="{7206BB3C-724D-41FC-8A91-FF1E178EA4E7}"/>
    <hyperlink ref="I425" r:id="rId219" display="'projects@leoengineer.com'" xr:uid="{437F6DB3-E5CF-4527-9185-A1A3393D15D0}"/>
    <hyperlink ref="I426" r:id="rId220" display="'application@accurate.co.in'" xr:uid="{4137DA21-FB6A-4FEE-811C-F50377739558}"/>
    <hyperlink ref="I407" r:id="rId221" xr:uid="{2BE323E6-7DA7-4010-BA2F-BCD0FE74BEE1}"/>
    <hyperlink ref="I410" r:id="rId222" xr:uid="{0A9882EB-0490-441C-839A-28DC22FF9BD4}"/>
    <hyperlink ref="I408" r:id="rId223" xr:uid="{F47FF99A-9159-446C-AACA-9A1C28DF4936}"/>
    <hyperlink ref="I432" r:id="rId224" xr:uid="{1C58AF2B-D18C-45D3-90FF-961604F82B3A}"/>
    <hyperlink ref="I435" r:id="rId225" display="'chetan.chavan@modulex.in'" xr:uid="{D3716982-A1F7-4B9D-8640-10101C0C54F8}"/>
    <hyperlink ref="I436" r:id="rId226" xr:uid="{BC2C5F23-EA7C-4E6B-9DD4-8A3B30B7E31B}"/>
    <hyperlink ref="I414" r:id="rId227" xr:uid="{5EF960A9-CA29-46CB-BFC1-B4018A56F1B7}"/>
    <hyperlink ref="I415" r:id="rId228" xr:uid="{15F23E16-E8B1-4773-A29B-99F7C165350A}"/>
    <hyperlink ref="I416" r:id="rId229" xr:uid="{4F223B57-4DC2-4F6F-8CE9-8E3E3463C09B}"/>
    <hyperlink ref="I417" r:id="rId230" xr:uid="{8FE248D7-8FFB-4E6F-BC2D-DE6EA986A5BF}"/>
    <hyperlink ref="I418" r:id="rId231" xr:uid="{6C1B50E9-11AB-4D86-B3CF-B72899064C33}"/>
    <hyperlink ref="I440" r:id="rId232" display="'pratik.patil@jcb.com'" xr:uid="{0A718C87-05FB-475B-852B-CF5A114E7C5B}"/>
    <hyperlink ref="I442" r:id="rId233" display="'amol.pawar@topse.in'" xr:uid="{C3F1FA4B-FB8E-4DE2-97F6-1AB3BBFB1791}"/>
    <hyperlink ref="I420" r:id="rId234" xr:uid="{EE42AA17-A3E3-44D4-96BF-688ED1C24392}"/>
    <hyperlink ref="I422" r:id="rId235" xr:uid="{19593A79-394C-421F-A50B-FC5FC6392D1A}"/>
    <hyperlink ref="I423" r:id="rId236" xr:uid="{578980F3-45F3-4114-8680-0C77EC9BB51F}"/>
    <hyperlink ref="I438" r:id="rId237" xr:uid="{A19EEED9-B5AD-451C-8B7A-8C74C688F8CF}"/>
    <hyperlink ref="I443" r:id="rId238" xr:uid="{011B16C0-DC25-4032-948B-A7E259FB6B14}"/>
    <hyperlink ref="I444" r:id="rId239" xr:uid="{5242CE32-F21F-491E-9200-E5775AA5D1F0}"/>
    <hyperlink ref="I446" r:id="rId240" xr:uid="{2FA1C753-F639-405E-B6AA-96F5472717E7}"/>
    <hyperlink ref="I449" r:id="rId241" xr:uid="{04BB2854-44D1-46C5-AF4E-41E5F5B534F0}"/>
    <hyperlink ref="I450" r:id="rId242" xr:uid="{FE799FD0-690D-4D71-A0D0-C07E26102F41}"/>
    <hyperlink ref="I451" r:id="rId243" xr:uid="{A967BC32-292F-41C7-A515-BA157D3BEB19}"/>
    <hyperlink ref="I454" r:id="rId244" xr:uid="{4CAF9F8A-9190-43E1-8216-981083A666E5}"/>
    <hyperlink ref="I456" r:id="rId245" xr:uid="{22444520-AAE8-4CC0-A41E-960F3B4E0495}"/>
    <hyperlink ref="I458" r:id="rId246" xr:uid="{D7FCB3E1-688F-4924-A613-E625E02C1666}"/>
    <hyperlink ref="I459" r:id="rId247" xr:uid="{25F0EA17-1DFE-4641-A4DC-ED5D1872BB18}"/>
    <hyperlink ref="I460" r:id="rId248" xr:uid="{C8224B1D-4979-4B9B-A6BF-F8DFA81BB4BB}"/>
    <hyperlink ref="I462" r:id="rId249" display="'eki1@endo-india.co.in'" xr:uid="{00DACDB2-DD6C-43A8-B6E8-370E6661BB4D}"/>
    <hyperlink ref="I463" r:id="rId250" xr:uid="{D34D72A8-5574-4B9E-A34C-21BA25CC955F}"/>
    <hyperlink ref="I464" r:id="rId251" xr:uid="{4BDD35CA-D502-410D-B47A-C46320B016EB}"/>
    <hyperlink ref="I465" r:id="rId252" xr:uid="{F268F41F-1F10-46B5-85FB-2CC6E7E4698B}"/>
    <hyperlink ref="I467" r:id="rId253" display="'aryan.engineering2712@gmail.com'" xr:uid="{8BC11383-DFAA-4B5B-BD42-4A9AE7AF1FED}"/>
    <hyperlink ref="I468" r:id="rId254" display="'agumaste@ultracorpotech.com'" xr:uid="{27310F95-B7BB-44B6-B7C6-47A700949335}"/>
    <hyperlink ref="I469" r:id="rId255" display="'srikanth@smhrail.com.my'" xr:uid="{ED6B5371-49E0-4874-85D3-F63C96974BF6}"/>
    <hyperlink ref="I471" r:id="rId256" display="'&lt;shravan@dattaenterprises.com&gt;" xr:uid="{2AFD3CC1-966D-477E-804A-FD5A67F7E175}"/>
    <hyperlink ref="I472" r:id="rId257" xr:uid="{A5F574C8-D96E-4903-BDB9-761D28619FD7}"/>
    <hyperlink ref="I473" r:id="rId258" xr:uid="{3412F101-74ED-4692-B659-E991FF63C4F9}"/>
    <hyperlink ref="I474" r:id="rId259" xr:uid="{88667414-7430-48D8-87E7-EA81A80D4F61}"/>
    <hyperlink ref="I478" r:id="rId260" xr:uid="{2C653469-7C2F-4AEE-B8A1-0BEFCC9B08B0}"/>
    <hyperlink ref="I479" r:id="rId261" xr:uid="{C64B3F4D-523A-4EC4-8079-5557082D806F}"/>
    <hyperlink ref="I483" r:id="rId262" xr:uid="{4C3F6D8E-ACB2-4544-AF0A-0B555B64987B}"/>
    <hyperlink ref="I481" r:id="rId263" display="'anil.m@ekamobility.com'" xr:uid="{D839042F-93E0-4747-8B1D-787BE4C4AF0E}"/>
    <hyperlink ref="I484" r:id="rId264" xr:uid="{ABF8F8A0-2E61-4EA1-9FAA-380E69EF3393}"/>
    <hyperlink ref="I486" r:id="rId265" xr:uid="{3705BCDD-C121-44B1-8F3D-BAFDCD6570F8}"/>
    <hyperlink ref="I485" r:id="rId266" xr:uid="{027BCD1E-AAFE-4881-9BC0-00CC88F10C2B}"/>
    <hyperlink ref="I491" r:id="rId267" xr:uid="{67EAB38A-E984-42D2-BA93-8C0D8AC6D979}"/>
    <hyperlink ref="I492" r:id="rId268" xr:uid="{464CF568-AE89-432C-A083-77017AD9B591}"/>
    <hyperlink ref="I494" r:id="rId269" xr:uid="{585BBBA2-5224-4A54-9057-7387C24C33B8}"/>
    <hyperlink ref="I487" r:id="rId270" display="'pankaj.giri@concentricab.com'" xr:uid="{55E216CD-75C0-4A01-B874-E2C6E1E7E022}"/>
    <hyperlink ref="I489" r:id="rId271" xr:uid="{36F56F75-0D68-4083-AAA4-A146F3FB7A4E}"/>
    <hyperlink ref="I503" r:id="rId272" display="'sandip@sigmapacks.com'" xr:uid="{5C6C9D1A-1F1C-49B7-B30C-2CC7596252EC}"/>
    <hyperlink ref="I504" r:id="rId273" display="'hoffenplastics@gmail.com'" xr:uid="{C4134675-1B4F-4F49-AB91-5A8A2E5B017F}"/>
    <hyperlink ref="I506" r:id="rId274" display="'saranggade@bharatforge.com'" xr:uid="{B84F0182-FC3E-4066-8CFA-406489C492B3}"/>
    <hyperlink ref="I507" r:id="rId275" display="'pankaj.joshi@kirloskar.com'" xr:uid="{E6B1E5FF-0920-4A9A-AFA4-100A6E28A39D}"/>
    <hyperlink ref="I514" r:id="rId276" display="'farhan.khan@cleantechsystems.in'" xr:uid="{B2C01676-69D5-4FAD-A664-F185A7E082B4}"/>
    <hyperlink ref="I496" r:id="rId277" xr:uid="{C375B351-EE3A-4646-A9A7-96F0E2C60366}"/>
    <hyperlink ref="I497" r:id="rId278" xr:uid="{DA7A0854-E697-4D66-9B7A-F35775B2E17C}"/>
    <hyperlink ref="I509" r:id="rId279" xr:uid="{31B28B9D-288B-4F69-A6F2-04FD07DCA1B5}"/>
    <hyperlink ref="I510" r:id="rId280" xr:uid="{75ACB53C-3874-4408-9B3C-DE3F568F0520}"/>
    <hyperlink ref="I511" r:id="rId281" xr:uid="{20874415-1B30-426A-9BF4-223F8F2B1F95}"/>
    <hyperlink ref="I512" r:id="rId282" xr:uid="{9DB0D99E-3693-4DE3-88EE-68FC7479ACC3}"/>
    <hyperlink ref="I513" r:id="rId283" xr:uid="{871B5C88-D1D0-46C7-95B5-41BB6C432717}"/>
    <hyperlink ref="I515" r:id="rId284" xr:uid="{DA198AA0-B495-4334-BAF4-273F1EC8EC6D}"/>
    <hyperlink ref="I516" r:id="rId285" xr:uid="{B557F2F0-204E-425D-AEF3-2B34FACB0A71}"/>
    <hyperlink ref="I519" r:id="rId286" xr:uid="{6570D711-4F23-4C22-B256-0C25C55C0798}"/>
    <hyperlink ref="I520" r:id="rId287" xr:uid="{80E280D8-AD43-476E-9777-83D0920BB73B}"/>
    <hyperlink ref="I521" r:id="rId288" xr:uid="{D5AEEED2-96B7-48CC-BC2F-5586EC39D088}"/>
    <hyperlink ref="I522" r:id="rId289" xr:uid="{CBD517ED-055D-4802-9EF7-CB99EB605245}"/>
    <hyperlink ref="I523" r:id="rId290" xr:uid="{CE4FB414-048D-4BD2-94DC-9EA5D7378DC5}"/>
    <hyperlink ref="I524" r:id="rId291" xr:uid="{0435AADF-CBFE-453A-8CDC-DEC94A5D6BA6}"/>
    <hyperlink ref="I526" r:id="rId292" xr:uid="{2F3946C7-751F-42EF-8427-FE8B5FE45674}"/>
    <hyperlink ref="I527" r:id="rId293" xr:uid="{35F19E2C-6F46-4244-91B9-0BB200A45CE3}"/>
    <hyperlink ref="I534" r:id="rId294" xr:uid="{60F3E1AC-1BCB-4DEB-BDF8-E2A574BFD114}"/>
    <hyperlink ref="I535" r:id="rId295" xr:uid="{FD29F2A5-089A-4447-AE94-95BF5B8DFE43}"/>
    <hyperlink ref="I536" r:id="rId296" xr:uid="{5906BD6D-8400-444D-AB38-80663347C8D7}"/>
    <hyperlink ref="I537" r:id="rId297" xr:uid="{BE786850-4852-4E1C-A2EB-4BE5B0DE32A5}"/>
    <hyperlink ref="I538" r:id="rId298" xr:uid="{8918A626-1803-49E5-897C-EFD6EAFEF045}"/>
    <hyperlink ref="I540" r:id="rId299" xr:uid="{4B78CB38-2050-4B8E-B2EE-CE9E167CBC6E}"/>
    <hyperlink ref="I541" r:id="rId300" xr:uid="{78EBEA21-7143-4584-9FCA-77470C2B6DB8}"/>
    <hyperlink ref="I542" r:id="rId301" xr:uid="{B4E985F5-4400-4049-B68E-F9856C411C26}"/>
    <hyperlink ref="I543" r:id="rId302" xr:uid="{9DE9B532-592D-48D8-9EE8-F796611FC784}"/>
    <hyperlink ref="I555" r:id="rId303" xr:uid="{2D4E50F8-7C73-4FC7-ADF5-42925B686B9D}"/>
    <hyperlink ref="I556" r:id="rId304" xr:uid="{42379FEE-6C20-476F-BEE7-9EA72E553504}"/>
    <hyperlink ref="I558" r:id="rId305" xr:uid="{708CCF20-4262-44FC-93A7-82C6CEFDC3E5}"/>
    <hyperlink ref="I560" r:id="rId306" xr:uid="{EEDBF0B9-65E3-4439-AE45-B9F09EA0805A}"/>
    <hyperlink ref="I563" r:id="rId307" xr:uid="{8F7209A2-A4D0-416D-A447-2FD3539DFE79}"/>
    <hyperlink ref="I564" r:id="rId308" xr:uid="{5B5804E2-C9EE-4EBE-8D33-CE16CE866CAD}"/>
    <hyperlink ref="I565" r:id="rId309" xr:uid="{3DB77751-4347-4ECB-9BBB-82945F5F01C8}"/>
    <hyperlink ref="I566" r:id="rId310" xr:uid="{5EEF8D2E-C71E-41DF-89E4-9D893B7FD4D7}"/>
    <hyperlink ref="I567" r:id="rId311" xr:uid="{7A97675C-D444-4C6B-8F72-F35583EB1438}"/>
    <hyperlink ref="I568" r:id="rId312" xr:uid="{A7B5FA98-8981-4883-B3D2-CA781F17AAC9}"/>
    <hyperlink ref="I569" r:id="rId313" xr:uid="{FA756A2B-F8BA-480C-B02C-5AB18653B725}"/>
    <hyperlink ref="I581" r:id="rId314" xr:uid="{FB4DD4DA-9230-43F4-8B78-3B633B3F6661}"/>
    <hyperlink ref="I582" r:id="rId315" xr:uid="{3B8316EC-2265-4B02-A5B7-3212199F00BD}"/>
    <hyperlink ref="I584" r:id="rId316" xr:uid="{5306A9E0-A623-48C2-9A61-835DB942DC9E}"/>
    <hyperlink ref="I585" r:id="rId317" xr:uid="{C900D754-F807-4305-80F6-EDBE33F97B16}"/>
    <hyperlink ref="I587" r:id="rId318" xr:uid="{45458BDA-04C8-4647-B398-6F28E87713AD}"/>
    <hyperlink ref="I588" r:id="rId319" xr:uid="{63BFBEFC-8FDE-465E-B545-DE3DD801F530}"/>
    <hyperlink ref="I589" r:id="rId320" xr:uid="{ED0F7E19-1357-4E96-BC56-8A855F01F6A2}"/>
    <hyperlink ref="I518" r:id="rId321" xr:uid="{FEC811C9-79FA-4C75-BD1A-DCBA5F5F680D}"/>
    <hyperlink ref="I531" r:id="rId322" display="'dmahajan1@unominda.com'" xr:uid="{F60EE601-EE8D-49DE-8DB3-E6E4D1A116C3}"/>
    <hyperlink ref="I533" r:id="rId323" display="'toolroom_hinj@m-techindia.com'" xr:uid="{DEF25BE0-DCBF-4432-9A4D-92CEBD1879B5}"/>
    <hyperlink ref="I579" r:id="rId324" display="'sagar.satdive@in.gudel.com'" xr:uid="{611F291A-7D9E-4239-B950-4EC39740D64D}"/>
    <hyperlink ref="I580" r:id="rId325" display="'commoditypurchase@jyotisolutionsworks.com'" xr:uid="{115CA054-ADD9-4057-A9E9-2CCC0BAC036C}"/>
    <hyperlink ref="I598" r:id="rId326" display="'yogesh.salunkhe@atlascopco.com'" xr:uid="{D33D0C51-DC0E-46CF-B06A-92E8BE9FD98C}"/>
    <hyperlink ref="I600" r:id="rId327" display="'anand.kulkarni@kamalenvirotech.com'" xr:uid="{8484D721-81B3-4EB8-9C5C-2C501FE1E405}"/>
    <hyperlink ref="I601" r:id="rId328" display="'purchase@pcscontrols.in'" xr:uid="{C4CF4940-8037-4326-B0D8-ACC54D36493A}"/>
    <hyperlink ref="I602" r:id="rId329" display="'mvp@dinex.in'" xr:uid="{D1F37EF8-DA7D-41E2-B732-0E4315F65B18}"/>
    <hyperlink ref="I605" r:id="rId330" display="'shubhadeep.dutta@ekamobility.com'" xr:uid="{BAE6319A-1D38-41E7-BF64-9DE8A5076475}"/>
    <hyperlink ref="I608" r:id="rId331" display="'BTapkir@tox-in.com'" xr:uid="{7469B12D-0F54-4C86-A418-7D670D28CE31}"/>
    <hyperlink ref="I570" r:id="rId332" xr:uid="{DAA2B0B4-E2C9-4C58-9F8C-CFA4A1DDD986}"/>
    <hyperlink ref="I595" r:id="rId333" xr:uid="{658A1A37-2F3B-463E-BEF4-64CA1EE3D72B}"/>
    <hyperlink ref="I597" r:id="rId334" xr:uid="{71F535B1-ED96-4AA0-868A-4E3189A6483A}"/>
    <hyperlink ref="I609" r:id="rId335" xr:uid="{19614551-E92F-49C5-9CC3-3D0A9D76DD56}"/>
    <hyperlink ref="I610" r:id="rId336" xr:uid="{5A328786-3830-4490-9E0B-37CE6796558F}"/>
    <hyperlink ref="I611" r:id="rId337" xr:uid="{CF9958C5-C0C2-4D13-80D7-801C0876B421}"/>
    <hyperlink ref="I627" r:id="rId338" xr:uid="{F7BDCFA5-E4AF-40BD-B37C-0BA6C38AAD69}"/>
    <hyperlink ref="I628" r:id="rId339" xr:uid="{EC405FD1-3A9D-4472-8105-175CC865ED63}"/>
    <hyperlink ref="I629" r:id="rId340" xr:uid="{F21E6ACA-447A-46CD-A965-93653509A278}"/>
    <hyperlink ref="I630" r:id="rId341" xr:uid="{B2AD43F5-FFBD-4FA2-865E-8AF2131DE3BA}"/>
    <hyperlink ref="I631" r:id="rId342" xr:uid="{3AA2DE22-0491-4B04-94BE-CECEE42B0E23}"/>
    <hyperlink ref="I635" r:id="rId343" xr:uid="{EAE89D9A-C45E-42DD-8BB7-E6C50FBA0BE3}"/>
    <hyperlink ref="I636" r:id="rId344" xr:uid="{F5983D74-7FEC-432A-9F64-928467EE1AFB}"/>
    <hyperlink ref="I625" r:id="rId345" xr:uid="{21483CD3-C8C5-4DD4-8A3F-3ACBF3F8ABCD}"/>
    <hyperlink ref="I640" r:id="rId346" display="'mgr.purchase@arcepolymers.com'" xr:uid="{A17EC5EC-515F-40DD-818E-9C8EEA153513}"/>
    <hyperlink ref="I641" r:id="rId347" display="'mgr.purchase@arcepolymers.com'" xr:uid="{332D4849-0BA9-4018-AE2B-DF7ACDDB16E4}"/>
    <hyperlink ref="I656" r:id="rId348" display="'dharmesh-prajapati@alstomgroup.com'" xr:uid="{AC92EAFE-BF72-4098-94D2-1DA1353AF8B2}"/>
    <hyperlink ref="I632" r:id="rId349" xr:uid="{02AC3931-F329-4F5A-BA4C-F5284395945B}"/>
    <hyperlink ref="I647" r:id="rId350" xr:uid="{488D8EBA-C791-4553-98AD-7F4FC5C87ABD}"/>
    <hyperlink ref="I648" r:id="rId351" xr:uid="{34F68285-39C3-49FB-B770-73CB3F0F209C}"/>
    <hyperlink ref="I649" r:id="rId352" xr:uid="{7C94521F-5A89-48F3-86B9-B5D0AC2B3C50}"/>
    <hyperlink ref="I650" r:id="rId353" xr:uid="{80B2E2B4-AE9F-4579-AA41-1C0AF098A7D4}"/>
    <hyperlink ref="I651" r:id="rId354" xr:uid="{ED7BA3A2-F16E-40A9-A86E-89CD20C1FAF5}"/>
    <hyperlink ref="I655" r:id="rId355" xr:uid="{B83FCF15-429B-46E8-9C5C-37F5BFD751B9}"/>
    <hyperlink ref="I657" r:id="rId356" xr:uid="{C78BEADE-8E41-4227-A481-0F69E84E72F8}"/>
    <hyperlink ref="I658" r:id="rId357" xr:uid="{CAEAB0A6-AE8E-413B-9DC9-A7532208E6AC}"/>
    <hyperlink ref="I663" r:id="rId358" xr:uid="{82DD4045-3EBF-43DA-A7A6-803B3EB2AAC8}"/>
    <hyperlink ref="I665" r:id="rId359" xr:uid="{0AF1E9AF-CF69-4930-A17F-4AE5D0FBFC68}"/>
    <hyperlink ref="I666" r:id="rId360" xr:uid="{21CDC606-2A15-4D66-A8A6-6FD24DC48ECA}"/>
    <hyperlink ref="I667" r:id="rId361" xr:uid="{1C00857F-2F22-4E48-BFA6-ACF270318C2A}"/>
    <hyperlink ref="H667" r:id="rId362" display="amar_83277@rediffmail.com" xr:uid="{AECBA9A6-E604-4E85-9B52-A24AE8CD1051}"/>
    <hyperlink ref="I623" r:id="rId363" xr:uid="{556ABEAE-5C7A-4F30-B9C7-7C453A8A9872}"/>
    <hyperlink ref="I659" r:id="rId364" display="'boraderohit533@gmail.com'" xr:uid="{44A54FDF-B4E5-4C39-8DF7-FE577A3ACB0E}"/>
    <hyperlink ref="I678" r:id="rId365" display="'ashishgoradia@goradia.in'" xr:uid="{23C17D89-2E8E-4339-80F9-6CF75C187937}"/>
    <hyperlink ref="I684" r:id="rId366" display="'project08.cta@gmail.com'" xr:uid="{EA6E94DE-30B5-443E-8147-DB05F25D54F6}"/>
    <hyperlink ref="I690" r:id="rId367" display="'psr.em.engineeringservices@gmail.com'" xr:uid="{4AB89CCB-4EF8-4B32-8F7E-F5B7664EBFBE}"/>
    <hyperlink ref="I692" r:id="rId368" xr:uid="{FCF76295-6FC8-4E49-ADDF-FCB4FC1A9F79}"/>
    <hyperlink ref="I696" r:id="rId369" display="'factory@leoengineer.com'" xr:uid="{539CE365-EC2F-404F-9E96-BF7B81E621D8}"/>
    <hyperlink ref="I702" r:id="rId370" display="'vinaymalik@pioneerengineeringsolutions.com'" xr:uid="{54D7DFF2-FDC0-4AD3-AE30-3C9E4F8DA75D}"/>
    <hyperlink ref="I704" r:id="rId371" display="'sandeep.awari@meccalte.in'" xr:uid="{F70AA852-A317-40A1-819E-47B034318C43}"/>
    <hyperlink ref="I705" r:id="rId372" display="'dhananjay.deshpande@kirloskar.com'" xr:uid="{02B3FDD0-A94D-4C24-A9E8-0992058AB273}"/>
    <hyperlink ref="I701" r:id="rId373" display="'shree.automationandsystem@gmail.com'" xr:uid="{B10C3989-BDB7-4FDC-8F3D-886A10AC8821}"/>
    <hyperlink ref="I668" r:id="rId374" xr:uid="{F90EF96D-378B-4FB2-84DB-64AD2380917D}"/>
    <hyperlink ref="I669" r:id="rId375" xr:uid="{9854CA23-C3B7-4859-BB4A-0CA81C96148A}"/>
    <hyperlink ref="I670" r:id="rId376" xr:uid="{4B6C3DAD-0AD1-486D-9669-1238F1E24856}"/>
    <hyperlink ref="I671" r:id="rId377" xr:uid="{49407890-8135-4754-A594-F799781FC9D3}"/>
    <hyperlink ref="I679" r:id="rId378" xr:uid="{99055636-6B6A-4B18-8AF0-F9BD95F4CD3D}"/>
    <hyperlink ref="I680" r:id="rId379" xr:uid="{7772DED1-E58F-443B-8816-7594A6618540}"/>
    <hyperlink ref="I682" r:id="rId380" xr:uid="{EEEAC50E-D050-4787-A4D5-6FC577A1DBA4}"/>
    <hyperlink ref="I683" r:id="rId381" xr:uid="{4E3A7B7E-DB6F-4B9B-9A17-749214570E9B}"/>
    <hyperlink ref="I686" r:id="rId382" xr:uid="{BE9B03F5-4F60-4B61-8B1F-E292D737057D}"/>
    <hyperlink ref="I687" r:id="rId383" xr:uid="{6FFCEC6D-FB11-4CC3-A9E6-5F30C72438DA}"/>
    <hyperlink ref="I688" r:id="rId384" xr:uid="{E680D8C1-B0D8-4BE4-975D-829A915F71F6}"/>
    <hyperlink ref="I694" r:id="rId385" xr:uid="{463A2572-5DDA-4001-B8A2-5EA1F3359BF7}"/>
    <hyperlink ref="I697" r:id="rId386" xr:uid="{6DE057B2-2B16-4D14-8BAB-A3A570226B5E}"/>
    <hyperlink ref="I698" r:id="rId387" xr:uid="{0CA919AD-F438-43FE-9701-2732702EC131}"/>
    <hyperlink ref="I699" r:id="rId388" xr:uid="{56D38BCF-57F4-4C9F-AF38-01A58092D3C1}"/>
    <hyperlink ref="I706" r:id="rId389" xr:uid="{FE6A0EBB-BC4C-4A5A-BB32-EC7F431BC270}"/>
    <hyperlink ref="I731" r:id="rId390" xr:uid="{D2F7E472-9976-485D-A6BA-40743A6E9130}"/>
    <hyperlink ref="I720" r:id="rId391" xr:uid="{C8673F3C-4AD8-4374-B052-8D9001CCCE9D}"/>
    <hyperlink ref="I728" r:id="rId392" xr:uid="{4002D72C-CAA0-4015-B5EB-8330F93FD7DD}"/>
    <hyperlink ref="I727" r:id="rId393" xr:uid="{0FD495B6-464C-4A2F-B235-4B746C0FC931}"/>
    <hyperlink ref="I726" r:id="rId394" display="'anil.m@ekamobility.com'" xr:uid="{C6183FE2-84BE-4BBB-974A-8975B32EB845}"/>
    <hyperlink ref="I710" r:id="rId395" xr:uid="{B54BAFF0-0C99-4CD7-8E20-180DD6DEDDC5}"/>
    <hyperlink ref="I716" r:id="rId396" xr:uid="{8A6A2E23-BAFE-4AC3-8D7E-E9E02B62D351}"/>
    <hyperlink ref="I717" r:id="rId397" xr:uid="{59665C2D-1744-4A87-831B-062116ADD256}"/>
    <hyperlink ref="I718" r:id="rId398" xr:uid="{96B46159-CC1B-4E3A-817D-DEAD89874ECB}"/>
    <hyperlink ref="I721" r:id="rId399" xr:uid="{6718BCDA-6D0C-4711-B7AC-4D77038DC2AB}"/>
    <hyperlink ref="I722" r:id="rId400" xr:uid="{0BDF43B5-A138-4C66-857B-111D6406FFEF}"/>
    <hyperlink ref="I732" r:id="rId401" xr:uid="{F13F366E-F659-4972-84A0-0E1363953642}"/>
    <hyperlink ref="I739" r:id="rId402" xr:uid="{5974E6A9-85C9-4D10-9162-780316A1B6B8}"/>
    <hyperlink ref="I740" r:id="rId403" xr:uid="{AFEF0A46-9504-4AC4-994D-926E9FB9CEDB}"/>
    <hyperlink ref="I742" r:id="rId404" xr:uid="{F8A023DF-8577-4890-9C8A-0A907359EF8B}"/>
    <hyperlink ref="I743" r:id="rId405" xr:uid="{6FABB031-8A06-4785-88DC-448E2A73CA5A}"/>
    <hyperlink ref="I744" r:id="rId406" xr:uid="{CAE7EC5B-0F62-4124-9D6F-1D9DAEA65FEF}"/>
    <hyperlink ref="I736" r:id="rId407" xr:uid="{21EAF431-93CB-414C-855E-87AB5C20AED9}"/>
    <hyperlink ref="I737" r:id="rId408" xr:uid="{53E72DFF-23D9-4C01-96DD-16AEFC2CB3DF}"/>
    <hyperlink ref="I738" r:id="rId409" xr:uid="{27EC220C-1B55-4514-820B-F68E6E6D15C0}"/>
    <hyperlink ref="I754" r:id="rId410" display="'purchase.infra@clfprojects.com'" xr:uid="{EA93122E-3EB0-4291-A2C8-DC81963B06C0}"/>
    <hyperlink ref="I761" r:id="rId411" xr:uid="{7466BC2E-8B39-481D-AF98-6C5192BE52EC}"/>
    <hyperlink ref="I763" r:id="rId412" display="'rajiv.gaikwad@dynapac.com'" xr:uid="{2C35E624-5167-4E36-997D-B0216808F8DB}"/>
    <hyperlink ref="I765" r:id="rId413" display="'haidarali.darveshi@hyosung.com'" xr:uid="{7B4C6D64-5654-4908-B503-ECD3E1BF82DD}"/>
    <hyperlink ref="I766" r:id="rId414" display="'kamsiddha.lif@gmail.com'" xr:uid="{04F44AB6-44D8-4E2E-976A-A1F95B239A21}"/>
    <hyperlink ref="I767" r:id="rId415" xr:uid="{400E1E12-9B89-46C2-8D05-20D6FCD303FC}"/>
    <hyperlink ref="I745" r:id="rId416" xr:uid="{CD5DD20A-C830-4C5B-ADA6-E59699EEE662}"/>
    <hyperlink ref="I746" r:id="rId417" xr:uid="{FEE78355-79CF-497B-BBDB-1CE119899DF4}"/>
    <hyperlink ref="I747" r:id="rId418" xr:uid="{A5822D98-2A32-4E6A-9361-B47DEEDBF0C7}"/>
    <hyperlink ref="I748" r:id="rId419" xr:uid="{02504231-A286-4113-B08B-9E0706DEC43F}"/>
    <hyperlink ref="I749" r:id="rId420" xr:uid="{07AA774B-0B0E-4E26-9529-1BAB6644675B}"/>
    <hyperlink ref="I750" r:id="rId421" xr:uid="{1DA83D8C-1FF3-47F6-9782-CD580AAE8009}"/>
    <hyperlink ref="I751" r:id="rId422" xr:uid="{4E04488F-77BC-4024-B208-BFCC15620516}"/>
    <hyperlink ref="I752" r:id="rId423" xr:uid="{55F3DE03-2C4A-435A-AF8B-8B6ED73B4DAC}"/>
    <hyperlink ref="I753" r:id="rId424" xr:uid="{F1730CAE-0E15-4F6F-A9C3-1481EB6868C7}"/>
    <hyperlink ref="I755" r:id="rId425" xr:uid="{9B8439CC-376F-4EDB-92BC-C73C22881365}"/>
    <hyperlink ref="I756" r:id="rId426" xr:uid="{0C04187B-82B4-4941-9A75-1B1A0093029A}"/>
    <hyperlink ref="I758" r:id="rId427" xr:uid="{CE01EC3F-E451-4CBB-B41F-1091581566C8}"/>
    <hyperlink ref="I759" r:id="rId428" xr:uid="{FE4E588A-BAA3-497E-A15D-C6D779B2DCB1}"/>
    <hyperlink ref="I760" r:id="rId429" xr:uid="{65D64F23-BD7C-4F2A-B67E-86A7963BBFB5}"/>
    <hyperlink ref="I769" r:id="rId430" xr:uid="{844F0736-5996-412A-9789-462FE6BAE0AB}"/>
    <hyperlink ref="I771" r:id="rId431" xr:uid="{E096F913-1539-48CE-887B-FC683E7A8D45}"/>
    <hyperlink ref="I772" r:id="rId432" xr:uid="{9BB49680-9789-4229-88D0-031F9633AF06}"/>
    <hyperlink ref="I703" r:id="rId433" display="'prakashdunge@weichai.com'" xr:uid="{9462DF12-0B1F-4E8D-8249-A1183E518078}"/>
    <hyperlink ref="I782" r:id="rId434" xr:uid="{98388348-AB72-4C27-8723-4A96987B0AD4}"/>
    <hyperlink ref="I784" r:id="rId435" xr:uid="{08489453-9618-4019-843C-0A72C7DDE206}"/>
    <hyperlink ref="I790" r:id="rId436" xr:uid="{9BB8D4D3-C4D7-4CA0-BDAF-4BCEF5B43D67}"/>
  </hyperlinks>
  <pageMargins left="0.75" right="0.75" top="1" bottom="1" header="0.5" footer="0.5"/>
  <pageSetup paperSize="5" fitToWidth="0" fitToHeight="0" orientation="portrait" r:id="rId437"/>
  <tableParts count="1">
    <tablePart r:id="rId43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3000000}">
          <x14:formula1>
            <xm:f>'DATA SHEET'!$G$26:$G$33</xm:f>
          </x14:formula1>
          <xm:sqref>R67:R91 R22:R65 R2:R20</xm:sqref>
        </x14:dataValidation>
        <x14:dataValidation type="list" allowBlank="1" showInputMessage="1" showErrorMessage="1" xr:uid="{00000000-0002-0000-0000-00000A000000}">
          <x14:formula1>
            <xm:f>'DATA SHEET'!$C$3:$C$32</xm:f>
          </x14:formula1>
          <xm:sqref>D319:D324 E480:E489 E516:E519 E491:E514 E2:E478 E521:E616 E618:E790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C2:T47"/>
  <sheetViews>
    <sheetView topLeftCell="A5" zoomScale="130" zoomScaleNormal="130" workbookViewId="0">
      <selection activeCell="H6" sqref="H6"/>
    </sheetView>
  </sheetViews>
  <sheetFormatPr defaultRowHeight="15"/>
  <cols>
    <col min="3" max="3" width="23.42578125" customWidth="1"/>
    <col min="4" max="4" width="11" customWidth="1"/>
    <col min="7" max="7" width="22" customWidth="1"/>
    <col min="8" max="8" width="11" customWidth="1"/>
    <col min="11" max="11" width="23.5703125" customWidth="1"/>
    <col min="12" max="12" width="18.5703125" customWidth="1"/>
    <col min="14" max="14" width="16.85546875" customWidth="1"/>
    <col min="15" max="15" width="13.5703125" customWidth="1"/>
    <col min="16" max="16" width="17.7109375" customWidth="1"/>
    <col min="18" max="18" width="13.7109375" customWidth="1"/>
    <col min="19" max="19" width="9.28515625" customWidth="1"/>
    <col min="20" max="20" width="17.5703125" customWidth="1"/>
  </cols>
  <sheetData>
    <row r="2" spans="3:20" ht="22.5" customHeight="1">
      <c r="C2" s="4" t="s">
        <v>3024</v>
      </c>
      <c r="D2" s="5" t="s">
        <v>3025</v>
      </c>
      <c r="G2" s="51" t="s">
        <v>3026</v>
      </c>
      <c r="H2" s="52"/>
      <c r="I2" s="11"/>
      <c r="K2" s="77" t="s">
        <v>3027</v>
      </c>
      <c r="L2" s="78" t="s">
        <v>3028</v>
      </c>
      <c r="N2" s="286" t="s">
        <v>3029</v>
      </c>
      <c r="O2" s="287"/>
      <c r="P2" s="288"/>
      <c r="Q2" s="31"/>
      <c r="R2" s="286" t="s">
        <v>3030</v>
      </c>
      <c r="S2" s="287"/>
      <c r="T2" s="288"/>
    </row>
    <row r="3" spans="3:20" ht="13.5" customHeight="1">
      <c r="C3" t="s">
        <v>415</v>
      </c>
      <c r="D3">
        <f>COUNTIF('Lead Tracker'!E:E,"Andhra Pradesh")</f>
        <v>4</v>
      </c>
      <c r="G3" s="53" t="s">
        <v>122</v>
      </c>
      <c r="H3" s="48">
        <f>COUNTIF('Lead Tracker'!L:L, G3)</f>
        <v>15</v>
      </c>
      <c r="I3" s="11"/>
      <c r="K3" s="79" t="s">
        <v>368</v>
      </c>
      <c r="L3" s="80">
        <f>COUNTIF('Lead Tracker'!M:M, K3)</f>
        <v>20</v>
      </c>
      <c r="N3" s="32" t="s">
        <v>3031</v>
      </c>
      <c r="O3" s="29" t="s">
        <v>3032</v>
      </c>
      <c r="P3" s="33" t="s">
        <v>3033</v>
      </c>
      <c r="R3" s="39" t="s">
        <v>3034</v>
      </c>
      <c r="S3" s="30" t="s">
        <v>3032</v>
      </c>
      <c r="T3" s="40" t="s">
        <v>3033</v>
      </c>
    </row>
    <row r="4" spans="3:20" ht="15.75" customHeight="1">
      <c r="C4" t="s">
        <v>3035</v>
      </c>
      <c r="D4">
        <f>COUNTIF('Lead Tracker'!E:E,"Andhra Pradesh")</f>
        <v>4</v>
      </c>
      <c r="G4" s="53" t="s">
        <v>36</v>
      </c>
      <c r="H4" s="48">
        <f>COUNTIF('Lead Tracker'!L:L, G4)</f>
        <v>45</v>
      </c>
      <c r="I4" s="11"/>
      <c r="K4" s="81" t="s">
        <v>37</v>
      </c>
      <c r="L4" s="80">
        <f>COUNTIF('Lead Tracker'!M:M, K4)</f>
        <v>102</v>
      </c>
      <c r="N4" s="34" t="s">
        <v>3036</v>
      </c>
      <c r="O4" s="25">
        <f ca="1">COUNTIFS('Lead Tracker'!B:B, TODAY()-WEEKDAY(TODAY(),2)+1)</f>
        <v>0</v>
      </c>
      <c r="P4" s="35">
        <f ca="1">SUMIFS('Lead Tracker'!P:P, 'Lead Tracker'!B:B, TODAY()-WEEKDAY(TODAY(),2)+1)</f>
        <v>0</v>
      </c>
      <c r="R4" s="34" t="s">
        <v>3037</v>
      </c>
      <c r="S4" s="42">
        <f>COUNTIFS('Lead Tracker'!B:B,"&gt;="&amp;DATE(2026,1,1),'Lead Tracker'!B:B,"&lt;="&amp;DATE(2026,1,31))</f>
        <v>252</v>
      </c>
      <c r="T4" s="41"/>
    </row>
    <row r="5" spans="3:20" ht="15.75">
      <c r="C5" t="s">
        <v>1083</v>
      </c>
      <c r="D5">
        <f>COUNTIF('Lead Tracker'!E:E,"Assam")</f>
        <v>2</v>
      </c>
      <c r="G5" s="53" t="s">
        <v>54</v>
      </c>
      <c r="H5" s="48">
        <f>COUNTIF('Lead Tracker'!L:L, G5)</f>
        <v>149</v>
      </c>
      <c r="I5" s="11"/>
      <c r="K5" s="79" t="s">
        <v>55</v>
      </c>
      <c r="L5" s="80">
        <f>COUNTIF('Lead Tracker'!M:M, K5)</f>
        <v>179</v>
      </c>
      <c r="N5" s="34" t="s">
        <v>3038</v>
      </c>
      <c r="O5" s="25">
        <f ca="1">COUNTIFS('Lead Tracker'!B:B, TODAY()-WEEKDAY(TODAY(),2)+2)</f>
        <v>0</v>
      </c>
      <c r="P5" s="35">
        <f ca="1">SUMIFS('Lead Tracker'!P:P, 'Lead Tracker'!B:B, TODAY()-WEEKDAY(TODAY(),2)+2)</f>
        <v>0</v>
      </c>
      <c r="R5" s="34" t="s">
        <v>3039</v>
      </c>
      <c r="S5" s="42">
        <f>COUNTIFS('Lead Tracker'!B:B,"&gt;="&amp;DATE(2026,2,1),'Lead Tracker'!B:B,"&lt;="&amp;DATE(2026,2,28))</f>
        <v>212</v>
      </c>
      <c r="T5" s="41"/>
    </row>
    <row r="6" spans="3:20" ht="15.75">
      <c r="C6" t="s">
        <v>321</v>
      </c>
      <c r="D6">
        <f>COUNTIF('Lead Tracker'!E:E,"Bihar")</f>
        <v>2</v>
      </c>
      <c r="G6" s="53" t="s">
        <v>76</v>
      </c>
      <c r="H6" s="48">
        <f>COUNTIF('Lead Tracker'!L:L, G6)</f>
        <v>461</v>
      </c>
      <c r="I6" s="11"/>
      <c r="K6" s="81" t="s">
        <v>69</v>
      </c>
      <c r="L6" s="80">
        <f>COUNTIF('Lead Tracker'!M:M, K6)</f>
        <v>269</v>
      </c>
      <c r="N6" s="34" t="s">
        <v>3040</v>
      </c>
      <c r="O6" s="25">
        <f ca="1">COUNTIFS('Lead Tracker'!B:B, TODAY()-WEEKDAY(TODAY(),2)+3)</f>
        <v>0</v>
      </c>
      <c r="P6" s="35">
        <f ca="1">SUMIFS('Lead Tracker'!P:P, 'Lead Tracker'!B:B, TODAY()-WEEKDAY(TODAY(),2)+3)</f>
        <v>0</v>
      </c>
      <c r="R6" s="34" t="s">
        <v>3041</v>
      </c>
      <c r="S6" s="42">
        <f>COUNTIFS('Lead Tracker'!B:B,"&gt;="&amp;DATE(2026,3,1),'Lead Tracker'!B:B,"&lt;="&amp;DATE(2026,3,31))</f>
        <v>252</v>
      </c>
      <c r="T6" s="41">
        <f>SUMIFS('Lead Tracker'!P:P,'Lead Tracker'!B:B,"&gt;="&amp;DATE(2026,3,1),'Lead Tracker'!B:B,"&lt;="&amp;DATE(2026,3,31))</f>
        <v>9577726</v>
      </c>
    </row>
    <row r="7" spans="3:20" ht="15.75">
      <c r="C7" t="s">
        <v>3042</v>
      </c>
      <c r="D7">
        <f>COUNTIF('Lead Tracker'!E:E,"Chhattisgarh")</f>
        <v>0</v>
      </c>
      <c r="G7" s="53" t="s">
        <v>3043</v>
      </c>
      <c r="H7" s="48">
        <f>COUNTIF('Lead Tracker'!L:L, G7)</f>
        <v>0</v>
      </c>
      <c r="I7" s="11"/>
      <c r="K7" s="81" t="s">
        <v>77</v>
      </c>
      <c r="L7" s="80">
        <f>COUNTIF('Lead Tracker'!M:M, K7)</f>
        <v>201</v>
      </c>
      <c r="N7" s="34" t="s">
        <v>3044</v>
      </c>
      <c r="O7" s="25">
        <f ca="1">COUNTIFS('Lead Tracker'!B:B, TODAY()-WEEKDAY(TODAY(),2)+4)</f>
        <v>0</v>
      </c>
      <c r="P7" s="35">
        <f ca="1">SUMIFS('Lead Tracker'!P:P, 'Lead Tracker'!B:B, TODAY()-WEEKDAY(TODAY(),2)+4)</f>
        <v>0</v>
      </c>
      <c r="R7" s="34" t="s">
        <v>3045</v>
      </c>
      <c r="S7" s="42">
        <f>COUNTIFS('Lead Tracker'!B:B,"&gt;="&amp;DATE(2026,4,1),'Lead Tracker'!B:B,"&lt;="&amp;DATE(2026,4,30))</f>
        <v>71</v>
      </c>
      <c r="T7" s="41">
        <f>SUMIFS('Lead Tracker'!P:P,'Lead Tracker'!B:B,"&gt;="&amp;DATE(2026,4,1),'Lead Tracker'!B:B,"&lt;="&amp;DATE(2026,4,30))</f>
        <v>0</v>
      </c>
    </row>
    <row r="8" spans="3:20" ht="15.75">
      <c r="C8" t="s">
        <v>1063</v>
      </c>
      <c r="D8">
        <f>COUNTIF('Lead Tracker'!E:E,"Goa")</f>
        <v>4</v>
      </c>
      <c r="G8" s="54" t="s">
        <v>101</v>
      </c>
      <c r="H8" s="50">
        <f>COUNTIF('Lead Tracker'!L:L, G8)</f>
        <v>117</v>
      </c>
      <c r="I8" s="11"/>
      <c r="K8" s="82"/>
      <c r="L8" s="82"/>
      <c r="N8" s="34" t="s">
        <v>3046</v>
      </c>
      <c r="O8" s="25">
        <f ca="1">COUNTIFS('Lead Tracker'!B:B, TODAY()-WEEKDAY(TODAY(),2)+5)</f>
        <v>0</v>
      </c>
      <c r="P8" s="35">
        <f ca="1">SUMIFS('Lead Tracker'!P:P, 'Lead Tracker'!B:B, TODAY()-WEEKDAY(TODAY(),2)+5)</f>
        <v>0</v>
      </c>
      <c r="R8" s="34" t="s">
        <v>3047</v>
      </c>
      <c r="S8" s="42">
        <f>COUNTIFS('Lead Tracker'!B:B,"&gt;="&amp;DATE(2026,5,1),'Lead Tracker'!B:B,"&lt;="&amp;DATE(2026,5,31))</f>
        <v>0</v>
      </c>
      <c r="T8" s="41">
        <f>SUMIFS('Lead Tracker'!P:P,'Lead Tracker'!B:B,"&gt;="&amp;DATE(2026,5,1),'Lead Tracker'!B:B,"&lt;="&amp;DATE(2026,5,31))</f>
        <v>0</v>
      </c>
    </row>
    <row r="9" spans="3:20" ht="18.75">
      <c r="C9" t="s">
        <v>84</v>
      </c>
      <c r="D9">
        <f>COUNTIF('Lead Tracker'!E:E,"Gujarat")</f>
        <v>61</v>
      </c>
      <c r="I9" s="11"/>
      <c r="K9" s="290" t="s">
        <v>3048</v>
      </c>
      <c r="L9" s="290"/>
      <c r="N9" s="34" t="s">
        <v>3049</v>
      </c>
      <c r="O9" s="25">
        <f ca="1">COUNTIFS('Lead Tracker'!B:B, TODAY()-WEEKDAY(TODAY(),2)+6)</f>
        <v>0</v>
      </c>
      <c r="P9" s="35">
        <f ca="1">SUMIFS('Lead Tracker'!P:P, 'Lead Tracker'!B:B, TODAY()-WEEKDAY(TODAY(),2)+6)</f>
        <v>0</v>
      </c>
      <c r="R9" s="34" t="s">
        <v>3050</v>
      </c>
      <c r="S9" s="42">
        <f>COUNTIFS('Lead Tracker'!B:B,"&gt;="&amp;DATE(2026,6,1),'Lead Tracker'!B:B,"&lt;="&amp;DATE(2026,6,30))</f>
        <v>0</v>
      </c>
      <c r="T9" s="41">
        <f>SUMIFS('Lead Tracker'!P:P,'Lead Tracker'!B:B,"&gt;="&amp;DATE(2026,6,1),'Lead Tracker'!B:B,"&lt;="&amp;DATE(2026,6,30))</f>
        <v>0</v>
      </c>
    </row>
    <row r="10" spans="3:20" ht="19.5" customHeight="1">
      <c r="C10" t="s">
        <v>171</v>
      </c>
      <c r="D10">
        <f>COUNTIF('Lead Tracker'!E:E,"Haryana")</f>
        <v>12</v>
      </c>
      <c r="G10" s="55" t="s">
        <v>3051</v>
      </c>
      <c r="H10" s="52" t="s">
        <v>3032</v>
      </c>
      <c r="K10" s="26" t="s">
        <v>3052</v>
      </c>
      <c r="L10" s="26" t="s">
        <v>3053</v>
      </c>
      <c r="N10" s="36" t="s">
        <v>3054</v>
      </c>
      <c r="O10" s="37">
        <f ca="1">COUNTIFS('Lead Tracker'!B:B, TODAY()-WEEKDAY(TODAY(),2)+7)</f>
        <v>0</v>
      </c>
      <c r="P10" s="38">
        <f ca="1">SUMIFS('Lead Tracker'!P:P, 'Lead Tracker'!B:B, TODAY()-WEEKDAY(TODAY(),2)+7)</f>
        <v>0</v>
      </c>
      <c r="R10" s="34" t="s">
        <v>3055</v>
      </c>
      <c r="S10" s="42">
        <f>COUNTIFS('Lead Tracker'!B:B,"&gt;="&amp;DATE(2026,7,1),'Lead Tracker'!B:B,"&lt;="&amp;DATE(2026,7,31))</f>
        <v>0</v>
      </c>
      <c r="T10" s="41">
        <f>SUMIFS('Lead Tracker'!P:P,'Lead Tracker'!B:B,"&gt;="&amp;DATE(2026,7,1),'Lead Tracker'!B:B,"&lt;="&amp;DATE(2026,7,31))</f>
        <v>0</v>
      </c>
    </row>
    <row r="11" spans="3:20">
      <c r="C11" t="s">
        <v>1718</v>
      </c>
      <c r="D11">
        <f>COUNTIF('Lead Tracker'!E:E,"Himachal Pradesh")</f>
        <v>1</v>
      </c>
      <c r="G11" s="56" t="s">
        <v>2523</v>
      </c>
      <c r="H11" s="57">
        <f>COUNTIF('Lead Tracker'!J:J, G11)</f>
        <v>9</v>
      </c>
      <c r="K11" s="9" t="s">
        <v>2</v>
      </c>
      <c r="L11" s="9">
        <f ca="1">COUNTIF('Lead Tracker'!B:B, TODAY())</f>
        <v>0</v>
      </c>
      <c r="R11" s="34" t="s">
        <v>3056</v>
      </c>
      <c r="S11" s="42">
        <f>COUNTIFS('Lead Tracker'!B:B,"&gt;="&amp;DATE(2026,8,1),'Lead Tracker'!B:B,"&lt;="&amp;DATE(2026,8,31))</f>
        <v>0</v>
      </c>
      <c r="T11" s="41">
        <f>SUMIFS('Lead Tracker'!P:P,'Lead Tracker'!B:B,"&gt;="&amp;DATE(2026,8,1),'Lead Tracker'!B:B,"&lt;="&amp;DATE(2026,8,31))</f>
        <v>0</v>
      </c>
    </row>
    <row r="12" spans="3:20">
      <c r="C12" t="s">
        <v>89</v>
      </c>
      <c r="D12">
        <f>COUNTIF('Lead Tracker'!E:E,"Jharkhand")</f>
        <v>4</v>
      </c>
      <c r="G12" s="58" t="s">
        <v>74</v>
      </c>
      <c r="H12" s="59">
        <f>COUNTIF('Lead Tracker'!J:J, G12)</f>
        <v>36</v>
      </c>
      <c r="K12" s="8" t="s">
        <v>3</v>
      </c>
      <c r="L12" s="9">
        <f ca="1">COUNTIF('Lead Tracker'!B:B, TODAY()-1)</f>
        <v>0</v>
      </c>
      <c r="R12" s="34" t="s">
        <v>3057</v>
      </c>
      <c r="S12" s="42">
        <f>COUNTIFS('Lead Tracker'!B:B,"&gt;="&amp;DATE(2026,9,1),'Lead Tracker'!B:B,"&lt;="&amp;DATE(2026,9,30))</f>
        <v>0</v>
      </c>
      <c r="T12" s="41">
        <f>SUMIFS('Lead Tracker'!P:P,'Lead Tracker'!B:B,"&gt;="&amp;DATE(2026,9,1),'Lead Tracker'!B:B,"&lt;="&amp;DATE(2026,9,30))</f>
        <v>0</v>
      </c>
    </row>
    <row r="13" spans="3:20">
      <c r="C13" t="s">
        <v>65</v>
      </c>
      <c r="D13">
        <f>COUNTIF('Lead Tracker'!E:E,"Telangana")</f>
        <v>39</v>
      </c>
      <c r="G13" s="60" t="s">
        <v>99</v>
      </c>
      <c r="H13" s="57">
        <f>COUNTIF('Lead Tracker'!J:J, G13)</f>
        <v>53</v>
      </c>
      <c r="K13" s="9" t="s">
        <v>3058</v>
      </c>
      <c r="L13" s="9">
        <f ca="1">COUNTIFS('Lead Tracker'!B:B, "&gt;="&amp;EOMONTH(TODAY(),-1)+1, 'Lead Tracker'!B:B, "&lt;="&amp;EOMONTH(TODAY(),0))</f>
        <v>71</v>
      </c>
      <c r="R13" s="34" t="s">
        <v>3059</v>
      </c>
      <c r="S13" s="42">
        <f>COUNTIFS('Lead Tracker'!B:B,"&gt;="&amp;DATE(2026,10,1),'Lead Tracker'!B:B,"&lt;="&amp;DATE(2026,10,31))</f>
        <v>0</v>
      </c>
      <c r="T13" s="41">
        <f>SUMIFS('Lead Tracker'!P:P,'Lead Tracker'!B:B,"&gt;="&amp;DATE(2026,10,1),'Lead Tracker'!B:B,"&lt;="&amp;DATE(2026,10,31))</f>
        <v>0</v>
      </c>
    </row>
    <row r="14" spans="3:20" ht="17.25" customHeight="1">
      <c r="C14" t="s">
        <v>2130</v>
      </c>
      <c r="D14">
        <f>COUNTIF('Lead Tracker'!E:E,"Kerala")</f>
        <v>2</v>
      </c>
      <c r="G14" s="58" t="s">
        <v>86</v>
      </c>
      <c r="H14" s="59">
        <f>COUNTIF('Lead Tracker'!J:J, G14)</f>
        <v>82</v>
      </c>
      <c r="K14" s="8" t="s">
        <v>3060</v>
      </c>
      <c r="L14" s="27">
        <f>SUM(T4:T16)</f>
        <v>9577726</v>
      </c>
      <c r="R14" s="34" t="s">
        <v>3061</v>
      </c>
      <c r="S14" s="42">
        <f>COUNTIFS('Lead Tracker'!B:B,"&gt;="&amp;DATE(2026,11,1),'Lead Tracker'!B:B,"&lt;="&amp;DATE(2026,11,30))</f>
        <v>0</v>
      </c>
      <c r="T14" s="41">
        <f>SUMIFS('Lead Tracker'!P:P,'Lead Tracker'!B:B,"&gt;="&amp;DATE(2026,11,1),'Lead Tracker'!B:B,"&lt;="&amp;DATE(2026,11,30))</f>
        <v>0</v>
      </c>
    </row>
    <row r="15" spans="3:20">
      <c r="C15" t="s">
        <v>58</v>
      </c>
      <c r="D15">
        <f>COUNTIF('Lead Tracker'!E:E,"Madhya Pradesh")</f>
        <v>18</v>
      </c>
      <c r="G15" s="60" t="s">
        <v>248</v>
      </c>
      <c r="H15" s="59">
        <f>COUNTIF('Lead Tracker'!J:J, G15)</f>
        <v>75</v>
      </c>
      <c r="K15" s="9" t="s">
        <v>6</v>
      </c>
      <c r="L15" s="28">
        <f>SUMIFS('Lead Tracker'!P:P, 'Lead Tracker'!Q:Q, "PO Received")</f>
        <v>87839167</v>
      </c>
      <c r="R15" s="36" t="s">
        <v>3062</v>
      </c>
      <c r="S15" s="43">
        <f>COUNTIFS('Lead Tracker'!B:B,"&gt;="&amp;DATE(2026,12,1),'Lead Tracker'!B:B,"&lt;="&amp;DATE(2026,12,31))</f>
        <v>0</v>
      </c>
      <c r="T15" s="44">
        <f>SUMIFS('Lead Tracker'!P:P,'Lead Tracker'!B:B,"&gt;="&amp;DATE(2026,12,1),'Lead Tracker'!B:B,"&lt;="&amp;DATE(2026,12,31))</f>
        <v>0</v>
      </c>
    </row>
    <row r="16" spans="3:20">
      <c r="C16" t="s">
        <v>41</v>
      </c>
      <c r="D16">
        <f>COUNTIF('Lead Tracker'!E:E,"Maharashtra")</f>
        <v>418</v>
      </c>
      <c r="G16" s="58" t="s">
        <v>1420</v>
      </c>
      <c r="H16" s="59">
        <f>COUNTIF('Lead Tracker'!J:J, G16)</f>
        <v>9</v>
      </c>
      <c r="K16" s="8" t="s">
        <v>7</v>
      </c>
      <c r="L16" s="8">
        <f>SUBTOTAL(109,S4:S15)</f>
        <v>787</v>
      </c>
      <c r="R16" s="65"/>
      <c r="S16" s="66"/>
      <c r="T16" s="67"/>
    </row>
    <row r="17" spans="3:16">
      <c r="C17" t="s">
        <v>3063</v>
      </c>
      <c r="D17">
        <f>COUNTIF('Lead Tracker'!E:E,"Manipur")</f>
        <v>0</v>
      </c>
      <c r="G17" s="60" t="s">
        <v>34</v>
      </c>
      <c r="H17" s="59">
        <f>COUNTIF('Lead Tracker'!J:J, G17)</f>
        <v>208</v>
      </c>
      <c r="K17" s="9" t="s">
        <v>3064</v>
      </c>
      <c r="L17" s="9">
        <f ca="1">COUNTIF('Lead Tracker'!B:B, TODAY()-2)</f>
        <v>0</v>
      </c>
    </row>
    <row r="18" spans="3:16" ht="18.75" customHeight="1">
      <c r="C18" t="s">
        <v>3065</v>
      </c>
      <c r="D18">
        <f>COUNTIF('Lead Tracker'!E:E,"Meghalaya")</f>
        <v>0</v>
      </c>
      <c r="G18" s="60" t="s">
        <v>272</v>
      </c>
      <c r="H18" s="59">
        <f>COUNTIF('Lead Tracker'!J:J, G18)</f>
        <v>103</v>
      </c>
    </row>
    <row r="19" spans="3:16" ht="15.75">
      <c r="C19" t="s">
        <v>711</v>
      </c>
      <c r="D19">
        <f>COUNTIF('Lead Tracker'!E:E,"Karnatka")</f>
        <v>29</v>
      </c>
      <c r="G19" s="58" t="s">
        <v>81</v>
      </c>
      <c r="H19" s="59">
        <f>COUNTIF('Lead Tracker'!J:J, G19)</f>
        <v>212</v>
      </c>
      <c r="K19" s="289" t="s">
        <v>3066</v>
      </c>
      <c r="L19" s="289"/>
    </row>
    <row r="20" spans="3:16">
      <c r="C20" t="s">
        <v>3067</v>
      </c>
      <c r="D20">
        <f>COUNTIF('Lead Tracker'!E:E,"Mizoram")</f>
        <v>0</v>
      </c>
      <c r="G20" s="47"/>
      <c r="H20" s="48"/>
      <c r="K20" t="s">
        <v>3068</v>
      </c>
      <c r="L20" t="s">
        <v>3032</v>
      </c>
    </row>
    <row r="21" spans="3:16">
      <c r="C21" t="s">
        <v>3069</v>
      </c>
      <c r="D21">
        <f>COUNTIF('Lead Tracker'!E:E,"Nagaland")</f>
        <v>0</v>
      </c>
      <c r="G21" s="60"/>
      <c r="H21" s="57"/>
      <c r="K21" s="22" t="s">
        <v>2306</v>
      </c>
      <c r="L21">
        <f>COUNTIF('Lead Tracker'!F:F, K21)</f>
        <v>3</v>
      </c>
    </row>
    <row r="22" spans="3:16">
      <c r="C22" t="s">
        <v>191</v>
      </c>
      <c r="D22">
        <f>COUNTIF('Lead Tracker'!E:E,"Odisha")</f>
        <v>8</v>
      </c>
      <c r="G22" s="61"/>
      <c r="H22" s="50"/>
      <c r="K22" s="22" t="s">
        <v>117</v>
      </c>
      <c r="L22">
        <f>COUNTIF('Lead Tracker'!F:F, K22)</f>
        <v>51</v>
      </c>
    </row>
    <row r="23" spans="3:16">
      <c r="C23" t="s">
        <v>771</v>
      </c>
      <c r="D23">
        <f>COUNTIF('Lead Tracker'!E:E,"Punjab")</f>
        <v>7</v>
      </c>
      <c r="K23" s="22" t="s">
        <v>47</v>
      </c>
      <c r="L23">
        <f>COUNTIF('Lead Tracker'!F:F, K23)</f>
        <v>14</v>
      </c>
    </row>
    <row r="24" spans="3:16">
      <c r="C24" t="s">
        <v>308</v>
      </c>
      <c r="D24">
        <f>COUNTIF('Lead Tracker'!E:E,"Rajasthan")</f>
        <v>15</v>
      </c>
      <c r="G24" s="291" t="s">
        <v>3070</v>
      </c>
      <c r="H24" s="292"/>
      <c r="K24" s="22" t="s">
        <v>32</v>
      </c>
      <c r="L24">
        <f>COUNTIF('Lead Tracker'!F:F, K24)</f>
        <v>201</v>
      </c>
    </row>
    <row r="25" spans="3:16">
      <c r="C25" t="s">
        <v>3071</v>
      </c>
      <c r="D25">
        <f>COUNTIF('Lead Tracker'!E:E,"Sikkim")</f>
        <v>0</v>
      </c>
      <c r="G25" s="45" t="s">
        <v>3072</v>
      </c>
      <c r="H25" s="46" t="s">
        <v>3032</v>
      </c>
      <c r="K25" s="22" t="s">
        <v>80</v>
      </c>
      <c r="L25">
        <f>COUNTIF('Lead Tracker'!F:F, K25)</f>
        <v>118</v>
      </c>
    </row>
    <row r="26" spans="3:16">
      <c r="C26" t="s">
        <v>131</v>
      </c>
      <c r="D26">
        <f>COUNTIF('Lead Tracker'!E:E,"Tamil Nadu")</f>
        <v>61</v>
      </c>
      <c r="G26" s="47" t="s">
        <v>336</v>
      </c>
      <c r="H26" s="48">
        <f>COUNTIF('Lead Tracker'!Q:Q, G26)</f>
        <v>82</v>
      </c>
      <c r="K26" s="22" t="s">
        <v>71</v>
      </c>
      <c r="L26">
        <f>COUNTIF('Lead Tracker'!F:F, K26)</f>
        <v>212</v>
      </c>
      <c r="M26" s="21"/>
      <c r="N26" s="21"/>
      <c r="O26" s="21"/>
    </row>
    <row r="27" spans="3:16">
      <c r="C27" t="s">
        <v>3073</v>
      </c>
      <c r="D27">
        <f>COUNTIF('Lead Tracker'!E:E,"Tripura")</f>
        <v>0</v>
      </c>
      <c r="G27" s="47" t="s">
        <v>319</v>
      </c>
      <c r="H27" s="48">
        <f>COUNTIF('Lead Tracker'!Q:Q, G27)</f>
        <v>5</v>
      </c>
      <c r="K27" s="22" t="s">
        <v>90</v>
      </c>
      <c r="L27">
        <f>COUNTIF('Lead Tracker'!F:F, K27)</f>
        <v>75</v>
      </c>
      <c r="M27" s="22"/>
      <c r="N27" s="22"/>
      <c r="O27" s="22"/>
    </row>
    <row r="28" spans="3:16">
      <c r="C28" t="s">
        <v>206</v>
      </c>
      <c r="D28">
        <f>COUNTIF('Lead Tracker'!E:E,"Uttar Pradesh")</f>
        <v>27</v>
      </c>
      <c r="G28" s="47" t="s">
        <v>38</v>
      </c>
      <c r="H28" s="48">
        <f>COUNTIF('Lead Tracker'!Q:Q, G28)</f>
        <v>37</v>
      </c>
      <c r="K28" s="22" t="s">
        <v>201</v>
      </c>
      <c r="L28">
        <f>COUNTIF('Lead Tracker'!F:F, K28)</f>
        <v>50</v>
      </c>
      <c r="M28" s="22"/>
      <c r="N28" s="22"/>
      <c r="O28" s="22"/>
      <c r="P28" s="19"/>
    </row>
    <row r="29" spans="3:16">
      <c r="C29" t="s">
        <v>165</v>
      </c>
      <c r="D29">
        <f>COUNTIF('Lead Tracker'!E:E,"Uttarakhand")</f>
        <v>4</v>
      </c>
      <c r="G29" s="47" t="s">
        <v>293</v>
      </c>
      <c r="H29" s="48">
        <f>COUNTIF('Lead Tracker'!Q:Q, G29)</f>
        <v>6</v>
      </c>
      <c r="K29" s="22" t="s">
        <v>3074</v>
      </c>
      <c r="L29">
        <f>COUNTIF('Lead Tracker'!F:F, K29)</f>
        <v>0</v>
      </c>
      <c r="M29" s="22"/>
      <c r="N29" s="22"/>
      <c r="O29" s="22"/>
    </row>
    <row r="30" spans="3:16">
      <c r="C30" t="s">
        <v>657</v>
      </c>
      <c r="D30">
        <f>COUNTIF('Lead Tracker'!E:E,"West Bengal")</f>
        <v>12</v>
      </c>
      <c r="G30" s="47" t="s">
        <v>78</v>
      </c>
      <c r="H30" s="48">
        <f>COUNTIF('Lead Tracker'!Q:Q, G30)</f>
        <v>32</v>
      </c>
      <c r="K30" s="22" t="s">
        <v>3075</v>
      </c>
      <c r="L30">
        <f>COUNTIF('Lead Tracker'!F:F, K30)</f>
        <v>0</v>
      </c>
      <c r="M30" s="22"/>
      <c r="N30" s="22"/>
      <c r="O30" s="22"/>
    </row>
    <row r="31" spans="3:16">
      <c r="C31" t="s">
        <v>42</v>
      </c>
      <c r="D31">
        <f>COUNTIF('Lead Tracker'!E:E,"Others")</f>
        <v>0</v>
      </c>
      <c r="G31" s="47" t="s">
        <v>145</v>
      </c>
      <c r="H31" s="48">
        <f>COUNTIF('Lead Tracker'!Q:Q, G31)</f>
        <v>15</v>
      </c>
      <c r="K31" s="22" t="s">
        <v>42</v>
      </c>
      <c r="L31">
        <f>COUNTIF('Lead Tracker'!F:F, K31)</f>
        <v>47</v>
      </c>
      <c r="M31" s="22"/>
      <c r="N31" s="22"/>
      <c r="O31" s="22"/>
    </row>
    <row r="32" spans="3:16">
      <c r="C32" t="s">
        <v>31</v>
      </c>
      <c r="D32">
        <f>COUNTIF('Lead Tracker'!E:E,"International")</f>
        <v>6</v>
      </c>
      <c r="G32" s="47" t="s">
        <v>124</v>
      </c>
      <c r="H32" s="48">
        <f>COUNTIF('Lead Tracker'!Q:Q, G32)</f>
        <v>33</v>
      </c>
      <c r="K32" s="22" t="s">
        <v>1147</v>
      </c>
      <c r="L32">
        <f>COUNTIF('Lead Tracker'!F:F, K32)</f>
        <v>2</v>
      </c>
      <c r="M32" s="22"/>
      <c r="N32" s="22"/>
      <c r="O32" s="22"/>
    </row>
    <row r="33" spans="3:15">
      <c r="C33" t="s">
        <v>3076</v>
      </c>
      <c r="D33">
        <f>SUBTOTAL(109,Table4[No])</f>
        <v>740</v>
      </c>
      <c r="G33" s="49" t="s">
        <v>453</v>
      </c>
      <c r="H33" s="50">
        <f>COUNTIF('Lead Tracker'!Q:Q, G33)</f>
        <v>1</v>
      </c>
      <c r="K33" s="22" t="s">
        <v>1423</v>
      </c>
      <c r="L33">
        <f>COUNTIF('Lead Tracker'!F:F, K33)</f>
        <v>11</v>
      </c>
      <c r="M33" s="22"/>
      <c r="N33" s="22"/>
      <c r="O33" s="22"/>
    </row>
    <row r="34" spans="3:15">
      <c r="K34" s="22"/>
      <c r="M34" s="22"/>
      <c r="N34" s="22"/>
      <c r="O34" s="22"/>
    </row>
    <row r="35" spans="3:15">
      <c r="K35" s="22"/>
      <c r="M35" s="22"/>
      <c r="N35" s="22"/>
      <c r="O35" s="22"/>
    </row>
    <row r="36" spans="3:15">
      <c r="K36" s="22"/>
      <c r="M36" s="22"/>
      <c r="N36" s="22"/>
      <c r="O36" s="22"/>
    </row>
    <row r="37" spans="3:15">
      <c r="K37" s="22"/>
      <c r="M37" s="22"/>
      <c r="N37" s="22"/>
      <c r="O37" s="22"/>
    </row>
    <row r="38" spans="3:15">
      <c r="M38" s="22"/>
      <c r="N38" s="22"/>
      <c r="O38" s="22"/>
    </row>
    <row r="39" spans="3:15">
      <c r="M39" s="22"/>
      <c r="N39" s="22"/>
      <c r="O39" s="22"/>
    </row>
    <row r="44" spans="3:15">
      <c r="K44" s="23"/>
    </row>
    <row r="45" spans="3:15">
      <c r="K45" s="24"/>
    </row>
    <row r="46" spans="3:15">
      <c r="K46" s="24"/>
    </row>
    <row r="47" spans="3:15">
      <c r="K47" s="24"/>
    </row>
  </sheetData>
  <mergeCells count="5">
    <mergeCell ref="R2:T2"/>
    <mergeCell ref="N2:P2"/>
    <mergeCell ref="K19:L19"/>
    <mergeCell ref="K9:L9"/>
    <mergeCell ref="G24:H24"/>
  </mergeCells>
  <dataValidations count="1">
    <dataValidation type="list" allowBlank="1" showInputMessage="1" showErrorMessage="1" sqref="G3:G7" xr:uid="{00000000-0002-0000-0300-000000000000}">
      <formula1>"INDIAMART, TRADE INDIA,REFRENCE,OUT SOURCE,MAIL,VERBAL, EXISTING CUS."</formula1>
    </dataValidation>
  </dataValidations>
  <pageMargins left="0.7" right="0.7" top="0.75" bottom="0.75" header="0.3" footer="0.3"/>
  <pageSetup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A8C3D-4A7D-4E40-8070-18C136E2FB03}">
  <dimension ref="C1:M38"/>
  <sheetViews>
    <sheetView topLeftCell="C1" workbookViewId="0">
      <selection activeCell="P11" sqref="P11"/>
    </sheetView>
  </sheetViews>
  <sheetFormatPr defaultRowHeight="15"/>
  <cols>
    <col min="4" max="4" width="17.5703125" customWidth="1"/>
    <col min="6" max="6" width="13.28515625" customWidth="1"/>
    <col min="7" max="7" width="12" customWidth="1"/>
    <col min="8" max="8" width="9.85546875" customWidth="1"/>
    <col min="9" max="9" width="10.28515625" customWidth="1"/>
    <col min="10" max="10" width="23.5703125" customWidth="1"/>
    <col min="11" max="11" width="15" customWidth="1"/>
    <col min="12" max="12" width="8.5703125" customWidth="1"/>
    <col min="13" max="13" width="16.140625" customWidth="1"/>
  </cols>
  <sheetData>
    <row r="1" spans="4:13" ht="15.75">
      <c r="G1" s="242"/>
      <c r="H1" s="242"/>
      <c r="I1" s="294" t="s">
        <v>3077</v>
      </c>
      <c r="J1" s="294"/>
    </row>
    <row r="2" spans="4:13">
      <c r="D2" s="86" t="s">
        <v>3078</v>
      </c>
      <c r="E2" s="88" t="s">
        <v>3079</v>
      </c>
      <c r="F2" s="95" t="s">
        <v>3080</v>
      </c>
      <c r="G2" s="87" t="s">
        <v>81</v>
      </c>
      <c r="H2" s="87" t="s">
        <v>99</v>
      </c>
      <c r="I2" s="87" t="s">
        <v>2523</v>
      </c>
      <c r="J2" s="108" t="s">
        <v>3081</v>
      </c>
      <c r="K2" s="104" t="s">
        <v>3082</v>
      </c>
      <c r="L2" s="103" t="s">
        <v>3083</v>
      </c>
      <c r="M2" s="105"/>
    </row>
    <row r="3" spans="4:13">
      <c r="D3" s="89" t="s">
        <v>3084</v>
      </c>
      <c r="E3" s="109">
        <v>252</v>
      </c>
      <c r="F3" s="110">
        <v>39</v>
      </c>
      <c r="G3" s="111">
        <v>98</v>
      </c>
      <c r="H3" s="111">
        <v>24</v>
      </c>
      <c r="I3" s="111">
        <v>0</v>
      </c>
      <c r="J3" s="205"/>
      <c r="K3" s="111">
        <v>42</v>
      </c>
      <c r="L3" s="112">
        <v>18</v>
      </c>
      <c r="M3" s="111"/>
    </row>
    <row r="4" spans="4:13">
      <c r="D4" s="90" t="s">
        <v>3085</v>
      </c>
      <c r="E4" s="91">
        <v>149</v>
      </c>
      <c r="F4" s="96">
        <v>27</v>
      </c>
      <c r="G4" s="85">
        <v>50</v>
      </c>
      <c r="H4" s="85">
        <v>7</v>
      </c>
      <c r="I4" s="85"/>
      <c r="J4" s="85">
        <v>7</v>
      </c>
      <c r="K4" s="98">
        <v>3</v>
      </c>
      <c r="L4" s="100"/>
      <c r="M4" s="106"/>
    </row>
    <row r="5" spans="4:13">
      <c r="D5" s="90" t="s">
        <v>3086</v>
      </c>
      <c r="E5" s="91">
        <v>36</v>
      </c>
      <c r="F5" s="96"/>
      <c r="G5" s="85"/>
      <c r="H5" s="85">
        <v>4</v>
      </c>
      <c r="I5" s="85"/>
      <c r="J5" s="85">
        <v>21</v>
      </c>
      <c r="K5" s="98">
        <v>21</v>
      </c>
      <c r="L5" s="100">
        <v>10</v>
      </c>
      <c r="M5" s="106"/>
    </row>
    <row r="6" spans="4:13">
      <c r="D6" s="90" t="s">
        <v>3087</v>
      </c>
      <c r="E6" s="91">
        <v>47</v>
      </c>
      <c r="F6" s="96">
        <v>6</v>
      </c>
      <c r="G6" s="85">
        <v>38</v>
      </c>
      <c r="H6" s="85">
        <v>3</v>
      </c>
      <c r="I6" s="85"/>
      <c r="J6" s="85"/>
      <c r="K6" s="98"/>
      <c r="L6" s="101"/>
      <c r="M6" s="106"/>
    </row>
    <row r="7" spans="4:13">
      <c r="D7" s="90" t="s">
        <v>3088</v>
      </c>
      <c r="E7" s="91">
        <v>17</v>
      </c>
      <c r="F7" s="96"/>
      <c r="G7" s="85"/>
      <c r="H7" s="85"/>
      <c r="I7" s="85"/>
      <c r="J7" s="85">
        <v>17</v>
      </c>
      <c r="K7" s="98">
        <v>17</v>
      </c>
      <c r="L7" s="101">
        <v>4</v>
      </c>
      <c r="M7" s="106"/>
    </row>
    <row r="8" spans="4:13" ht="18">
      <c r="D8" s="92" t="s">
        <v>3089</v>
      </c>
      <c r="E8" s="94">
        <v>3</v>
      </c>
      <c r="F8" s="97"/>
      <c r="G8" s="93"/>
      <c r="H8" s="93"/>
      <c r="I8" s="93"/>
      <c r="J8" s="93">
        <v>3</v>
      </c>
      <c r="K8" s="99">
        <v>1</v>
      </c>
      <c r="L8" s="273">
        <v>1</v>
      </c>
      <c r="M8" s="107"/>
    </row>
    <row r="11" spans="4:13" ht="18.75">
      <c r="D11" s="275"/>
      <c r="E11" s="275"/>
      <c r="F11" s="275"/>
      <c r="G11" s="275"/>
      <c r="H11" s="275"/>
      <c r="I11" s="293" t="s">
        <v>3090</v>
      </c>
      <c r="J11" s="293"/>
      <c r="K11" s="275"/>
      <c r="L11" s="275"/>
      <c r="M11" s="275"/>
    </row>
    <row r="12" spans="4:13">
      <c r="D12" s="86" t="s">
        <v>3078</v>
      </c>
      <c r="E12" s="88" t="s">
        <v>3079</v>
      </c>
      <c r="F12" s="95" t="s">
        <v>3080</v>
      </c>
      <c r="G12" s="87" t="s">
        <v>81</v>
      </c>
      <c r="H12" s="87" t="s">
        <v>99</v>
      </c>
      <c r="I12" s="87" t="s">
        <v>2523</v>
      </c>
      <c r="J12" s="108" t="s">
        <v>3081</v>
      </c>
      <c r="K12" s="104" t="s">
        <v>3082</v>
      </c>
      <c r="L12" s="103" t="s">
        <v>3083</v>
      </c>
      <c r="M12" s="105"/>
    </row>
    <row r="13" spans="4:13">
      <c r="D13" s="89" t="s">
        <v>3084</v>
      </c>
      <c r="E13" s="109">
        <v>212</v>
      </c>
      <c r="F13" s="110">
        <v>26</v>
      </c>
      <c r="G13" s="111">
        <v>101</v>
      </c>
      <c r="H13" s="111">
        <v>9</v>
      </c>
      <c r="I13" s="111">
        <v>2</v>
      </c>
      <c r="J13" s="111">
        <v>65</v>
      </c>
      <c r="K13" s="111">
        <v>23</v>
      </c>
      <c r="L13" s="112">
        <v>8</v>
      </c>
      <c r="M13" s="111"/>
    </row>
    <row r="14" spans="4:13">
      <c r="D14" s="90" t="s">
        <v>3085</v>
      </c>
      <c r="E14" s="91">
        <v>135</v>
      </c>
      <c r="F14" s="96">
        <v>25</v>
      </c>
      <c r="G14" s="85">
        <v>97</v>
      </c>
      <c r="H14" s="85">
        <v>6</v>
      </c>
      <c r="I14" s="85">
        <v>2</v>
      </c>
      <c r="J14" s="85">
        <v>6</v>
      </c>
      <c r="K14" s="98">
        <v>4</v>
      </c>
      <c r="L14" s="100"/>
      <c r="M14" s="106"/>
    </row>
    <row r="15" spans="4:13">
      <c r="D15" s="90" t="s">
        <v>3086</v>
      </c>
      <c r="E15" s="91">
        <v>59</v>
      </c>
      <c r="F15" s="96"/>
      <c r="G15" s="85"/>
      <c r="H15" s="85"/>
      <c r="I15" s="85"/>
      <c r="J15" s="85">
        <v>59</v>
      </c>
      <c r="K15" s="98">
        <v>52</v>
      </c>
      <c r="L15" s="100"/>
      <c r="M15" s="106"/>
    </row>
    <row r="16" spans="4:13">
      <c r="D16" s="90" t="s">
        <v>3087</v>
      </c>
      <c r="E16" s="91">
        <v>2</v>
      </c>
      <c r="F16" s="96"/>
      <c r="G16" s="85">
        <v>2</v>
      </c>
      <c r="H16" s="85"/>
      <c r="I16" s="85"/>
      <c r="J16" s="85"/>
      <c r="K16" s="98"/>
      <c r="L16" s="101"/>
      <c r="M16" s="106"/>
    </row>
    <row r="17" spans="3:13">
      <c r="D17" s="90" t="s">
        <v>3088</v>
      </c>
      <c r="E17" s="91">
        <v>7</v>
      </c>
      <c r="F17" s="96"/>
      <c r="G17" s="85"/>
      <c r="H17" s="85">
        <v>1</v>
      </c>
      <c r="I17" s="85"/>
      <c r="J17" s="85">
        <v>7</v>
      </c>
      <c r="K17" s="98">
        <v>7</v>
      </c>
      <c r="L17" s="101">
        <v>1</v>
      </c>
      <c r="M17" s="106"/>
    </row>
    <row r="18" spans="3:13" ht="18">
      <c r="D18" s="92" t="s">
        <v>3089</v>
      </c>
      <c r="E18" s="94">
        <v>3</v>
      </c>
      <c r="F18" s="97"/>
      <c r="G18" s="93"/>
      <c r="H18" s="93"/>
      <c r="I18" s="93"/>
      <c r="J18" s="93">
        <v>3</v>
      </c>
      <c r="K18" s="99">
        <v>3</v>
      </c>
      <c r="L18" s="102"/>
      <c r="M18" s="107"/>
    </row>
    <row r="21" spans="3:13" ht="18.75">
      <c r="D21" s="275"/>
      <c r="E21" s="275"/>
      <c r="F21" s="275"/>
      <c r="G21" s="275"/>
      <c r="H21" s="275"/>
      <c r="I21" s="293" t="s">
        <v>3091</v>
      </c>
      <c r="J21" s="293"/>
      <c r="K21" s="275"/>
      <c r="L21" s="275"/>
      <c r="M21" s="275"/>
    </row>
    <row r="22" spans="3:13">
      <c r="D22" s="86" t="s">
        <v>3078</v>
      </c>
      <c r="E22" s="88" t="s">
        <v>3079</v>
      </c>
      <c r="F22" s="95" t="s">
        <v>3080</v>
      </c>
      <c r="G22" s="87" t="s">
        <v>81</v>
      </c>
      <c r="H22" s="87" t="s">
        <v>99</v>
      </c>
      <c r="I22" s="87" t="s">
        <v>2523</v>
      </c>
      <c r="J22" s="108" t="s">
        <v>3081</v>
      </c>
      <c r="K22" s="104" t="s">
        <v>3082</v>
      </c>
      <c r="L22" s="103" t="s">
        <v>3083</v>
      </c>
      <c r="M22" s="105"/>
    </row>
    <row r="23" spans="3:13">
      <c r="D23" s="89" t="s">
        <v>3084</v>
      </c>
      <c r="E23" s="109">
        <v>252</v>
      </c>
      <c r="F23" s="110">
        <v>12</v>
      </c>
      <c r="G23" s="111">
        <v>103</v>
      </c>
      <c r="H23" s="111">
        <v>9</v>
      </c>
      <c r="I23" s="111">
        <v>32</v>
      </c>
      <c r="J23" s="111">
        <v>74</v>
      </c>
      <c r="K23" s="111"/>
      <c r="L23" s="112">
        <v>9</v>
      </c>
      <c r="M23" s="111"/>
    </row>
    <row r="24" spans="3:13">
      <c r="D24" s="90" t="s">
        <v>3085</v>
      </c>
      <c r="E24" s="91">
        <v>133</v>
      </c>
      <c r="F24" s="96">
        <v>12</v>
      </c>
      <c r="G24" s="85">
        <v>73</v>
      </c>
      <c r="H24" s="85">
        <v>8</v>
      </c>
      <c r="I24" s="85">
        <v>23</v>
      </c>
      <c r="J24" s="85">
        <v>12</v>
      </c>
      <c r="K24" s="98"/>
      <c r="L24" s="100"/>
      <c r="M24" s="106"/>
    </row>
    <row r="25" spans="3:13">
      <c r="D25" s="90" t="s">
        <v>3086</v>
      </c>
      <c r="E25" s="91">
        <v>43</v>
      </c>
      <c r="F25" s="96"/>
      <c r="G25" s="85"/>
      <c r="H25" s="85">
        <v>2</v>
      </c>
      <c r="I25" s="85"/>
      <c r="J25" s="85">
        <v>41</v>
      </c>
      <c r="K25" s="98">
        <v>41</v>
      </c>
      <c r="L25" s="100">
        <v>3</v>
      </c>
      <c r="M25" s="106"/>
    </row>
    <row r="26" spans="3:13">
      <c r="D26" s="90" t="s">
        <v>3087</v>
      </c>
      <c r="E26" s="91">
        <v>46</v>
      </c>
      <c r="F26" s="96">
        <v>2</v>
      </c>
      <c r="G26" s="85">
        <v>34</v>
      </c>
      <c r="H26" s="85">
        <v>2</v>
      </c>
      <c r="I26" s="85">
        <v>1</v>
      </c>
      <c r="J26" s="85">
        <v>7</v>
      </c>
      <c r="K26" s="98">
        <v>1</v>
      </c>
      <c r="L26" s="101"/>
      <c r="M26" s="106"/>
    </row>
    <row r="27" spans="3:13">
      <c r="C27" s="11"/>
      <c r="D27" s="90" t="s">
        <v>3088</v>
      </c>
      <c r="E27" s="91">
        <v>12</v>
      </c>
      <c r="F27" s="96"/>
      <c r="G27" s="85"/>
      <c r="H27" s="85"/>
      <c r="I27" s="85"/>
      <c r="J27" s="85">
        <v>12</v>
      </c>
      <c r="K27" s="98">
        <v>12</v>
      </c>
      <c r="L27" s="101">
        <v>1</v>
      </c>
      <c r="M27" s="106"/>
    </row>
    <row r="28" spans="3:13" ht="18">
      <c r="C28" s="11"/>
      <c r="D28" s="92" t="s">
        <v>3089</v>
      </c>
      <c r="E28" s="94">
        <v>4</v>
      </c>
      <c r="F28" s="97"/>
      <c r="G28" s="93"/>
      <c r="H28" s="93"/>
      <c r="I28" s="93"/>
      <c r="J28" s="93">
        <v>4</v>
      </c>
      <c r="K28" s="99">
        <v>4</v>
      </c>
      <c r="L28" s="102"/>
      <c r="M28" s="107"/>
    </row>
    <row r="29" spans="3:13">
      <c r="C29" s="11"/>
    </row>
    <row r="30" spans="3:13">
      <c r="C30" s="11"/>
    </row>
    <row r="31" spans="3:13" ht="18.75">
      <c r="C31" s="11"/>
      <c r="D31" s="241"/>
      <c r="E31" s="241"/>
      <c r="F31" s="241"/>
      <c r="G31" s="241"/>
      <c r="H31" s="241"/>
      <c r="I31" s="241"/>
      <c r="J31" s="241" t="s">
        <v>3092</v>
      </c>
      <c r="K31" s="241"/>
      <c r="L31" s="241"/>
      <c r="M31" s="241"/>
    </row>
    <row r="32" spans="3:13">
      <c r="C32" s="11"/>
      <c r="D32" s="86" t="s">
        <v>3078</v>
      </c>
      <c r="E32" s="88" t="s">
        <v>3079</v>
      </c>
      <c r="F32" s="95" t="s">
        <v>3080</v>
      </c>
      <c r="G32" s="87" t="s">
        <v>81</v>
      </c>
      <c r="H32" s="87" t="s">
        <v>99</v>
      </c>
      <c r="I32" s="87" t="s">
        <v>2523</v>
      </c>
      <c r="J32" s="108" t="s">
        <v>3081</v>
      </c>
      <c r="K32" s="104" t="s">
        <v>3082</v>
      </c>
      <c r="L32" s="227" t="s">
        <v>3083</v>
      </c>
      <c r="M32" s="225"/>
    </row>
    <row r="33" spans="3:13">
      <c r="C33" s="11"/>
      <c r="D33" s="89" t="s">
        <v>3084</v>
      </c>
      <c r="E33" s="109">
        <v>71</v>
      </c>
      <c r="F33" s="110">
        <v>6</v>
      </c>
      <c r="G33" s="111">
        <v>22</v>
      </c>
      <c r="H33" s="111">
        <v>5</v>
      </c>
      <c r="I33" s="111">
        <v>4</v>
      </c>
      <c r="J33" s="111">
        <v>30</v>
      </c>
      <c r="K33" s="111">
        <v>13</v>
      </c>
      <c r="L33" s="228">
        <v>1</v>
      </c>
      <c r="M33" s="226"/>
    </row>
    <row r="34" spans="3:13">
      <c r="D34" s="90" t="s">
        <v>3085</v>
      </c>
      <c r="E34" s="91"/>
      <c r="F34" s="96"/>
      <c r="G34" s="85"/>
      <c r="H34" s="85"/>
      <c r="I34" s="85"/>
      <c r="J34" s="85"/>
      <c r="K34" s="98"/>
      <c r="L34" s="229"/>
      <c r="M34" s="225"/>
    </row>
    <row r="35" spans="3:13">
      <c r="D35" s="90" t="s">
        <v>3086</v>
      </c>
      <c r="E35" s="91"/>
      <c r="F35" s="96"/>
      <c r="G35" s="85"/>
      <c r="H35" s="85"/>
      <c r="I35" s="85"/>
      <c r="J35" s="85"/>
      <c r="K35" s="98"/>
      <c r="L35" s="229"/>
      <c r="M35" s="225"/>
    </row>
    <row r="36" spans="3:13">
      <c r="D36" s="90" t="s">
        <v>3087</v>
      </c>
      <c r="E36" s="91"/>
      <c r="F36" s="96"/>
      <c r="G36" s="85"/>
      <c r="H36" s="85"/>
      <c r="I36" s="85"/>
      <c r="J36" s="85"/>
      <c r="K36" s="98"/>
      <c r="L36" s="230"/>
      <c r="M36" s="225"/>
    </row>
    <row r="37" spans="3:13">
      <c r="D37" s="90" t="s">
        <v>3088</v>
      </c>
      <c r="E37" s="91"/>
      <c r="F37" s="96"/>
      <c r="G37" s="85"/>
      <c r="H37" s="85"/>
      <c r="I37" s="85"/>
      <c r="J37" s="85"/>
      <c r="K37" s="98"/>
      <c r="L37" s="230"/>
      <c r="M37" s="225"/>
    </row>
    <row r="38" spans="3:13" ht="18">
      <c r="D38" s="92" t="s">
        <v>3089</v>
      </c>
      <c r="E38" s="94"/>
      <c r="F38" s="97"/>
      <c r="G38" s="93"/>
      <c r="H38" s="93"/>
      <c r="I38" s="93"/>
      <c r="J38" s="93"/>
      <c r="K38" s="99"/>
      <c r="L38" s="231"/>
      <c r="M38" s="225"/>
    </row>
  </sheetData>
  <mergeCells count="3">
    <mergeCell ref="I11:J11"/>
    <mergeCell ref="I21:J21"/>
    <mergeCell ref="I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Guest User</cp:lastModifiedBy>
  <cp:revision/>
  <dcterms:created xsi:type="dcterms:W3CDTF">2025-12-30T11:06:59Z</dcterms:created>
  <dcterms:modified xsi:type="dcterms:W3CDTF">2026-04-21T04:11:17Z</dcterms:modified>
  <cp:category/>
  <cp:contentStatus/>
</cp:coreProperties>
</file>