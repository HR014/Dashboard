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05CC27A5-8074-4176-BEC5-B4CABD656CF4}" xr6:coauthVersionLast="47" xr6:coauthVersionMax="47" xr10:uidLastSave="{00000000-0000-0000-0000-000000000000}"/>
  <bookViews>
    <workbookView xWindow="4812" yWindow="3540" windowWidth="17280" windowHeight="9420" xr2:uid="{00000000-000D-0000-FFFF-FFFF00000000}"/>
  </bookViews>
  <sheets>
    <sheet name="Lead Tracker" sheetId="1" r:id="rId1"/>
    <sheet name="Dashboard" sheetId="2" r:id="rId2"/>
    <sheet name="DATA SHEET" sheetId="4" r:id="rId3"/>
    <sheet name="SUMMARY" sheetId="5" r:id="rId4"/>
    <sheet name="DASHBOARD (2)" sheetId="7" r:id="rId5"/>
  </sheets>
  <externalReferences>
    <externalReference r:id="rId6"/>
  </externalReferences>
  <definedNames>
    <definedName name="_xlnm._FilterDatabase" localSheetId="4" hidden="1">'DASHBOARD (2)'!#REF!</definedName>
    <definedName name="_xlchart.v5.0" hidden="1">'DATA SHEET'!$C$2</definedName>
    <definedName name="_xlchart.v5.1" hidden="1">'DATA SHEET'!$C$3:$C$32</definedName>
    <definedName name="_xlchart.v5.2" hidden="1">'DATA SHEET'!$D$2</definedName>
    <definedName name="_xlchart.v5.3" hidden="1">'DATA SHEET'!$D$3:$D$32</definedName>
    <definedName name="_xlnm.Print_Area" localSheetId="4">'DASHBOARD (2)'!$A$1:$AR$16</definedName>
    <definedName name="_xlnm.Print_Titles" localSheetId="4">'DASHBOARD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5" l="1"/>
  <c r="P10" i="5"/>
  <c r="P32" i="5"/>
  <c r="R23" i="5"/>
  <c r="R31" i="5"/>
  <c r="P33" i="5"/>
  <c r="P34" i="5"/>
  <c r="P35" i="5"/>
  <c r="P36" i="5"/>
  <c r="P37" i="5"/>
  <c r="P38" i="5"/>
  <c r="P39" i="5"/>
  <c r="P40" i="5"/>
  <c r="P41" i="5"/>
  <c r="P42" i="5"/>
  <c r="P43" i="5"/>
  <c r="O33" i="5"/>
  <c r="O34" i="5"/>
  <c r="O35" i="5"/>
  <c r="O36" i="5"/>
  <c r="O37" i="5"/>
  <c r="O38" i="5"/>
  <c r="O39" i="5"/>
  <c r="O40" i="5"/>
  <c r="O41" i="5"/>
  <c r="O42" i="5"/>
  <c r="O43" i="5"/>
  <c r="N33" i="5"/>
  <c r="N34" i="5"/>
  <c r="N35" i="5"/>
  <c r="N36" i="5"/>
  <c r="N37" i="5"/>
  <c r="N38" i="5"/>
  <c r="N39" i="5"/>
  <c r="N40" i="5"/>
  <c r="N41" i="5"/>
  <c r="N42" i="5"/>
  <c r="N43" i="5"/>
  <c r="N32" i="5"/>
  <c r="M33" i="5"/>
  <c r="M34" i="5"/>
  <c r="M35" i="5"/>
  <c r="M36" i="5"/>
  <c r="M37" i="5"/>
  <c r="M38" i="5"/>
  <c r="M39" i="5"/>
  <c r="M40" i="5"/>
  <c r="M41" i="5"/>
  <c r="M42" i="5"/>
  <c r="M43" i="5"/>
  <c r="M32" i="5"/>
  <c r="L33" i="5"/>
  <c r="L34" i="5"/>
  <c r="L35" i="5"/>
  <c r="L36" i="5"/>
  <c r="L37" i="5"/>
  <c r="L38" i="5"/>
  <c r="L39" i="5"/>
  <c r="L40" i="5"/>
  <c r="L41" i="5"/>
  <c r="L42" i="5"/>
  <c r="L43" i="5"/>
  <c r="L32" i="5"/>
  <c r="K33" i="5"/>
  <c r="K34" i="5"/>
  <c r="K35" i="5"/>
  <c r="K36" i="5"/>
  <c r="K37" i="5"/>
  <c r="K38" i="5"/>
  <c r="K39" i="5"/>
  <c r="K40" i="5"/>
  <c r="K41" i="5"/>
  <c r="K42" i="5"/>
  <c r="K43" i="5"/>
  <c r="K32" i="5"/>
  <c r="J33" i="5"/>
  <c r="J34" i="5"/>
  <c r="J35" i="5"/>
  <c r="J36" i="5"/>
  <c r="J37" i="5"/>
  <c r="J38" i="5"/>
  <c r="J39" i="5"/>
  <c r="J40" i="5"/>
  <c r="J41" i="5"/>
  <c r="J42" i="5"/>
  <c r="J43" i="5"/>
  <c r="J32" i="5"/>
  <c r="I33" i="5"/>
  <c r="I34" i="5"/>
  <c r="I35" i="5"/>
  <c r="I36" i="5"/>
  <c r="I37" i="5"/>
  <c r="I38" i="5"/>
  <c r="I39" i="5"/>
  <c r="I40" i="5"/>
  <c r="I41" i="5"/>
  <c r="I42" i="5"/>
  <c r="I43" i="5"/>
  <c r="I32" i="5"/>
  <c r="H32" i="5"/>
  <c r="H33" i="5"/>
  <c r="H34" i="5"/>
  <c r="H35" i="5"/>
  <c r="H36" i="5"/>
  <c r="H37" i="5"/>
  <c r="H38" i="5"/>
  <c r="H39" i="5"/>
  <c r="H40" i="5"/>
  <c r="H41" i="5"/>
  <c r="H42" i="5"/>
  <c r="H43" i="5"/>
  <c r="G32" i="5"/>
  <c r="G33" i="5"/>
  <c r="G34" i="5"/>
  <c r="G35" i="5"/>
  <c r="G36" i="5"/>
  <c r="G37" i="5"/>
  <c r="G38" i="5"/>
  <c r="G39" i="5"/>
  <c r="G40" i="5"/>
  <c r="G41" i="5"/>
  <c r="G42" i="5"/>
  <c r="G43" i="5"/>
  <c r="L26" i="5"/>
  <c r="F32" i="5"/>
  <c r="F33" i="5"/>
  <c r="F34" i="5"/>
  <c r="F35" i="5"/>
  <c r="F36" i="5"/>
  <c r="F37" i="5"/>
  <c r="F38" i="5"/>
  <c r="F39" i="5"/>
  <c r="F40" i="5"/>
  <c r="F41" i="5"/>
  <c r="F42" i="5"/>
  <c r="F43" i="5"/>
  <c r="E32" i="5"/>
  <c r="E33" i="5"/>
  <c r="E34" i="5"/>
  <c r="E35" i="5"/>
  <c r="E36" i="5"/>
  <c r="E37" i="5"/>
  <c r="E38" i="5"/>
  <c r="E39" i="5"/>
  <c r="E40" i="5"/>
  <c r="E41" i="5"/>
  <c r="E42" i="5"/>
  <c r="E43" i="5"/>
  <c r="L21" i="4"/>
  <c r="P25" i="5"/>
  <c r="P26" i="5"/>
  <c r="P27" i="5"/>
  <c r="P28" i="5"/>
  <c r="P24" i="5"/>
  <c r="O25" i="5"/>
  <c r="O26" i="5"/>
  <c r="O27" i="5"/>
  <c r="O28" i="5"/>
  <c r="O24" i="5"/>
  <c r="N25" i="5"/>
  <c r="N26" i="5"/>
  <c r="N27" i="5"/>
  <c r="N28" i="5"/>
  <c r="N24" i="5"/>
  <c r="M25" i="5"/>
  <c r="M26" i="5"/>
  <c r="M27" i="5"/>
  <c r="M28" i="5"/>
  <c r="M24" i="5"/>
  <c r="L25" i="5"/>
  <c r="L27" i="5"/>
  <c r="L28" i="5"/>
  <c r="L24" i="5"/>
  <c r="K25" i="5"/>
  <c r="K26" i="5"/>
  <c r="K27" i="5"/>
  <c r="K28" i="5"/>
  <c r="K24" i="5"/>
  <c r="J25" i="5"/>
  <c r="J26" i="5"/>
  <c r="J27" i="5"/>
  <c r="J28" i="5"/>
  <c r="J24" i="5"/>
  <c r="I25" i="5"/>
  <c r="I26" i="5"/>
  <c r="I27" i="5"/>
  <c r="I28" i="5"/>
  <c r="I24" i="5"/>
  <c r="H25" i="5"/>
  <c r="H26" i="5"/>
  <c r="H27" i="5"/>
  <c r="H28" i="5"/>
  <c r="H24" i="5"/>
  <c r="G25" i="5"/>
  <c r="G26" i="5"/>
  <c r="G27" i="5"/>
  <c r="G28" i="5"/>
  <c r="G24" i="5"/>
  <c r="F25" i="5"/>
  <c r="F26" i="5"/>
  <c r="F27" i="5"/>
  <c r="F28" i="5"/>
  <c r="F24" i="5"/>
  <c r="E25" i="5"/>
  <c r="E26" i="5"/>
  <c r="E27" i="5"/>
  <c r="E28" i="5"/>
  <c r="E24" i="5"/>
  <c r="L3" i="4"/>
  <c r="E14" i="5"/>
  <c r="S4" i="4"/>
  <c r="P16" i="5"/>
  <c r="P17" i="5"/>
  <c r="P18" i="5"/>
  <c r="P19" i="5"/>
  <c r="P20" i="5"/>
  <c r="P15" i="5"/>
  <c r="O16" i="5"/>
  <c r="O17" i="5"/>
  <c r="O18" i="5"/>
  <c r="O19" i="5"/>
  <c r="O20" i="5"/>
  <c r="O15" i="5"/>
  <c r="N16" i="5"/>
  <c r="N17" i="5"/>
  <c r="N18" i="5"/>
  <c r="N19" i="5"/>
  <c r="N20" i="5"/>
  <c r="N15" i="5"/>
  <c r="M16" i="5"/>
  <c r="M17" i="5"/>
  <c r="M18" i="5"/>
  <c r="M19" i="5"/>
  <c r="M20" i="5"/>
  <c r="M15" i="5"/>
  <c r="L16" i="5"/>
  <c r="L17" i="5"/>
  <c r="L18" i="5"/>
  <c r="L19" i="5"/>
  <c r="L20" i="5"/>
  <c r="L15" i="5"/>
  <c r="K16" i="5"/>
  <c r="K17" i="5"/>
  <c r="K18" i="5"/>
  <c r="K19" i="5"/>
  <c r="K20" i="5"/>
  <c r="K15" i="5"/>
  <c r="J16" i="5"/>
  <c r="J17" i="5"/>
  <c r="J18" i="5"/>
  <c r="J19" i="5"/>
  <c r="J20" i="5"/>
  <c r="J15" i="5"/>
  <c r="I16" i="5"/>
  <c r="I17" i="5"/>
  <c r="I18" i="5"/>
  <c r="I19" i="5"/>
  <c r="I20" i="5"/>
  <c r="I15" i="5"/>
  <c r="H15" i="5"/>
  <c r="H16" i="5"/>
  <c r="H17" i="5"/>
  <c r="H18" i="5"/>
  <c r="H19" i="5"/>
  <c r="H20" i="5"/>
  <c r="G15" i="5"/>
  <c r="G16" i="5"/>
  <c r="G17" i="5"/>
  <c r="G18" i="5"/>
  <c r="G19" i="5"/>
  <c r="G20" i="5"/>
  <c r="F18" i="5"/>
  <c r="F16" i="5"/>
  <c r="F17" i="5"/>
  <c r="F19" i="5"/>
  <c r="F20" i="5"/>
  <c r="F15" i="5"/>
  <c r="G14" i="5"/>
  <c r="H14" i="5"/>
  <c r="I14" i="5"/>
  <c r="J14" i="5"/>
  <c r="K14" i="5"/>
  <c r="L14" i="5"/>
  <c r="M14" i="5"/>
  <c r="N14" i="5"/>
  <c r="O14" i="5"/>
  <c r="P14" i="5"/>
  <c r="F14" i="5"/>
  <c r="E16" i="5"/>
  <c r="E17" i="5"/>
  <c r="E18" i="5"/>
  <c r="E19" i="5"/>
  <c r="E20" i="5"/>
  <c r="E15" i="5"/>
  <c r="R13" i="5"/>
  <c r="S5" i="4"/>
  <c r="G35" i="4"/>
  <c r="N11" i="4"/>
  <c r="P6" i="5"/>
  <c r="P7" i="5"/>
  <c r="P8" i="5"/>
  <c r="P9" i="5"/>
  <c r="P5" i="5"/>
  <c r="O6" i="5"/>
  <c r="O7" i="5"/>
  <c r="O8" i="5"/>
  <c r="O9" i="5"/>
  <c r="O10" i="5"/>
  <c r="O5" i="5"/>
  <c r="N6" i="5"/>
  <c r="N7" i="5"/>
  <c r="N8" i="5"/>
  <c r="N9" i="5"/>
  <c r="N10" i="5"/>
  <c r="N5" i="5"/>
  <c r="N4" i="5"/>
  <c r="L10" i="5"/>
  <c r="L5" i="5"/>
  <c r="M6" i="5"/>
  <c r="M7" i="5"/>
  <c r="M8" i="5"/>
  <c r="M9" i="5"/>
  <c r="M10" i="5"/>
  <c r="M5" i="5"/>
  <c r="L6" i="5"/>
  <c r="L7" i="5"/>
  <c r="L8" i="5"/>
  <c r="L9" i="5"/>
  <c r="K6" i="5"/>
  <c r="K7" i="5"/>
  <c r="K8" i="5"/>
  <c r="K9" i="5"/>
  <c r="K10" i="5"/>
  <c r="K5" i="5"/>
  <c r="J6" i="5"/>
  <c r="J7" i="5"/>
  <c r="J8" i="5"/>
  <c r="J9" i="5"/>
  <c r="J10" i="5"/>
  <c r="J5" i="5"/>
  <c r="I6" i="5"/>
  <c r="I7" i="5"/>
  <c r="I8" i="5"/>
  <c r="I9" i="5"/>
  <c r="I10" i="5"/>
  <c r="I5" i="5"/>
  <c r="H6" i="5"/>
  <c r="H7" i="5"/>
  <c r="H8" i="5"/>
  <c r="H9" i="5"/>
  <c r="H10" i="5"/>
  <c r="H5" i="5"/>
  <c r="G10" i="5"/>
  <c r="G9" i="5"/>
  <c r="G8" i="5"/>
  <c r="G7" i="5"/>
  <c r="G6" i="5"/>
  <c r="G5" i="5"/>
  <c r="F6" i="5"/>
  <c r="F7" i="5"/>
  <c r="F8" i="5"/>
  <c r="F9" i="5"/>
  <c r="F10" i="5"/>
  <c r="F5" i="5"/>
  <c r="G4" i="5"/>
  <c r="H4" i="5"/>
  <c r="I4" i="5"/>
  <c r="J4" i="5"/>
  <c r="K4" i="5"/>
  <c r="L4" i="5"/>
  <c r="M4" i="5"/>
  <c r="O4" i="5"/>
  <c r="P4" i="5"/>
  <c r="F4" i="5"/>
  <c r="E5" i="5"/>
  <c r="H11" i="4"/>
  <c r="E6" i="5"/>
  <c r="E7" i="5"/>
  <c r="E8" i="5"/>
  <c r="E9" i="5"/>
  <c r="E10" i="5"/>
  <c r="H4" i="4"/>
  <c r="L13" i="4"/>
  <c r="A126" i="1"/>
  <c r="A125" i="1"/>
  <c r="A124" i="1"/>
  <c r="A123" i="1"/>
  <c r="A122" i="1"/>
  <c r="A121" i="1"/>
  <c r="A120" i="1"/>
  <c r="A119" i="1"/>
  <c r="A118" i="1"/>
  <c r="A117" i="1"/>
  <c r="A116" i="1"/>
  <c r="H18" i="4"/>
  <c r="H19" i="4"/>
  <c r="H20" i="4"/>
  <c r="H21" i="4"/>
  <c r="H17" i="4"/>
  <c r="A115" i="1"/>
  <c r="A114" i="1"/>
  <c r="A113" i="1"/>
  <c r="A112" i="1"/>
  <c r="A111" i="1"/>
  <c r="A110" i="1"/>
  <c r="A108" i="1"/>
  <c r="A109" i="1"/>
  <c r="A107" i="1"/>
  <c r="A106" i="1"/>
  <c r="A105" i="1"/>
  <c r="A104" i="1"/>
  <c r="A103" i="1"/>
  <c r="H3" i="4"/>
  <c r="A102" i="1"/>
  <c r="A100" i="1"/>
  <c r="A101" i="1"/>
  <c r="A99" i="1"/>
  <c r="A98" i="1"/>
  <c r="A97" i="1"/>
  <c r="A96" i="1"/>
  <c r="A95" i="1"/>
  <c r="A94" i="1"/>
  <c r="A93" i="1"/>
  <c r="H37" i="4" l="1"/>
  <c r="K35" i="4"/>
  <c r="L38" i="4"/>
  <c r="L37" i="4"/>
  <c r="L42" i="4"/>
  <c r="L41" i="4"/>
  <c r="L40" i="4"/>
  <c r="L39" i="4"/>
  <c r="H38" i="4"/>
  <c r="H39" i="4"/>
  <c r="H46" i="4"/>
  <c r="H42" i="4"/>
  <c r="H41" i="4"/>
  <c r="H40" i="4"/>
  <c r="H45" i="4"/>
  <c r="H44" i="4"/>
  <c r="H43" i="4"/>
  <c r="S6" i="4"/>
  <c r="S7" i="4"/>
  <c r="S8" i="4"/>
  <c r="S9" i="4"/>
  <c r="S10" i="4"/>
  <c r="S11" i="4"/>
  <c r="S12" i="4"/>
  <c r="C4" i="7"/>
  <c r="C16" i="7" s="1"/>
  <c r="C5" i="7"/>
  <c r="C6" i="7"/>
  <c r="C7" i="7"/>
  <c r="C8" i="7"/>
  <c r="C9" i="7"/>
  <c r="C10" i="7"/>
  <c r="C11" i="7"/>
  <c r="C12" i="7"/>
  <c r="C2" i="7"/>
  <c r="H2" i="7"/>
  <c r="D4" i="7"/>
  <c r="E4" i="7"/>
  <c r="E16" i="7" s="1"/>
  <c r="K4" i="7"/>
  <c r="L4" i="7"/>
  <c r="L16" i="7" s="1"/>
  <c r="O4" i="7"/>
  <c r="R4" i="7" a="1"/>
  <c r="R4" i="7" s="1"/>
  <c r="D5" i="7"/>
  <c r="E5" i="7"/>
  <c r="K5" i="7"/>
  <c r="L5" i="7"/>
  <c r="D6" i="7"/>
  <c r="E6" i="7"/>
  <c r="K6" i="7"/>
  <c r="L6" i="7"/>
  <c r="D7" i="7"/>
  <c r="E7" i="7"/>
  <c r="K7" i="7"/>
  <c r="L7" i="7"/>
  <c r="D8" i="7"/>
  <c r="E8" i="7"/>
  <c r="K8" i="7"/>
  <c r="L8" i="7"/>
  <c r="D9" i="7"/>
  <c r="E9" i="7"/>
  <c r="K9" i="7"/>
  <c r="L9" i="7"/>
  <c r="D10" i="7"/>
  <c r="E10" i="7"/>
  <c r="K10" i="7"/>
  <c r="L10" i="7"/>
  <c r="D11" i="7"/>
  <c r="E11" i="7"/>
  <c r="K11" i="7"/>
  <c r="L11" i="7"/>
  <c r="D12" i="7"/>
  <c r="E12" i="7"/>
  <c r="K12" i="7"/>
  <c r="L12" i="7"/>
  <c r="C13" i="7"/>
  <c r="D13" i="7"/>
  <c r="E13" i="7"/>
  <c r="F13" i="7" s="1"/>
  <c r="C14" i="7"/>
  <c r="D14" i="7"/>
  <c r="E14" i="7"/>
  <c r="C15" i="7"/>
  <c r="D15" i="7"/>
  <c r="E15" i="7"/>
  <c r="O16" i="7"/>
  <c r="R16" i="7" a="1"/>
  <c r="R16" i="7" s="1"/>
  <c r="A87" i="1"/>
  <c r="A88" i="1"/>
  <c r="A92" i="1"/>
  <c r="A91" i="1"/>
  <c r="A90" i="1"/>
  <c r="A89" i="1"/>
  <c r="A86" i="1"/>
  <c r="A85" i="1"/>
  <c r="A83" i="1"/>
  <c r="A84" i="1"/>
  <c r="A77" i="1"/>
  <c r="A82" i="1"/>
  <c r="A81" i="1"/>
  <c r="A78" i="1"/>
  <c r="A76" i="1"/>
  <c r="A75" i="1"/>
  <c r="A74" i="1"/>
  <c r="A80" i="1"/>
  <c r="A79" i="1"/>
  <c r="A4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2" i="1"/>
  <c r="G10" i="7" l="1"/>
  <c r="F15" i="7"/>
  <c r="F11" i="7"/>
  <c r="S17" i="4"/>
  <c r="G8" i="7"/>
  <c r="H11" i="7"/>
  <c r="H8" i="7"/>
  <c r="G6" i="7"/>
  <c r="G13" i="7"/>
  <c r="H47" i="4"/>
  <c r="G7" i="7"/>
  <c r="G9" i="7"/>
  <c r="G15" i="7"/>
  <c r="G12" i="7"/>
  <c r="H10" i="7"/>
  <c r="G14" i="7"/>
  <c r="G11" i="7"/>
  <c r="G5" i="7"/>
  <c r="H13" i="7"/>
  <c r="F14" i="7"/>
  <c r="F12" i="7"/>
  <c r="F10" i="7"/>
  <c r="F5" i="7"/>
  <c r="F4" i="7"/>
  <c r="F16" i="7" s="1"/>
  <c r="F7" i="7"/>
  <c r="L14" i="7"/>
  <c r="F8" i="7"/>
  <c r="H15" i="7"/>
  <c r="F6" i="7"/>
  <c r="F9" i="7"/>
  <c r="H7" i="7"/>
  <c r="H5" i="7"/>
  <c r="D16" i="7"/>
  <c r="H4" i="7"/>
  <c r="G4" i="7"/>
  <c r="G16" i="7" s="1"/>
  <c r="H14" i="7"/>
  <c r="H12" i="7"/>
  <c r="H9" i="7"/>
  <c r="H6" i="7"/>
  <c r="H6" i="4"/>
  <c r="W2" i="2"/>
  <c r="L17" i="4"/>
  <c r="F4" i="2" s="1"/>
  <c r="L12" i="4"/>
  <c r="E4" i="2" s="1"/>
  <c r="L4" i="2"/>
  <c r="L22" i="4"/>
  <c r="L23" i="4"/>
  <c r="L24" i="4"/>
  <c r="L25" i="4"/>
  <c r="L26" i="4"/>
  <c r="L27" i="4"/>
  <c r="L28" i="4"/>
  <c r="L29" i="4"/>
  <c r="L30" i="4"/>
  <c r="L31" i="4"/>
  <c r="L32" i="4"/>
  <c r="N4" i="2"/>
  <c r="L11" i="4"/>
  <c r="D4" i="2" s="1"/>
  <c r="T4" i="4"/>
  <c r="T5" i="4"/>
  <c r="T6" i="4"/>
  <c r="T7" i="4"/>
  <c r="T8" i="4"/>
  <c r="T9" i="4"/>
  <c r="T10" i="4"/>
  <c r="T11" i="4"/>
  <c r="T12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L15" i="4"/>
  <c r="I4" i="2" s="1"/>
  <c r="H15" i="4"/>
  <c r="H16" i="4"/>
  <c r="H7" i="4"/>
  <c r="H8" i="4"/>
  <c r="L7" i="4"/>
  <c r="L6" i="4"/>
  <c r="L5" i="4"/>
  <c r="L4" i="4"/>
  <c r="H27" i="4"/>
  <c r="H28" i="4"/>
  <c r="H29" i="4"/>
  <c r="H30" i="4"/>
  <c r="H31" i="4"/>
  <c r="H32" i="4"/>
  <c r="H33" i="4"/>
  <c r="H26" i="4"/>
  <c r="H12" i="4"/>
  <c r="H13" i="4"/>
  <c r="H14" i="4"/>
  <c r="T17" i="4" l="1"/>
  <c r="E4" i="5"/>
  <c r="B4" i="2"/>
  <c r="P11" i="4"/>
  <c r="O11" i="4"/>
  <c r="L16" i="4"/>
  <c r="K4" i="2" s="1"/>
  <c r="L14" i="4" l="1"/>
  <c r="H4" i="2" s="1"/>
  <c r="D32" i="4" l="1"/>
  <c r="D19" i="4"/>
  <c r="H5" i="4" l="1"/>
  <c r="D3" i="4"/>
  <c r="D31" i="4"/>
  <c r="D30" i="4"/>
  <c r="D29" i="4"/>
  <c r="D28" i="4"/>
  <c r="D27" i="4"/>
  <c r="D26" i="4"/>
  <c r="D25" i="4"/>
  <c r="D24" i="4"/>
  <c r="D23" i="4"/>
  <c r="D22" i="4"/>
  <c r="D21" i="4"/>
  <c r="D20" i="4"/>
  <c r="D18" i="4"/>
  <c r="D17" i="4"/>
  <c r="D14" i="4"/>
  <c r="D12" i="4"/>
  <c r="D11" i="4"/>
  <c r="D10" i="4"/>
  <c r="D8" i="4"/>
  <c r="D7" i="4"/>
  <c r="D5" i="4"/>
  <c r="D6" i="4"/>
  <c r="D9" i="4"/>
  <c r="D15" i="4"/>
  <c r="D13" i="4"/>
  <c r="D16" i="4"/>
  <c r="D4" i="4"/>
  <c r="D3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<sst xmlns="http://schemas.openxmlformats.org/spreadsheetml/2006/main" count="1484" uniqueCount="664">
  <si>
    <t>Sr no</t>
  </si>
  <si>
    <t>Date</t>
  </si>
  <si>
    <t>Company Name</t>
  </si>
  <si>
    <t>Location</t>
  </si>
  <si>
    <t>States</t>
  </si>
  <si>
    <t>Product Type</t>
  </si>
  <si>
    <t>Capacity / Specs</t>
  </si>
  <si>
    <t>Phone</t>
  </si>
  <si>
    <t>Email</t>
  </si>
  <si>
    <t>Inquiry Status</t>
  </si>
  <si>
    <t>Contact Person</t>
  </si>
  <si>
    <t>Lead Source</t>
  </si>
  <si>
    <t>Lead Owner</t>
  </si>
  <si>
    <t>Quotation No</t>
  </si>
  <si>
    <t>Quotation Date</t>
  </si>
  <si>
    <t>Expected Order Value</t>
  </si>
  <si>
    <t xml:space="preserve">Quotation Status  </t>
  </si>
  <si>
    <t>Order loss Analysis</t>
  </si>
  <si>
    <t>Remarks</t>
  </si>
  <si>
    <t>SANDVIK COROMANT INDIA PVT. LTD</t>
  </si>
  <si>
    <t>Dapodi</t>
  </si>
  <si>
    <t>Maharashtra</t>
  </si>
  <si>
    <t>Others</t>
  </si>
  <si>
    <t>Winch for 1T Capacity</t>
  </si>
  <si>
    <t>KIRAN NALAGE &lt;kiran.nalage@sandvik.com&gt;</t>
  </si>
  <si>
    <t>QUOTATION REQ.</t>
  </si>
  <si>
    <t>Kiran Nalage</t>
  </si>
  <si>
    <t>REFRENCE</t>
  </si>
  <si>
    <t>MALLESH</t>
  </si>
  <si>
    <t>05/SANDVIK-WINCH-1-04-26</t>
  </si>
  <si>
    <t>KSB LIMITED</t>
  </si>
  <si>
    <t>admednagar</t>
  </si>
  <si>
    <t>Jib Crane</t>
  </si>
  <si>
    <t>of Jib Crane of 1MT Capacity</t>
  </si>
  <si>
    <t>&lt;Jaywant.Sutar@ksb.com&gt;</t>
  </si>
  <si>
    <t>Sutar, Jaywant'</t>
  </si>
  <si>
    <t>EXISTING CUS.</t>
  </si>
  <si>
    <t>RAVI</t>
  </si>
  <si>
    <t>Hoist</t>
  </si>
  <si>
    <t>2 Ton Electric Chain Hoist</t>
  </si>
  <si>
    <t>dangat9666@gmail.com</t>
  </si>
  <si>
    <t>NOT INTERESTED</t>
  </si>
  <si>
    <t>bhi</t>
  </si>
  <si>
    <t>INDIAMART</t>
  </si>
  <si>
    <t>SAKSHI</t>
  </si>
  <si>
    <t>Electrofab Engineering Services Pvt.Ltd</t>
  </si>
  <si>
    <t>plot no. 49B,Sai industrial associates,NR Maharashtra ware house ,nashik road,chowiswadi,charoli, Pimpri Chinchwad, Maharashtra, India</t>
  </si>
  <si>
    <t>EOT Crane</t>
  </si>
  <si>
    <t>crane</t>
  </si>
  <si>
    <t>atharvpasalkar146@gmail.com</t>
  </si>
  <si>
    <t>athrv</t>
  </si>
  <si>
    <t>VIVEK</t>
  </si>
  <si>
    <t>Dharni, Maharashtra, India</t>
  </si>
  <si>
    <t>Portable Gantry Crane</t>
  </si>
  <si>
    <t>CONTACTED</t>
  </si>
  <si>
    <t>NITESH LAXMAN SEMALKAR</t>
  </si>
  <si>
    <t>Sany India ltd</t>
  </si>
  <si>
    <t xml:space="preserve">Chakan </t>
  </si>
  <si>
    <t>Nikhil warade</t>
  </si>
  <si>
    <t>Atlas copco</t>
  </si>
  <si>
    <t xml:space="preserve">5MT Crab Trollry </t>
  </si>
  <si>
    <t>Eka mobility solutions</t>
  </si>
  <si>
    <t>Pithampur</t>
  </si>
  <si>
    <t>Tamil Nadu</t>
  </si>
  <si>
    <t>Manipulator</t>
  </si>
  <si>
    <t xml:space="preserve">EOT Crane, XY rail,  Manipulator </t>
  </si>
  <si>
    <t>anil.m@ekamobility.com'</t>
  </si>
  <si>
    <t>Anil Malviya</t>
  </si>
  <si>
    <t>7-EKA MOBILITY-PITHAMPUR-05/04/26</t>
  </si>
  <si>
    <t>Quotation Sent</t>
  </si>
  <si>
    <t>Cummins Generator Technologies India Pvt Ltd</t>
  </si>
  <si>
    <t xml:space="preserve">Ranjangoan </t>
  </si>
  <si>
    <t xml:space="preserve">EOT Crane of 2MT Capacity </t>
  </si>
  <si>
    <t>&lt;sandeep.naikare@cummins.com&gt;</t>
  </si>
  <si>
    <t>Sandeep Naikare</t>
  </si>
  <si>
    <t>Emerson Process Management (India) Pvt. Ltd</t>
  </si>
  <si>
    <t xml:space="preserve">Single Girder EOT Crane of 5MT Capacity </t>
  </si>
  <si>
    <t>&lt;Raviprasad.Savkar@Emerson.com&gt;</t>
  </si>
  <si>
    <t>Savakar, Raviprasad</t>
  </si>
  <si>
    <t>06-EMERSON -5TSGEOT</t>
  </si>
  <si>
    <t>Thane</t>
  </si>
  <si>
    <t>Goliath</t>
  </si>
  <si>
    <t>Goliath crane</t>
  </si>
  <si>
    <t>naveenagrawal2007@gmail.com</t>
  </si>
  <si>
    <t>LOST</t>
  </si>
  <si>
    <t>naveen agarwal</t>
  </si>
  <si>
    <t xml:space="preserve">TRADEINDIA </t>
  </si>
  <si>
    <t>MITTAL TRADERS</t>
  </si>
  <si>
    <t>Howrah</t>
  </si>
  <si>
    <t>eot cranes</t>
  </si>
  <si>
    <t>mohitmitt@gmail.com</t>
  </si>
  <si>
    <t>NOT RECEIVED</t>
  </si>
  <si>
    <t>mohit mittal</t>
  </si>
  <si>
    <t>KSB India Ltd</t>
  </si>
  <si>
    <t>Ahmednagar</t>
  </si>
  <si>
    <t>Singh Fabrication</t>
  </si>
  <si>
    <t>Pune, Maharashtra, India</t>
  </si>
  <si>
    <t>hoist</t>
  </si>
  <si>
    <t>sshambhussingh08893@gmail.com</t>
  </si>
  <si>
    <t>Shambhu Singh</t>
  </si>
  <si>
    <t>Industrial cranes</t>
  </si>
  <si>
    <t>FAKE</t>
  </si>
  <si>
    <t>nagesh talwar</t>
  </si>
  <si>
    <t>Barrackpore</t>
  </si>
  <si>
    <t>heavy duty hydra crane</t>
  </si>
  <si>
    <t>anand gupta</t>
  </si>
  <si>
    <t>INFINITE ENERGY PVT. LTD</t>
  </si>
  <si>
    <t>faridabad</t>
  </si>
  <si>
    <t>Haryana</t>
  </si>
  <si>
    <t>jib crane</t>
  </si>
  <si>
    <t>9212084932 </t>
  </si>
  <si>
    <t>naval</t>
  </si>
  <si>
    <t>Aakruti Tooling</t>
  </si>
  <si>
    <t>Moi</t>
  </si>
  <si>
    <t xml:space="preserve">12.5MT EOT Crane </t>
  </si>
  <si>
    <t>-aakrutitooling@gmail.com</t>
  </si>
  <si>
    <t>11-AAKRUTI-EOT-12.5T-MOI-05/04/26</t>
  </si>
  <si>
    <t xml:space="preserve">ENERSYS THERMAL LTD </t>
  </si>
  <si>
    <t>5T &amp; 10T Hoist</t>
  </si>
  <si>
    <t>enersys.pune@gmail.com</t>
  </si>
  <si>
    <t>8-ENERGYGS-HOIST -5 &amp; 10T-04/04/26</t>
  </si>
  <si>
    <t>Application Eng.</t>
  </si>
  <si>
    <t>bhosari</t>
  </si>
  <si>
    <t>LCS SYSTEM of 500kg &amp; 1T</t>
  </si>
  <si>
    <t>&lt;applicationengg@impregseal.com&gt;</t>
  </si>
  <si>
    <t>9-ApplicationEngg-LCS-500kg1T -05/04/26</t>
  </si>
  <si>
    <t>Aarya And Company</t>
  </si>
  <si>
    <t>Waluj Midc, P No 6, Cidco, Gut No 105, Aurangabad, Maharashtra, India</t>
  </si>
  <si>
    <t>Gantry Crane</t>
  </si>
  <si>
    <t>Portable Gantry Cranes</t>
  </si>
  <si>
    <t>chetanyelikar@yahoo.in</t>
  </si>
  <si>
    <t>Chetan Yelikar</t>
  </si>
  <si>
    <t>Ho Company</t>
  </si>
  <si>
    <t>a/p pimpale,, Indapur, Maharashtra, India</t>
  </si>
  <si>
    <t>Electric Hoists</t>
  </si>
  <si>
    <t>yuvraj_kate84@rediffmail.com</t>
  </si>
  <si>
    <t>Kate Yuvraj</t>
  </si>
  <si>
    <t>Chakan, Maharashtra, India</t>
  </si>
  <si>
    <t>Wire Rope Hoist</t>
  </si>
  <si>
    <t>VAISHALI</t>
  </si>
  <si>
    <t>Perfect Machine Tools Corporation Limited</t>
  </si>
  <si>
    <t>Plot No. 36, 1st Floor, Rajendra Nagar, Sector- 5, Sahibabad, Uttar Pradesh, India</t>
  </si>
  <si>
    <t>Uttar Pradesh</t>
  </si>
  <si>
    <t>Manipulators</t>
  </si>
  <si>
    <t>pmtdel@pmtcoltd.com</t>
  </si>
  <si>
    <t>NEW</t>
  </si>
  <si>
    <t>S.K. Kapoor</t>
  </si>
  <si>
    <t>Coimbatore, Tamil Nadu, India</t>
  </si>
  <si>
    <t>nsnkarthik12@gmail.com</t>
  </si>
  <si>
    <t>RAJENDRAN KARTHIK</t>
  </si>
  <si>
    <t>A J Enterprise</t>
  </si>
  <si>
    <t>01, Jani Kalan, Baghpat Road, Jani Buzurg, Near Aiter Tower, Meerut, Uttar Pradesh, India</t>
  </si>
  <si>
    <t>Electric Overhead Crane</t>
  </si>
  <si>
    <t>gufrankhanjanimeerut@gmail.com</t>
  </si>
  <si>
    <t>Gufran Khan</t>
  </si>
  <si>
    <t>mohamaad safik contractor</t>
  </si>
  <si>
    <t>Jodhpur, Rajasthan, India</t>
  </si>
  <si>
    <t>Rajasthan</t>
  </si>
  <si>
    <t>Overhead Mounted Manipulator</t>
  </si>
  <si>
    <t>mohmmad.aslam04@gmail.com</t>
  </si>
  <si>
    <t>aslam</t>
  </si>
  <si>
    <t>horizontal boring machine job work</t>
  </si>
  <si>
    <t>Rajkot, Gujarat, India</t>
  </si>
  <si>
    <t>Gujarat</t>
  </si>
  <si>
    <t>Single Girder Cranes</t>
  </si>
  <si>
    <t>basirboghara26@gmail.com</t>
  </si>
  <si>
    <t>Arsh Boghara</t>
  </si>
  <si>
    <t>Sri Mahalakshmi Engineering Works</t>
  </si>
  <si>
    <t>5-35/227,Shakthi puram,Prashanthi nagar,kukatpally, Hyderabad, Telangana, India</t>
  </si>
  <si>
    <t>Telangana</t>
  </si>
  <si>
    <t>Heavy Duty Wire Rope Hoist</t>
  </si>
  <si>
    <t>srimahalakshmi216@gmail.com</t>
  </si>
  <si>
    <t>Santhosh</t>
  </si>
  <si>
    <t>Andriya Shipping</t>
  </si>
  <si>
    <t>Thoothukudi, Tamil Nadu, India</t>
  </si>
  <si>
    <t>Pillar Mounted Jib Crane</t>
  </si>
  <si>
    <t>andriyashipping@gmail.com</t>
  </si>
  <si>
    <t>kaushik</t>
  </si>
  <si>
    <t>Universal Marketing Services</t>
  </si>
  <si>
    <t>3 Ton Electric Wire Rope Hoist</t>
  </si>
  <si>
    <t>umsscales@gmail.com</t>
  </si>
  <si>
    <t>Ahilan Natarajan</t>
  </si>
  <si>
    <t>Electric Chain Hoist</t>
  </si>
  <si>
    <t>coolatul1994@gmail.com</t>
  </si>
  <si>
    <t>atul</t>
  </si>
  <si>
    <t>mumbai</t>
  </si>
  <si>
    <t>arjunkurhade66967@gmail.com</t>
  </si>
  <si>
    <t>arjun</t>
  </si>
  <si>
    <t>Shiv Enterprises</t>
  </si>
  <si>
    <t>H No 593,Dandavate Galli,Dandavate Galli,Vhanali,Kolhapur, Kolhapur, Maharashtra, India</t>
  </si>
  <si>
    <t>1 Ton Electric Chain Hoist</t>
  </si>
  <si>
    <t>arvinddandwate2@gmail.com</t>
  </si>
  <si>
    <t>anita</t>
  </si>
  <si>
    <t>S B Engineering</t>
  </si>
  <si>
    <t>360, Shivaling Colony, Brahma Nagar, Belagavi, Karnataka, India</t>
  </si>
  <si>
    <t>Karnatka</t>
  </si>
  <si>
    <t>shubhamwadekar35968@gmail.com</t>
  </si>
  <si>
    <t>shubham</t>
  </si>
  <si>
    <t>CLF PROJECTS PVT LTD</t>
  </si>
  <si>
    <t>Pune</t>
  </si>
  <si>
    <t xml:space="preserve">DG EOT Crane of 15/5MT Capacity </t>
  </si>
  <si>
    <t>purchase.infra@clfprojects.com'</t>
  </si>
  <si>
    <t>10-CLF PROJECTS-15/5T-05/041/26</t>
  </si>
  <si>
    <t>PMI Coaches Pvt Ltd</t>
  </si>
  <si>
    <t>AVINASHJAIN59@GMAIL.COM</t>
  </si>
  <si>
    <t>avinash jain</t>
  </si>
  <si>
    <t>S. H. Engineers</t>
  </si>
  <si>
    <t>Sector No. D-9/10, Industrial Estate, Baramati, Maharashtra, India</t>
  </si>
  <si>
    <t>Electric Wire Rope Hoist</t>
  </si>
  <si>
    <t>waseem.shikalkar@gmail.com</t>
  </si>
  <si>
    <t>Waseem Shikalkar</t>
  </si>
  <si>
    <t>Vertex Elevators India</t>
  </si>
  <si>
    <t>Office No 167, 1st Floor,, Pune, Maharashtra, India</t>
  </si>
  <si>
    <t>SITE VISIT REQ.</t>
  </si>
  <si>
    <t>Pramod Kinge</t>
  </si>
  <si>
    <t>Buildchem</t>
  </si>
  <si>
    <t>Sangamner, Maharashtra, India</t>
  </si>
  <si>
    <t>support@buildcheminfra.com</t>
  </si>
  <si>
    <t>gite</t>
  </si>
  <si>
    <t>Marketing Plus</t>
  </si>
  <si>
    <t>Ground Floor, N-116, Sector-12, Noida, Uttar Pradesh, India</t>
  </si>
  <si>
    <t>marketingplus.gg@gmail.com</t>
  </si>
  <si>
    <t>Rahul Babbar</t>
  </si>
  <si>
    <t>Kamsiddha Engineers And Fabricators</t>
  </si>
  <si>
    <t>Gat No.1403, Near Mahalaxmi Green House, Sonwane Wasti, Chikhli, Pune, Maharashtra, India</t>
  </si>
  <si>
    <t>kamsiddha.eng@gmail.com</t>
  </si>
  <si>
    <t>Devendra Bonde</t>
  </si>
  <si>
    <t xml:space="preserve">15-RE-KAMSIDDHA-5T Hoist </t>
  </si>
  <si>
    <t>JCB INDIA LTD</t>
  </si>
  <si>
    <t>Halol</t>
  </si>
  <si>
    <t>&lt;pratik.patil@jcb.com&gt;</t>
  </si>
  <si>
    <t>MAIL</t>
  </si>
  <si>
    <t>01-JCB-2MT SG EOT</t>
  </si>
  <si>
    <t>Irle Kay Jay Rolls Pvt. Ltd.</t>
  </si>
  <si>
    <t>Panchkula</t>
  </si>
  <si>
    <t>purchase@ikjrolls.com</t>
  </si>
  <si>
    <t>BOMAG INDIA PVT LTD</t>
  </si>
  <si>
    <t>CHAKAN PUNE</t>
  </si>
  <si>
    <t>Dismantling &amp; Installation of Existing Crane</t>
  </si>
  <si>
    <t>rajiv.gaikwad@dynapac.com'</t>
  </si>
  <si>
    <t>Vaibhav</t>
  </si>
  <si>
    <t>13/BOMAG/D&amp;ICRANE-06/04/26</t>
  </si>
  <si>
    <t>EEPOS INDIA</t>
  </si>
  <si>
    <t xml:space="preserve">Chain Hoist </t>
  </si>
  <si>
    <t>r' &lt;bhagyashri@eeposcranes.co.in&gt;</t>
  </si>
  <si>
    <t>WIN</t>
  </si>
  <si>
    <t>Bhagyashri Kumbha</t>
  </si>
  <si>
    <t>14-EEPOS-1MT CH -07/04/26</t>
  </si>
  <si>
    <t>PO Received</t>
  </si>
  <si>
    <t>HYOSUNG T &amp; D INDIA PVT LTD</t>
  </si>
  <si>
    <t xml:space="preserve">Articulated Jib Crane of 500kg Capacity </t>
  </si>
  <si>
    <t>haidarali.darveshi@hyosung.com'</t>
  </si>
  <si>
    <t xml:space="preserve">haidrali </t>
  </si>
  <si>
    <t>15-HT&amp;DIPL-JC500kg -07/04/27</t>
  </si>
  <si>
    <t>KAMSIDHA ENGNEERING &amp; FABRICATIONS</t>
  </si>
  <si>
    <t>Electric Wire Rope Hoist of 5MT Capacity</t>
  </si>
  <si>
    <t>kamsiddha.lif@gmail.com'</t>
  </si>
  <si>
    <t>15-KE&amp;F-5MT WR HOIST-07/04/26</t>
  </si>
  <si>
    <t>Liftsafe Cranes India Pvt. Ltd</t>
  </si>
  <si>
    <t>LCS</t>
  </si>
  <si>
    <t>KBK Long Rail &amp; Cross Rails</t>
  </si>
  <si>
    <t>&lt;liftsafesales@gmail.com&gt;</t>
  </si>
  <si>
    <t>Pratiksha</t>
  </si>
  <si>
    <t>16/LIFESAFE-LCS0.5T-07/04/26</t>
  </si>
  <si>
    <t>Endo kogyo India LTD</t>
  </si>
  <si>
    <t>Pillar Mounted Jib Crane 250 Kg</t>
  </si>
  <si>
    <t xml:space="preserve"> &lt;eki1@endo-india.co.in&gt;</t>
  </si>
  <si>
    <t>Akshay Salunkhe</t>
  </si>
  <si>
    <t>Ludhiana, Punjab, India</t>
  </si>
  <si>
    <t>Punjab</t>
  </si>
  <si>
    <t>baljeetsainibaljeetkaur5008@gmail.com</t>
  </si>
  <si>
    <t>Tirunelveli, Tamil Nadu, India</t>
  </si>
  <si>
    <t>Motorized Chain Hoist</t>
  </si>
  <si>
    <t>xpert material handling</t>
  </si>
  <si>
    <t>Talwade, Pune Division, Pune, Maharashtra, India</t>
  </si>
  <si>
    <t>Electric Chain Hoist 2000kg</t>
  </si>
  <si>
    <t>purchase@xpertmhe.com</t>
  </si>
  <si>
    <t>Madan R</t>
  </si>
  <si>
    <t>gayatri  Agritech</t>
  </si>
  <si>
    <t>Heavy Duty Jib Crane</t>
  </si>
  <si>
    <t>shinde.abhay333@gmail.com</t>
  </si>
  <si>
    <t>abhay</t>
  </si>
  <si>
    <t>Parker Hannifin India Pvt Ltd</t>
  </si>
  <si>
    <t>Mumbai, Maharashtra, India</t>
  </si>
  <si>
    <t>Industrial Manipulator for Material Lifting</t>
  </si>
  <si>
    <t>soham</t>
  </si>
  <si>
    <t>HI TECH MACHINES TOOLS</t>
  </si>
  <si>
    <t>Mandi Gobindgarh</t>
  </si>
  <si>
    <t>eot crane</t>
  </si>
  <si>
    <t>Jagdeep Singh</t>
  </si>
  <si>
    <t>sri satguru enterprises</t>
  </si>
  <si>
    <t>Nanasaheb Dnynoba Bagade</t>
  </si>
  <si>
    <t xml:space="preserve">electric chain Hoist </t>
  </si>
  <si>
    <t xml:space="preserve"> &lt;akash@eeposcranes.co.in&gt;</t>
  </si>
  <si>
    <t>Akash Subhedar</t>
  </si>
  <si>
    <t xml:space="preserve">GKN DRIVING </t>
  </si>
  <si>
    <t>Lonikand</t>
  </si>
  <si>
    <t>Mane Kancor Ingredients Pvt</t>
  </si>
  <si>
    <t>karnataka</t>
  </si>
  <si>
    <t>S Prabath &lt;Prabath.S@MANE.com&gt;</t>
  </si>
  <si>
    <t>Prabath S</t>
  </si>
  <si>
    <t>Deccan Electro Works</t>
  </si>
  <si>
    <t>kolhpur</t>
  </si>
  <si>
    <t>raste.deccan@gmail.com</t>
  </si>
  <si>
    <t>Avinash Raste Wasudeo</t>
  </si>
  <si>
    <t>Heavy duty cranes</t>
  </si>
  <si>
    <t>Allauddin Shaikh</t>
  </si>
  <si>
    <t>Jay Malhar Tredars</t>
  </si>
  <si>
    <t>Gat No 2181, Ground Floor, Pune, Maharashtra, India</t>
  </si>
  <si>
    <t>Single Beam EOT Crane</t>
  </si>
  <si>
    <t>anil</t>
  </si>
  <si>
    <t>Nav Preet Transmission</t>
  </si>
  <si>
    <t>Industrial EOT Cranes</t>
  </si>
  <si>
    <t>shindeabhishek004@gmail.com</t>
  </si>
  <si>
    <t>abhishek</t>
  </si>
  <si>
    <t>Arhan Technology</t>
  </si>
  <si>
    <t>23-ARHAN-02T-LCS SS</t>
  </si>
  <si>
    <t>Bothara Communication</t>
  </si>
  <si>
    <t>Nashik Division Maliwada, Pune, Maharashtra, India</t>
  </si>
  <si>
    <t>pareshb56@yahoo.co.in</t>
  </si>
  <si>
    <t>Paresh Ventures</t>
  </si>
  <si>
    <t>Ground, Gf-79, Devika Chamber, Devika Chamber, Rajnagar District, RDC, Ghaziabad, Uttar Pradesh, India</t>
  </si>
  <si>
    <t>Industrial Pneumatic Manipulator</t>
  </si>
  <si>
    <t>Liftsafe Cranes India Pvt. Ltd.</t>
  </si>
  <si>
    <t xml:space="preserve">LCS </t>
  </si>
  <si>
    <t>liftsafesales &lt;liftsafesales@gmail.com&gt;</t>
  </si>
  <si>
    <t>24-Liftsafepvtltd-LCS SYSTEM500kg</t>
  </si>
  <si>
    <t>SAARLOHA Advanced Materials Pvt. Ltd</t>
  </si>
  <si>
    <t>mudhawa</t>
  </si>
  <si>
    <t>ELECTRIC HOIST CAPACITY 1 TON WITH PUSH BUTTON</t>
  </si>
  <si>
    <t>20-66215363</t>
  </si>
  <si>
    <t xml:space="preserve"> &lt;yash.borade@saarloha.com&gt;</t>
  </si>
  <si>
    <t>Yash Borade</t>
  </si>
  <si>
    <t>23-SAARLOHA-1T-CH-10/04/26</t>
  </si>
  <si>
    <t>surat</t>
  </si>
  <si>
    <t>heavy duty eot cranes</t>
  </si>
  <si>
    <t>weldcare@yahoo.com</t>
  </si>
  <si>
    <t>Project 2.0</t>
  </si>
  <si>
    <t>House No 3/1284, Sr.No.46, Sagar Park, Old Mundhwa Road, Wadgaon Sheri, Pune, Maharashtra, India</t>
  </si>
  <si>
    <t>JK Tyre</t>
  </si>
  <si>
    <t>Metagalii krs road mysore, Mysore, Karnataka, India</t>
  </si>
  <si>
    <t>1 Ton Factory Electric Chain Hoist</t>
  </si>
  <si>
    <t>dbcoe.chiefeng@gmail.com</t>
  </si>
  <si>
    <t>New Company-None</t>
  </si>
  <si>
    <t>New Company - Prathamesh</t>
  </si>
  <si>
    <t>FULFILLED</t>
  </si>
  <si>
    <t>Prathamesh</t>
  </si>
  <si>
    <t>numbermasking-inquiry-28972635</t>
  </si>
  <si>
    <t>CSEB</t>
  </si>
  <si>
    <t>Korba, Chhattisgarh, India</t>
  </si>
  <si>
    <t>Chhattisgarh</t>
  </si>
  <si>
    <t>5 TON</t>
  </si>
  <si>
    <t>m_k_jaiswal@rediffmail.com</t>
  </si>
  <si>
    <t>Manoj</t>
  </si>
  <si>
    <t>Sri Lalitha Enterprises Industries (P) Limited</t>
  </si>
  <si>
    <t>Peddapuram</t>
  </si>
  <si>
    <t>Andhra Pradesh</t>
  </si>
  <si>
    <t>lalitharice@gmail.com</t>
  </si>
  <si>
    <t>Mr. Srinivas</t>
  </si>
  <si>
    <t>New Company-Omkar</t>
  </si>
  <si>
    <t>Capacity: 1000 kg</t>
  </si>
  <si>
    <t>Omkar</t>
  </si>
  <si>
    <t>New Company-Akash Tapadar</t>
  </si>
  <si>
    <t>Nagaon</t>
  </si>
  <si>
    <t>Assam</t>
  </si>
  <si>
    <t>Akash Tapadar</t>
  </si>
  <si>
    <t>Datta Industries</t>
  </si>
  <si>
    <t>Plot No A1 59, Pune, Maharashtra, India</t>
  </si>
  <si>
    <t>5TON</t>
  </si>
  <si>
    <t>lankeshjagadale@gmail.com</t>
  </si>
  <si>
    <t xml:space="preserve">Lankesh Arjun Jagdale	</t>
  </si>
  <si>
    <t>Super Mack</t>
  </si>
  <si>
    <t>Meerut, Uttar Pradesh, India</t>
  </si>
  <si>
    <t>saifi.sam80@gmail.com</t>
  </si>
  <si>
    <t>Sameer</t>
  </si>
  <si>
    <t>sky india</t>
  </si>
  <si>
    <t>Ghaziabad</t>
  </si>
  <si>
    <t>sanojkr1988@gmail.com</t>
  </si>
  <si>
    <t>Sanoj kumar</t>
  </si>
  <si>
    <t xml:space="preserve">New Company-Akash Tapadar </t>
  </si>
  <si>
    <t>Nagaon,India</t>
  </si>
  <si>
    <t>Shivangi Rolling Mill Pvt. Ltd.</t>
  </si>
  <si>
    <t>Madhya Pradesh</t>
  </si>
  <si>
    <t>7.5 &amp; 10 ton</t>
  </si>
  <si>
    <t>store.purchase@shivangitmtbars.com</t>
  </si>
  <si>
    <t>Suraj Rajput</t>
  </si>
  <si>
    <t>SHAMKUMAR Mourya</t>
  </si>
  <si>
    <t>Satara</t>
  </si>
  <si>
    <t>1000KG</t>
  </si>
  <si>
    <t>shammorya10@gmail.com</t>
  </si>
  <si>
    <t xml:space="preserve">BAJAJ AUTO </t>
  </si>
  <si>
    <t>LIFTING MECHANISM[“ crane Traverse”</t>
  </si>
  <si>
    <t>nvranade@bajajauto.co.in</t>
  </si>
  <si>
    <t>Nilesh Ranade</t>
  </si>
  <si>
    <t>34-BAJAJAUTO-CRANE TRANVERSE-</t>
  </si>
  <si>
    <t xml:space="preserve">Cummins Generator india pvt ltd </t>
  </si>
  <si>
    <t>NAGAR</t>
  </si>
  <si>
    <t>1T and 2T crane hoist</t>
  </si>
  <si>
    <t>vaibhav.randhave@cummins.com</t>
  </si>
  <si>
    <t>Vaibhav Randhave</t>
  </si>
  <si>
    <t>Primerail infralabs pvt ltd</t>
  </si>
  <si>
    <t>Madurai</t>
  </si>
  <si>
    <t>5 ton</t>
  </si>
  <si>
    <t>nhariharan62@gmail.com</t>
  </si>
  <si>
    <t>HARIHARAN</t>
  </si>
  <si>
    <t>SANY HEAVY INDUSTRIES</t>
  </si>
  <si>
    <t>Shifting of 3-ton SG crane and others</t>
  </si>
  <si>
    <t>kishor.nirmal@sanygroup.com</t>
  </si>
  <si>
    <t>Kishor Nirmal</t>
  </si>
  <si>
    <t>34-re-SANY HEAVYINDUSTRIES-</t>
  </si>
  <si>
    <t>ENDO</t>
  </si>
  <si>
    <t>Mumbai</t>
  </si>
  <si>
    <t>EOT Cranes (Railway Project)</t>
  </si>
  <si>
    <t>eki1@endo-india.co.in</t>
  </si>
  <si>
    <t>NEXT COOLING TECHNOLOGIES INDIA PVT LTD (NEXT COOLING)</t>
  </si>
  <si>
    <t>Surat</t>
  </si>
  <si>
    <t>RFQ for CPB and zip crane FOR BPCL Kochi Project.</t>
  </si>
  <si>
    <t>Bipin@as-cti.com</t>
  </si>
  <si>
    <t>Bipin Agnihotri</t>
  </si>
  <si>
    <t>R k construction</t>
  </si>
  <si>
    <t>1 ton</t>
  </si>
  <si>
    <t>raoshebtele22@yahoo.com</t>
  </si>
  <si>
    <t>Rao Saheb</t>
  </si>
  <si>
    <t>Orgogroup</t>
  </si>
  <si>
    <t>Quote For Hoist</t>
  </si>
  <si>
    <t>gaurav@orgogroup.in</t>
  </si>
  <si>
    <t>Gaurav Nalawade</t>
  </si>
  <si>
    <t>38-</t>
  </si>
  <si>
    <t>10,70,450</t>
  </si>
  <si>
    <t>Jalaram Industries</t>
  </si>
  <si>
    <t>Jalgaon</t>
  </si>
  <si>
    <t>2 Ton Wall Mounted Jib Crane</t>
  </si>
  <si>
    <t>kapilpatel1005@gmail.com</t>
  </si>
  <si>
    <t>Kabir Patel</t>
  </si>
  <si>
    <t>Vishwkarma Enterprises</t>
  </si>
  <si>
    <t>Vasai Virar</t>
  </si>
  <si>
    <t>500KG</t>
  </si>
  <si>
    <t>vishwakarmaenter123@gmail.com</t>
  </si>
  <si>
    <t>Kanhaiya</t>
  </si>
  <si>
    <t>Weld Zone</t>
  </si>
  <si>
    <t>Gorakhpur</t>
  </si>
  <si>
    <t>weldzone2016@gmail.com</t>
  </si>
  <si>
    <t xml:space="preserve">	</t>
  </si>
  <si>
    <t>Smodi Infrasteel Pvt. Ltd</t>
  </si>
  <si>
    <t>2 TON</t>
  </si>
  <si>
    <t>gaurav.dare.111@gmail.om</t>
  </si>
  <si>
    <t>New Company- Jagdish</t>
  </si>
  <si>
    <t xml:space="preserve">Eot cranes
</t>
  </si>
  <si>
    <t>jag.141269@gmail.com</t>
  </si>
  <si>
    <t>Mr Jagdish</t>
  </si>
  <si>
    <t>whatsapp-inquiry-29023312</t>
  </si>
  <si>
    <t>New Inquiry for Jib Crane</t>
  </si>
  <si>
    <t>SHEKHAR VISHWAKARMA</t>
  </si>
  <si>
    <t>Shree enterprises</t>
  </si>
  <si>
    <t>Sangli</t>
  </si>
  <si>
    <t>New Inquiry for Electric wire rope hoist from Atul Bhokare</t>
  </si>
  <si>
    <t>atulbhokare1@gmail.com</t>
  </si>
  <si>
    <t>Atul Bhokare</t>
  </si>
  <si>
    <t>TOX® PRESSOTECHNIK (INDIA) PVT. LTD.</t>
  </si>
  <si>
    <t xml:space="preserve">Eepos rail + Super structure </t>
  </si>
  <si>
    <t>VShinde@tox-in.com</t>
  </si>
  <si>
    <t>Vinodkumar Shinde</t>
  </si>
  <si>
    <t>Hoist - 500kg capacity</t>
  </si>
  <si>
    <t>QUOTATION SHARED</t>
  </si>
  <si>
    <t>RFQ-Rail</t>
  </si>
  <si>
    <t>ASuryawanshi@tox-in.com</t>
  </si>
  <si>
    <t>Akash Suryawanshi</t>
  </si>
  <si>
    <t>Shaurya Electricals</t>
  </si>
  <si>
    <t>arundatkhil@gmail.com</t>
  </si>
  <si>
    <t>Arun Shivajirao Datkhil</t>
  </si>
  <si>
    <t>Chintamani Industries</t>
  </si>
  <si>
    <t>Electric Chain Hoist
2MT CAPCACITY (HOL: 8 MTR and Cross Travel Manual)</t>
  </si>
  <si>
    <t>chintamani_industries@yahoo.com</t>
  </si>
  <si>
    <t>Raj Dhan</t>
  </si>
  <si>
    <t>HARSH</t>
  </si>
  <si>
    <t>Maventratech Solutions Private Limited</t>
  </si>
  <si>
    <t>Noida</t>
  </si>
  <si>
    <t>Double Girder EOT Cranes 50T</t>
  </si>
  <si>
    <t>maventratech@gmail.com</t>
  </si>
  <si>
    <t>MSPL</t>
  </si>
  <si>
    <t>KPTCL</t>
  </si>
  <si>
    <t>Mysuru</t>
  </si>
  <si>
    <t>Fixed Mini Electric Hoist,capacity: 0-1 Ton</t>
  </si>
  <si>
    <t>yoganna75@gmail.com</t>
  </si>
  <si>
    <t>Yoganna</t>
  </si>
  <si>
    <t>SD Agro Solution</t>
  </si>
  <si>
    <t>Sachin Daphal</t>
  </si>
  <si>
    <t>Cummins Generator Technologies Ind. Pvt. Ltd.</t>
  </si>
  <si>
    <t>Ahilyanagar</t>
  </si>
  <si>
    <t>jib AND US 1 TON crane removing and fitting</t>
  </si>
  <si>
    <t>pravin.belhekar@cummins.com</t>
  </si>
  <si>
    <t>Pravin Belhekar</t>
  </si>
  <si>
    <t>JENDAMARK INDIA PVT LTD.</t>
  </si>
  <si>
    <t>Jib Crane with Hoist//T1129
Hoist and Eepos rail will be in JMKI scope.</t>
  </si>
  <si>
    <t>Rahulp@jendamark.in</t>
  </si>
  <si>
    <t>RAHUL PARTHE</t>
  </si>
  <si>
    <t>United Tecnomech</t>
  </si>
  <si>
    <t>2 Ton crain( Hoist) span 50feet long &amp; 37.7 feet wide &amp; 30 feet hight</t>
  </si>
  <si>
    <t>93221 91653</t>
  </si>
  <si>
    <t>utepl@utepl.com
uteplpune@utepl.com</t>
  </si>
  <si>
    <t xml:space="preserve"> Mr Avinash Pednekar</t>
  </si>
  <si>
    <t>OUT SOURCE</t>
  </si>
  <si>
    <t>He will confirm teh details related to HOL</t>
  </si>
  <si>
    <t>Raj Indusrries , Baramati</t>
  </si>
  <si>
    <t>4 nos  EOT</t>
  </si>
  <si>
    <t>93702 84273</t>
  </si>
  <si>
    <t xml:space="preserve">rajindustries@msn.com , 
info@rajindustries.org </t>
  </si>
  <si>
    <t>Namrata More</t>
  </si>
  <si>
    <t>Automotive Research Association of India, ARAI</t>
  </si>
  <si>
    <t>Movable Gantry of 3 ton lift capacity</t>
  </si>
  <si>
    <t>gujar.pur@araiindia.com</t>
  </si>
  <si>
    <t>Manish T. Gujar</t>
  </si>
  <si>
    <t>Transfer Case – Super structure quotation</t>
  </si>
  <si>
    <t>BTapkir@tox-in.com</t>
  </si>
  <si>
    <t>Balkrishna Tapkir</t>
  </si>
  <si>
    <t>Ramkala Manufacturer</t>
  </si>
  <si>
    <t xml:space="preserve"> 5 Ton- Mounted Jib Crane</t>
  </si>
  <si>
    <t>mechanize_ind@yahoo.com</t>
  </si>
  <si>
    <t>Umesh S. Nandgaokar</t>
  </si>
  <si>
    <t>MMP Industries Limited</t>
  </si>
  <si>
    <t>Nagpur</t>
  </si>
  <si>
    <t>Pillar Mounted Jib Crane 500kg</t>
  </si>
  <si>
    <t>krunal.karande@gmail.com</t>
  </si>
  <si>
    <t>Krunal Karande</t>
  </si>
  <si>
    <t>NOT AVAILABLE</t>
  </si>
  <si>
    <t>Nashik</t>
  </si>
  <si>
    <t>Portable Gantry Crane-5T</t>
  </si>
  <si>
    <t xml:space="preserve">Ganesh		</t>
  </si>
  <si>
    <t>Jaunpur</t>
  </si>
  <si>
    <t>Vitin</t>
  </si>
  <si>
    <t>whatsapp-inquiry-29057890</t>
  </si>
  <si>
    <t>New Inquiry for Jib crane from Led Operator Amit</t>
  </si>
  <si>
    <t>Led operator Amit</t>
  </si>
  <si>
    <t>numbermasking-inquiry-29100605</t>
  </si>
  <si>
    <t>Looking for suppliers of cage hoist</t>
  </si>
  <si>
    <t>New Company-kay</t>
  </si>
  <si>
    <t>Singapore</t>
  </si>
  <si>
    <t>Looking for suppliers of EOT Crane</t>
  </si>
  <si>
    <t>kay</t>
  </si>
  <si>
    <t>Jup engg works</t>
  </si>
  <si>
    <t>Jalandhar</t>
  </si>
  <si>
    <t>New Inquiry for Electric chain hoists from Ajit Walia</t>
  </si>
  <si>
    <t>waliaajit09@gmail.com</t>
  </si>
  <si>
    <t>Ajit  walia</t>
  </si>
  <si>
    <t xml:space="preserve">New Company-Gajraj Jangid </t>
  </si>
  <si>
    <t>Ajmer</t>
  </si>
  <si>
    <t>Looking for suppliers of electric chain hoist</t>
  </si>
  <si>
    <t>Gajraj Jangid</t>
  </si>
  <si>
    <t>MAHAMAYA FOUNDRY &amp; ENGG. WORKS</t>
  </si>
  <si>
    <t>Batala</t>
  </si>
  <si>
    <t>New Inquiry for Electric chain hoists from Mr Navneet</t>
  </si>
  <si>
    <t>mahamaya1228@gmail.com</t>
  </si>
  <si>
    <t>Mr Navneet</t>
  </si>
  <si>
    <t>Shrinath glass</t>
  </si>
  <si>
    <t>Baramati</t>
  </si>
  <si>
    <t>New Inquiry for Electric wire rope hoist from Vijay Suryavanshi</t>
  </si>
  <si>
    <t>vijaysuryavanshi082@gmail.com</t>
  </si>
  <si>
    <t>Vijay Suryavanshi</t>
  </si>
  <si>
    <t>SALES DEPARTMENT</t>
  </si>
  <si>
    <t>TOTAL NO LEADS</t>
  </si>
  <si>
    <t>TODAY</t>
  </si>
  <si>
    <t>YESTURDAY</t>
  </si>
  <si>
    <t>DAY BRFORE</t>
  </si>
  <si>
    <t>TOTAL VALUE:</t>
  </si>
  <si>
    <t>PO RECEIVED</t>
  </si>
  <si>
    <t>YEAR</t>
  </si>
  <si>
    <t>MONTH</t>
  </si>
  <si>
    <t>NEW LEADS</t>
  </si>
  <si>
    <t>STATES</t>
  </si>
  <si>
    <t>No</t>
  </si>
  <si>
    <t>SALES OVERVIEW</t>
  </si>
  <si>
    <t>LEAD OWNER</t>
  </si>
  <si>
    <t>NO</t>
  </si>
  <si>
    <t>📊 Weekly Dashboard (Mon–Sun)</t>
  </si>
  <si>
    <t>📊 Yearly Dashboard (Jan–Dec 2026)</t>
  </si>
  <si>
    <t>Day</t>
  </si>
  <si>
    <t>NOS</t>
  </si>
  <si>
    <t>Amount Formula</t>
  </si>
  <si>
    <t>Month</t>
  </si>
  <si>
    <t>Arunachal Pradesh</t>
  </si>
  <si>
    <t>Monday</t>
  </si>
  <si>
    <t>Tuesday</t>
  </si>
  <si>
    <t>Bihar</t>
  </si>
  <si>
    <t>Wednesday</t>
  </si>
  <si>
    <t>Thursday</t>
  </si>
  <si>
    <t>Goa</t>
  </si>
  <si>
    <t>Friday</t>
  </si>
  <si>
    <t>DASH</t>
  </si>
  <si>
    <t>Saturday</t>
  </si>
  <si>
    <t>INQUIRY</t>
  </si>
  <si>
    <t>LEADS DATA</t>
  </si>
  <si>
    <t>VALUE</t>
  </si>
  <si>
    <t>Sunday</t>
  </si>
  <si>
    <t>Himachal Pradesh</t>
  </si>
  <si>
    <t>Jharkhand</t>
  </si>
  <si>
    <t>MONTHS</t>
  </si>
  <si>
    <t>Kerala</t>
  </si>
  <si>
    <t>TOTAL VALUE</t>
  </si>
  <si>
    <t>Manipur</t>
  </si>
  <si>
    <t>DAY BEFORE YESTURDAY</t>
  </si>
  <si>
    <t>Meghalaya</t>
  </si>
  <si>
    <t>CRANE TYPES</t>
  </si>
  <si>
    <t>Mizoram</t>
  </si>
  <si>
    <t>TYPES OF CRANES</t>
  </si>
  <si>
    <t>Nagaland</t>
  </si>
  <si>
    <t>Modification</t>
  </si>
  <si>
    <t>Odisha</t>
  </si>
  <si>
    <t>Monorail</t>
  </si>
  <si>
    <t>QUOTATIONS</t>
  </si>
  <si>
    <t>Sikkim</t>
  </si>
  <si>
    <t>Quotation Status</t>
  </si>
  <si>
    <t>Tripura</t>
  </si>
  <si>
    <t>Clarification Pending</t>
  </si>
  <si>
    <t>Discussion Ongoing</t>
  </si>
  <si>
    <t>Uttarakhand</t>
  </si>
  <si>
    <t>On Hold</t>
  </si>
  <si>
    <t>Scissor Lifter</t>
  </si>
  <si>
    <t>West Bengal</t>
  </si>
  <si>
    <t>Closed</t>
  </si>
  <si>
    <t>Underslung</t>
  </si>
  <si>
    <t>International</t>
  </si>
  <si>
    <t>In Progress</t>
  </si>
  <si>
    <t>TOTAL LEADS</t>
  </si>
  <si>
    <t>NA</t>
  </si>
  <si>
    <t>TOTAL</t>
  </si>
  <si>
    <t>DATA SHEET</t>
  </si>
  <si>
    <t>LEAD SOURCES</t>
  </si>
  <si>
    <t xml:space="preserve">DATA </t>
  </si>
  <si>
    <t>PRODUCTS</t>
  </si>
  <si>
    <t>APRIL</t>
  </si>
  <si>
    <t>CURRENT ORDER</t>
  </si>
  <si>
    <t>Target</t>
  </si>
  <si>
    <t>Monthly Target</t>
  </si>
  <si>
    <t>ORDER TRACKER</t>
  </si>
  <si>
    <t xml:space="preserve">PREVIOUS MONTHS </t>
  </si>
  <si>
    <t>MAY</t>
  </si>
  <si>
    <t xml:space="preserve">PLANNED </t>
  </si>
  <si>
    <t>DISPATCHED</t>
  </si>
  <si>
    <t>PENDING</t>
  </si>
  <si>
    <t xml:space="preserve">MONTHLY ORDER VALUE </t>
  </si>
  <si>
    <t>MESSAGES</t>
  </si>
  <si>
    <t xml:space="preserve">CONDITION </t>
  </si>
  <si>
    <t>ORDERS NO</t>
  </si>
  <si>
    <t>AMOUNT</t>
  </si>
  <si>
    <t>PO PENDING</t>
  </si>
  <si>
    <t>HOLD</t>
  </si>
  <si>
    <t>BILLED</t>
  </si>
  <si>
    <t>JULY</t>
  </si>
  <si>
    <t>IN DESIGN</t>
  </si>
  <si>
    <t>AUGUST</t>
  </si>
  <si>
    <t>SEPTEMBER</t>
  </si>
  <si>
    <t>IN PRODUCTION</t>
  </si>
  <si>
    <t>OCTOBER</t>
  </si>
  <si>
    <t>BILL PENDING</t>
  </si>
  <si>
    <t>NOVEMBER</t>
  </si>
  <si>
    <t>UNDER APPROVAL</t>
  </si>
  <si>
    <t>DECEMBER</t>
  </si>
  <si>
    <t>JANUARY</t>
  </si>
  <si>
    <t>UPDATE IT</t>
  </si>
  <si>
    <t>FEBRUARY</t>
  </si>
  <si>
    <t>ORDERED</t>
  </si>
  <si>
    <t>MARCH</t>
  </si>
  <si>
    <t>ORDERS VALUE</t>
  </si>
  <si>
    <t xml:space="preserve">TOTAL PROJECTS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</si>
</sst>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&quot;₹&quot;\ #,##0.00"/>
    <numFmt numFmtId="167" formatCode="&quot;$&quot;#,##0.00"/>
    <numFmt numFmtId="168" formatCode="[$₹-4009]\ #,##0.00"/>
    <numFmt numFmtId="169" formatCode="[$-409]d\-mmm\-yy;@"/>
    <numFmt numFmtId="170" formatCode="[$-409]dd\-mmm\-yy;@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  <charset val="1"/>
    </font>
    <font>
      <sz val="12"/>
      <color rgb="FF000000"/>
      <name val="Calibri"/>
      <family val="2"/>
      <charset val="1"/>
    </font>
    <font>
      <sz val="12"/>
      <color rgb="FF2D3840"/>
      <name val="Poppins"/>
    </font>
    <font>
      <sz val="12"/>
      <color theme="1"/>
      <name val="Calibri"/>
      <family val="2"/>
      <charset val="1"/>
    </font>
    <font>
      <u/>
      <sz val="10"/>
      <color theme="10"/>
      <name val="Calibri"/>
      <family val="2"/>
      <scheme val="minor"/>
    </font>
    <font>
      <sz val="10"/>
      <color rgb="FF2D3840"/>
      <name val="Poppins"/>
    </font>
    <font>
      <sz val="10"/>
      <color rgb="FF000000"/>
      <name val="Aptos"/>
      <family val="2"/>
    </font>
    <font>
      <sz val="10"/>
      <color rgb="FF000000"/>
      <name val="Helvetica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Helvetica"/>
      <charset val="1"/>
    </font>
    <font>
      <sz val="10"/>
      <color rgb="FF002060"/>
      <name val="Aptos"/>
      <family val="2"/>
    </font>
    <font>
      <sz val="11"/>
      <color rgb="FF000000"/>
      <name val="Aptos Narrow"/>
      <family val="2"/>
    </font>
    <font>
      <b/>
      <sz val="14"/>
      <name val="Calibri"/>
      <family val="2"/>
    </font>
    <font>
      <sz val="11"/>
      <color theme="1"/>
      <name val="Aptos"/>
      <family val="2"/>
      <charset val="1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4" borderId="0" xfId="0" applyFont="1" applyFill="1"/>
    <xf numFmtId="0" fontId="4" fillId="0" borderId="0" xfId="0" applyFont="1"/>
    <xf numFmtId="0" fontId="0" fillId="5" borderId="1" xfId="0" applyFill="1" applyBorder="1"/>
    <xf numFmtId="0" fontId="0" fillId="3" borderId="1" xfId="0" applyFill="1" applyBorder="1"/>
    <xf numFmtId="0" fontId="0" fillId="7" borderId="0" xfId="0" applyFill="1"/>
    <xf numFmtId="0" fontId="7" fillId="0" borderId="0" xfId="0" applyFont="1"/>
    <xf numFmtId="0" fontId="0" fillId="7" borderId="11" xfId="0" applyFill="1" applyBorder="1"/>
    <xf numFmtId="0" fontId="0" fillId="7" borderId="10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0" borderId="0" xfId="0" applyAlignment="1">
      <alignment wrapText="1"/>
    </xf>
    <xf numFmtId="166" fontId="0" fillId="0" borderId="0" xfId="0" applyNumberForma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1" xfId="0" applyFont="1" applyBorder="1" applyAlignment="1">
      <alignment vertical="center" wrapText="1"/>
    </xf>
    <xf numFmtId="0" fontId="9" fillId="9" borderId="1" xfId="0" applyFont="1" applyFill="1" applyBorder="1"/>
    <xf numFmtId="166" fontId="0" fillId="5" borderId="1" xfId="0" applyNumberFormat="1" applyFill="1" applyBorder="1"/>
    <xf numFmtId="166" fontId="0" fillId="3" borderId="1" xfId="0" applyNumberFormat="1" applyFill="1" applyBorder="1"/>
    <xf numFmtId="0" fontId="12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0" xfId="0" applyFont="1"/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4" borderId="19" xfId="0" applyFont="1" applyFill="1" applyBorder="1"/>
    <xf numFmtId="0" fontId="6" fillId="4" borderId="20" xfId="0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6" fillId="4" borderId="17" xfId="0" applyFont="1" applyFill="1" applyBorder="1"/>
    <xf numFmtId="0" fontId="6" fillId="4" borderId="26" xfId="0" applyFont="1" applyFill="1" applyBorder="1"/>
    <xf numFmtId="0" fontId="0" fillId="0" borderId="27" xfId="0" applyBorder="1"/>
    <xf numFmtId="0" fontId="0" fillId="0" borderId="28" xfId="0" applyBorder="1"/>
    <xf numFmtId="0" fontId="6" fillId="4" borderId="29" xfId="0" applyFont="1" applyFill="1" applyBorder="1"/>
    <xf numFmtId="0" fontId="0" fillId="6" borderId="21" xfId="0" applyFill="1" applyBorder="1"/>
    <xf numFmtId="0" fontId="0" fillId="6" borderId="22" xfId="0" applyFill="1" applyBorder="1"/>
    <xf numFmtId="0" fontId="0" fillId="5" borderId="21" xfId="0" applyFill="1" applyBorder="1" applyAlignment="1">
      <alignment wrapText="1"/>
    </xf>
    <xf numFmtId="0" fontId="0" fillId="5" borderId="22" xfId="0" applyFill="1" applyBorder="1"/>
    <xf numFmtId="0" fontId="0" fillId="6" borderId="21" xfId="0" applyFill="1" applyBorder="1" applyAlignment="1">
      <alignment wrapText="1"/>
    </xf>
    <xf numFmtId="0" fontId="0" fillId="0" borderId="23" xfId="0" applyBorder="1" applyAlignment="1">
      <alignment wrapText="1"/>
    </xf>
    <xf numFmtId="0" fontId="8" fillId="7" borderId="3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3" fillId="0" borderId="34" xfId="0" applyFont="1" applyBorder="1" applyAlignment="1">
      <alignment vertical="center" wrapText="1"/>
    </xf>
    <xf numFmtId="166" fontId="3" fillId="0" borderId="33" xfId="0" applyNumberFormat="1" applyFont="1" applyBorder="1" applyAlignment="1">
      <alignment vertical="center" wrapText="1"/>
    </xf>
    <xf numFmtId="0" fontId="17" fillId="7" borderId="32" xfId="0" applyFont="1" applyFill="1" applyBorder="1" applyAlignment="1">
      <alignment horizontal="left"/>
    </xf>
    <xf numFmtId="0" fontId="17" fillId="0" borderId="32" xfId="0" applyFont="1" applyBorder="1" applyAlignment="1">
      <alignment horizontal="left"/>
    </xf>
    <xf numFmtId="15" fontId="17" fillId="0" borderId="32" xfId="0" applyNumberFormat="1" applyFont="1" applyBorder="1" applyAlignment="1">
      <alignment horizontal="left" vertical="center" wrapText="1"/>
    </xf>
    <xf numFmtId="14" fontId="17" fillId="0" borderId="32" xfId="0" applyNumberFormat="1" applyFont="1" applyBorder="1" applyAlignment="1">
      <alignment horizontal="left"/>
    </xf>
    <xf numFmtId="0" fontId="17" fillId="0" borderId="16" xfId="0" applyFont="1" applyBorder="1"/>
    <xf numFmtId="0" fontId="17" fillId="7" borderId="32" xfId="0" applyFont="1" applyFill="1" applyBorder="1" applyAlignment="1">
      <alignment horizontal="center"/>
    </xf>
    <xf numFmtId="164" fontId="17" fillId="7" borderId="32" xfId="0" applyNumberFormat="1" applyFont="1" applyFill="1" applyBorder="1"/>
    <xf numFmtId="164" fontId="17" fillId="0" borderId="32" xfId="0" applyNumberFormat="1" applyFont="1" applyBorder="1"/>
    <xf numFmtId="0" fontId="18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7" fillId="0" borderId="0" xfId="0" applyFont="1"/>
    <xf numFmtId="167" fontId="0" fillId="0" borderId="0" xfId="0" applyNumberFormat="1" applyAlignment="1">
      <alignment horizontal="center"/>
    </xf>
    <xf numFmtId="0" fontId="6" fillId="0" borderId="36" xfId="0" applyFont="1" applyBorder="1"/>
    <xf numFmtId="0" fontId="3" fillId="5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0" fillId="5" borderId="3" xfId="0" applyFont="1" applyFill="1" applyBorder="1" applyAlignment="1">
      <alignment horizontal="left"/>
    </xf>
    <xf numFmtId="0" fontId="17" fillId="3" borderId="3" xfId="0" applyFont="1" applyFill="1" applyBorder="1" applyAlignment="1">
      <alignment horizontal="left"/>
    </xf>
    <xf numFmtId="14" fontId="17" fillId="5" borderId="3" xfId="0" applyNumberFormat="1" applyFont="1" applyFill="1" applyBorder="1" applyAlignment="1">
      <alignment horizontal="left"/>
    </xf>
    <xf numFmtId="0" fontId="17" fillId="5" borderId="3" xfId="0" applyFont="1" applyFill="1" applyBorder="1" applyAlignment="1">
      <alignment horizontal="left"/>
    </xf>
    <xf numFmtId="0" fontId="21" fillId="5" borderId="3" xfId="0" applyFont="1" applyFill="1" applyBorder="1" applyAlignment="1">
      <alignment horizontal="left"/>
    </xf>
    <xf numFmtId="0" fontId="17" fillId="3" borderId="3" xfId="0" applyFont="1" applyFill="1" applyBorder="1" applyAlignment="1">
      <alignment horizontal="left" wrapText="1"/>
    </xf>
    <xf numFmtId="0" fontId="21" fillId="3" borderId="3" xfId="0" applyFont="1" applyFill="1" applyBorder="1" applyAlignment="1">
      <alignment horizontal="left"/>
    </xf>
    <xf numFmtId="0" fontId="17" fillId="5" borderId="3" xfId="0" applyFont="1" applyFill="1" applyBorder="1" applyAlignment="1">
      <alignment horizontal="left" wrapText="1"/>
    </xf>
    <xf numFmtId="0" fontId="22" fillId="3" borderId="3" xfId="0" applyFont="1" applyFill="1" applyBorder="1" applyAlignment="1">
      <alignment horizontal="left"/>
    </xf>
    <xf numFmtId="0" fontId="21" fillId="3" borderId="3" xfId="0" applyFont="1" applyFill="1" applyBorder="1" applyAlignment="1">
      <alignment horizontal="left" wrapText="1"/>
    </xf>
    <xf numFmtId="0" fontId="22" fillId="5" borderId="3" xfId="0" applyFont="1" applyFill="1" applyBorder="1" applyAlignment="1">
      <alignment horizontal="left"/>
    </xf>
    <xf numFmtId="0" fontId="23" fillId="5" borderId="3" xfId="0" applyFont="1" applyFill="1" applyBorder="1" applyAlignment="1">
      <alignment horizontal="left"/>
    </xf>
    <xf numFmtId="0" fontId="23" fillId="3" borderId="3" xfId="0" applyFont="1" applyFill="1" applyBorder="1" applyAlignment="1">
      <alignment horizontal="left"/>
    </xf>
    <xf numFmtId="0" fontId="23" fillId="5" borderId="3" xfId="0" applyFont="1" applyFill="1" applyBorder="1" applyAlignment="1">
      <alignment horizontal="left" wrapText="1"/>
    </xf>
    <xf numFmtId="0" fontId="17" fillId="3" borderId="3" xfId="0" applyFont="1" applyFill="1" applyBorder="1"/>
    <xf numFmtId="15" fontId="17" fillId="3" borderId="3" xfId="0" applyNumberFormat="1" applyFont="1" applyFill="1" applyBorder="1" applyAlignment="1">
      <alignment horizontal="left"/>
    </xf>
    <xf numFmtId="167" fontId="17" fillId="3" borderId="3" xfId="0" applyNumberFormat="1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5" borderId="3" xfId="0" applyFont="1" applyFill="1" applyBorder="1"/>
    <xf numFmtId="15" fontId="17" fillId="5" borderId="3" xfId="0" applyNumberFormat="1" applyFont="1" applyFill="1" applyBorder="1" applyAlignment="1">
      <alignment horizontal="left"/>
    </xf>
    <xf numFmtId="167" fontId="17" fillId="5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3" borderId="6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24" fillId="3" borderId="3" xfId="3" applyFont="1" applyFill="1" applyBorder="1" applyAlignment="1">
      <alignment horizontal="left" wrapText="1"/>
    </xf>
    <xf numFmtId="0" fontId="24" fillId="5" borderId="3" xfId="3" applyFont="1" applyFill="1" applyBorder="1" applyAlignment="1">
      <alignment horizontal="left"/>
    </xf>
    <xf numFmtId="0" fontId="24" fillId="5" borderId="3" xfId="3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25" fillId="5" borderId="3" xfId="0" applyFont="1" applyFill="1" applyBorder="1" applyAlignment="1">
      <alignment horizontal="left"/>
    </xf>
    <xf numFmtId="0" fontId="24" fillId="3" borderId="3" xfId="3" applyFont="1" applyFill="1" applyBorder="1" applyAlignment="1">
      <alignment horizontal="left"/>
    </xf>
    <xf numFmtId="0" fontId="26" fillId="3" borderId="3" xfId="0" applyFont="1" applyFill="1" applyBorder="1" applyAlignment="1">
      <alignment horizontal="right"/>
    </xf>
    <xf numFmtId="0" fontId="27" fillId="5" borderId="3" xfId="0" applyFont="1" applyFill="1" applyBorder="1" applyAlignment="1">
      <alignment horizontal="right"/>
    </xf>
    <xf numFmtId="0" fontId="27" fillId="3" borderId="3" xfId="0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28" fillId="3" borderId="3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9" fillId="3" borderId="3" xfId="0" applyFont="1" applyFill="1" applyBorder="1" applyAlignment="1">
      <alignment horizontal="right"/>
    </xf>
    <xf numFmtId="0" fontId="29" fillId="5" borderId="3" xfId="0" applyFont="1" applyFill="1" applyBorder="1" applyAlignment="1">
      <alignment horizontal="right"/>
    </xf>
    <xf numFmtId="0" fontId="30" fillId="5" borderId="3" xfId="0" applyFont="1" applyFill="1" applyBorder="1" applyAlignment="1">
      <alignment horizontal="right"/>
    </xf>
    <xf numFmtId="0" fontId="30" fillId="3" borderId="3" xfId="0" applyFont="1" applyFill="1" applyBorder="1" applyAlignment="1">
      <alignment horizontal="right"/>
    </xf>
    <xf numFmtId="0" fontId="32" fillId="8" borderId="4" xfId="0" applyFont="1" applyFill="1" applyBorder="1" applyAlignment="1">
      <alignment wrapText="1"/>
    </xf>
    <xf numFmtId="0" fontId="32" fillId="13" borderId="4" xfId="0" applyFont="1" applyFill="1" applyBorder="1" applyAlignment="1">
      <alignment horizontal="left"/>
    </xf>
    <xf numFmtId="0" fontId="32" fillId="13" borderId="4" xfId="0" applyFont="1" applyFill="1" applyBorder="1"/>
    <xf numFmtId="0" fontId="32" fillId="13" borderId="4" xfId="0" applyFont="1" applyFill="1" applyBorder="1" applyAlignment="1">
      <alignment wrapText="1"/>
    </xf>
    <xf numFmtId="0" fontId="32" fillId="13" borderId="4" xfId="0" applyFont="1" applyFill="1" applyBorder="1" applyAlignment="1">
      <alignment horizontal="center" wrapText="1"/>
    </xf>
    <xf numFmtId="2" fontId="32" fillId="13" borderId="4" xfId="0" applyNumberFormat="1" applyFont="1" applyFill="1" applyBorder="1"/>
    <xf numFmtId="167" fontId="32" fillId="13" borderId="4" xfId="0" applyNumberFormat="1" applyFont="1" applyFill="1" applyBorder="1" applyAlignment="1">
      <alignment horizontal="center"/>
    </xf>
    <xf numFmtId="0" fontId="32" fillId="13" borderId="5" xfId="0" applyFont="1" applyFill="1" applyBorder="1"/>
    <xf numFmtId="0" fontId="32" fillId="8" borderId="1" xfId="0" applyFont="1" applyFill="1" applyBorder="1"/>
    <xf numFmtId="0" fontId="8" fillId="8" borderId="0" xfId="0" applyFont="1" applyFill="1"/>
    <xf numFmtId="168" fontId="16" fillId="0" borderId="31" xfId="0" applyNumberFormat="1" applyFont="1" applyBorder="1"/>
    <xf numFmtId="168" fontId="16" fillId="0" borderId="41" xfId="0" applyNumberFormat="1" applyFont="1" applyBorder="1"/>
    <xf numFmtId="0" fontId="34" fillId="14" borderId="30" xfId="0" applyFont="1" applyFill="1" applyBorder="1" applyAlignment="1">
      <alignment horizontal="left" vertical="center" wrapText="1"/>
    </xf>
    <xf numFmtId="168" fontId="16" fillId="0" borderId="42" xfId="0" applyNumberFormat="1" applyFont="1" applyBorder="1"/>
    <xf numFmtId="168" fontId="16" fillId="0" borderId="22" xfId="0" applyNumberFormat="1" applyFont="1" applyBorder="1"/>
    <xf numFmtId="17" fontId="34" fillId="0" borderId="21" xfId="0" applyNumberFormat="1" applyFont="1" applyBorder="1" applyAlignment="1">
      <alignment horizontal="left" vertical="center" wrapText="1"/>
    </xf>
    <xf numFmtId="0" fontId="0" fillId="0" borderId="26" xfId="0" applyBorder="1"/>
    <xf numFmtId="168" fontId="36" fillId="0" borderId="43" xfId="0" applyNumberFormat="1" applyFont="1" applyBorder="1"/>
    <xf numFmtId="0" fontId="37" fillId="8" borderId="29" xfId="0" applyFont="1" applyFill="1" applyBorder="1" applyAlignment="1">
      <alignment horizontal="left" vertical="center" wrapText="1"/>
    </xf>
    <xf numFmtId="168" fontId="38" fillId="16" borderId="41" xfId="0" applyNumberFormat="1" applyFont="1" applyFill="1" applyBorder="1"/>
    <xf numFmtId="0" fontId="34" fillId="14" borderId="29" xfId="0" applyFont="1" applyFill="1" applyBorder="1" applyAlignment="1">
      <alignment horizontal="left" vertical="center" wrapText="1"/>
    </xf>
    <xf numFmtId="166" fontId="34" fillId="4" borderId="44" xfId="0" applyNumberFormat="1" applyFont="1" applyFill="1" applyBorder="1" applyAlignment="1">
      <alignment horizontal="center" vertical="center"/>
    </xf>
    <xf numFmtId="166" fontId="39" fillId="17" borderId="2" xfId="0" applyNumberFormat="1" applyFont="1" applyFill="1" applyBorder="1" applyAlignment="1">
      <alignment horizontal="center"/>
    </xf>
    <xf numFmtId="0" fontId="40" fillId="0" borderId="25" xfId="0" applyFont="1" applyBorder="1" applyAlignment="1">
      <alignment horizontal="center" vertical="center"/>
    </xf>
    <xf numFmtId="0" fontId="34" fillId="0" borderId="23" xfId="0" applyFont="1" applyBorder="1"/>
    <xf numFmtId="166" fontId="34" fillId="4" borderId="45" xfId="0" applyNumberFormat="1" applyFont="1" applyFill="1" applyBorder="1" applyAlignment="1">
      <alignment horizontal="center" vertical="center"/>
    </xf>
    <xf numFmtId="166" fontId="39" fillId="17" borderId="45" xfId="0" applyNumberFormat="1" applyFont="1" applyFill="1" applyBorder="1" applyAlignment="1">
      <alignment horizontal="center"/>
    </xf>
    <xf numFmtId="0" fontId="34" fillId="0" borderId="22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left" vertical="center"/>
    </xf>
    <xf numFmtId="166" fontId="36" fillId="0" borderId="25" xfId="0" applyNumberFormat="1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 wrapText="1"/>
    </xf>
    <xf numFmtId="0" fontId="34" fillId="0" borderId="28" xfId="0" applyFont="1" applyBorder="1" applyAlignment="1">
      <alignment vertical="center" wrapText="1"/>
    </xf>
    <xf numFmtId="168" fontId="16" fillId="0" borderId="33" xfId="0" applyNumberFormat="1" applyFont="1" applyBorder="1"/>
    <xf numFmtId="166" fontId="36" fillId="0" borderId="22" xfId="0" applyNumberFormat="1" applyFont="1" applyBorder="1" applyAlignment="1">
      <alignment horizontal="center" vertical="center"/>
    </xf>
    <xf numFmtId="0" fontId="34" fillId="5" borderId="27" xfId="0" applyFont="1" applyFill="1" applyBorder="1" applyAlignment="1">
      <alignment vertical="center" wrapText="1"/>
    </xf>
    <xf numFmtId="0" fontId="0" fillId="0" borderId="10" xfId="0" applyBorder="1"/>
    <xf numFmtId="168" fontId="16" fillId="0" borderId="46" xfId="0" applyNumberFormat="1" applyFont="1" applyBorder="1"/>
    <xf numFmtId="166" fontId="36" fillId="0" borderId="26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0" fontId="34" fillId="0" borderId="17" xfId="0" applyFont="1" applyBorder="1" applyAlignment="1">
      <alignment vertical="center" wrapText="1"/>
    </xf>
    <xf numFmtId="166" fontId="36" fillId="0" borderId="33" xfId="0" applyNumberFormat="1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 wrapText="1"/>
    </xf>
    <xf numFmtId="0" fontId="34" fillId="0" borderId="48" xfId="0" applyFont="1" applyBorder="1" applyAlignment="1">
      <alignment vertical="center" wrapText="1"/>
    </xf>
    <xf numFmtId="166" fontId="36" fillId="0" borderId="46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49" xfId="0" applyFont="1" applyBorder="1" applyAlignment="1">
      <alignment vertical="center" wrapText="1"/>
    </xf>
    <xf numFmtId="166" fontId="34" fillId="4" borderId="50" xfId="0" applyNumberFormat="1" applyFont="1" applyFill="1" applyBorder="1" applyAlignment="1">
      <alignment horizontal="center" vertical="center"/>
    </xf>
    <xf numFmtId="166" fontId="39" fillId="17" borderId="51" xfId="0" applyNumberFormat="1" applyFont="1" applyFill="1" applyBorder="1" applyAlignment="1">
      <alignment horizontal="center"/>
    </xf>
    <xf numFmtId="166" fontId="34" fillId="17" borderId="45" xfId="0" applyNumberFormat="1" applyFont="1" applyFill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34" fillId="12" borderId="22" xfId="0" applyFont="1" applyFill="1" applyBorder="1" applyAlignment="1">
      <alignment horizontal="center" vertical="center"/>
    </xf>
    <xf numFmtId="0" fontId="34" fillId="12" borderId="21" xfId="0" applyFont="1" applyFill="1" applyBorder="1"/>
    <xf numFmtId="166" fontId="36" fillId="18" borderId="52" xfId="0" applyNumberFormat="1" applyFont="1" applyFill="1" applyBorder="1" applyAlignment="1">
      <alignment horizontal="center" vertical="center"/>
    </xf>
    <xf numFmtId="0" fontId="34" fillId="18" borderId="18" xfId="0" applyFont="1" applyFill="1" applyBorder="1" applyAlignment="1">
      <alignment horizontal="center" vertical="center" wrapText="1"/>
    </xf>
    <xf numFmtId="0" fontId="34" fillId="18" borderId="53" xfId="0" applyFont="1" applyFill="1" applyBorder="1" applyAlignment="1">
      <alignment vertical="center" wrapText="1"/>
    </xf>
    <xf numFmtId="0" fontId="35" fillId="15" borderId="51" xfId="0" applyFont="1" applyFill="1" applyBorder="1" applyAlignment="1">
      <alignment horizontal="left" vertical="center" wrapText="1"/>
    </xf>
    <xf numFmtId="0" fontId="35" fillId="15" borderId="19" xfId="0" applyFont="1" applyFill="1" applyBorder="1" applyAlignment="1">
      <alignment horizontal="left" vertical="center" wrapText="1"/>
    </xf>
    <xf numFmtId="168" fontId="34" fillId="16" borderId="26" xfId="0" applyNumberFormat="1" applyFont="1" applyFill="1" applyBorder="1"/>
    <xf numFmtId="0" fontId="0" fillId="0" borderId="8" xfId="0" applyBorder="1"/>
    <xf numFmtId="0" fontId="0" fillId="6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166" fontId="3" fillId="0" borderId="46" xfId="0" applyNumberFormat="1" applyFont="1" applyBorder="1" applyAlignment="1">
      <alignment vertical="center" wrapText="1"/>
    </xf>
    <xf numFmtId="17" fontId="10" fillId="0" borderId="21" xfId="0" applyNumberFormat="1" applyFont="1" applyBorder="1" applyAlignment="1">
      <alignment vertical="center" wrapText="1"/>
    </xf>
    <xf numFmtId="0" fontId="0" fillId="3" borderId="6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70" fontId="0" fillId="5" borderId="3" xfId="0" applyNumberFormat="1" applyFill="1" applyBorder="1" applyAlignment="1">
      <alignment horizontal="left"/>
    </xf>
    <xf numFmtId="169" fontId="0" fillId="8" borderId="56" xfId="0" applyNumberFormat="1" applyFill="1" applyBorder="1"/>
    <xf numFmtId="169" fontId="0" fillId="8" borderId="57" xfId="0" applyNumberFormat="1" applyFill="1" applyBorder="1"/>
    <xf numFmtId="0" fontId="6" fillId="4" borderId="58" xfId="0" applyFont="1" applyFill="1" applyBorder="1"/>
    <xf numFmtId="0" fontId="6" fillId="4" borderId="59" xfId="0" applyFont="1" applyFill="1" applyBorder="1"/>
    <xf numFmtId="0" fontId="0" fillId="6" borderId="60" xfId="0" applyFill="1" applyBorder="1"/>
    <xf numFmtId="0" fontId="0" fillId="6" borderId="61" xfId="0" applyFill="1" applyBorder="1"/>
    <xf numFmtId="0" fontId="0" fillId="5" borderId="60" xfId="0" applyFill="1" applyBorder="1" applyAlignment="1">
      <alignment wrapText="1"/>
    </xf>
    <xf numFmtId="0" fontId="0" fillId="6" borderId="60" xfId="0" applyFill="1" applyBorder="1" applyAlignment="1">
      <alignment wrapText="1"/>
    </xf>
    <xf numFmtId="0" fontId="0" fillId="0" borderId="60" xfId="0" applyBorder="1"/>
    <xf numFmtId="0" fontId="0" fillId="5" borderId="62" xfId="0" applyFill="1" applyBorder="1" applyAlignment="1">
      <alignment wrapText="1"/>
    </xf>
    <xf numFmtId="0" fontId="0" fillId="0" borderId="63" xfId="0" applyBorder="1"/>
    <xf numFmtId="0" fontId="0" fillId="0" borderId="64" xfId="0" applyBorder="1"/>
    <xf numFmtId="0" fontId="0" fillId="0" borderId="62" xfId="0" applyBorder="1"/>
    <xf numFmtId="0" fontId="6" fillId="4" borderId="65" xfId="0" applyFont="1" applyFill="1" applyBorder="1"/>
    <xf numFmtId="0" fontId="6" fillId="4" borderId="66" xfId="0" applyFont="1" applyFill="1" applyBorder="1"/>
    <xf numFmtId="0" fontId="0" fillId="0" borderId="67" xfId="0" applyBorder="1"/>
    <xf numFmtId="0" fontId="0" fillId="6" borderId="68" xfId="0" applyFill="1" applyBorder="1" applyAlignment="1">
      <alignment wrapText="1"/>
    </xf>
    <xf numFmtId="0" fontId="0" fillId="0" borderId="6" xfId="0" applyBorder="1" applyAlignment="1">
      <alignment horizontal="left" vertical="center"/>
    </xf>
    <xf numFmtId="170" fontId="0" fillId="0" borderId="3" xfId="0" applyNumberForma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0" fontId="5" fillId="0" borderId="3" xfId="3" applyFill="1" applyBorder="1" applyAlignment="1">
      <alignment wrapText="1"/>
    </xf>
    <xf numFmtId="0" fontId="33" fillId="0" borderId="3" xfId="0" applyFont="1" applyBorder="1" applyAlignment="1">
      <alignment wrapText="1"/>
    </xf>
    <xf numFmtId="0" fontId="17" fillId="0" borderId="6" xfId="0" applyFont="1" applyBorder="1" applyAlignment="1">
      <alignment horizontal="left" vertical="center"/>
    </xf>
    <xf numFmtId="0" fontId="24" fillId="0" borderId="3" xfId="3" applyFont="1" applyFill="1" applyBorder="1" applyAlignment="1">
      <alignment horizontal="left"/>
    </xf>
    <xf numFmtId="0" fontId="17" fillId="0" borderId="3" xfId="0" applyFont="1" applyBorder="1" applyAlignment="1">
      <alignment horizontal="left" wrapText="1"/>
    </xf>
    <xf numFmtId="0" fontId="17" fillId="0" borderId="3" xfId="0" applyFont="1" applyBorder="1"/>
    <xf numFmtId="15" fontId="17" fillId="0" borderId="3" xfId="0" applyNumberFormat="1" applyFont="1" applyBorder="1" applyAlignment="1">
      <alignment horizontal="left"/>
    </xf>
    <xf numFmtId="167" fontId="17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24" fillId="0" borderId="3" xfId="3" applyFont="1" applyFill="1" applyBorder="1" applyAlignment="1">
      <alignment horizontal="left" wrapText="1"/>
    </xf>
    <xf numFmtId="0" fontId="23" fillId="0" borderId="3" xfId="0" applyFont="1" applyBorder="1" applyAlignment="1">
      <alignment horizontal="left"/>
    </xf>
    <xf numFmtId="0" fontId="30" fillId="0" borderId="3" xfId="0" applyFont="1" applyBorder="1" applyAlignment="1">
      <alignment horizontal="right"/>
    </xf>
    <xf numFmtId="0" fontId="2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167" fontId="0" fillId="0" borderId="3" xfId="0" applyNumberFormat="1" applyBorder="1" applyAlignment="1">
      <alignment horizontal="center"/>
    </xf>
    <xf numFmtId="0" fontId="17" fillId="3" borderId="3" xfId="0" applyFont="1" applyFill="1" applyBorder="1" applyAlignment="1">
      <alignment wrapText="1"/>
    </xf>
    <xf numFmtId="0" fontId="0" fillId="5" borderId="6" xfId="0" applyFill="1" applyBorder="1" applyAlignment="1">
      <alignment horizontal="left"/>
    </xf>
    <xf numFmtId="0" fontId="5" fillId="3" borderId="3" xfId="3" applyFill="1" applyBorder="1" applyAlignment="1">
      <alignment wrapText="1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69" xfId="0" applyBorder="1" applyAlignment="1">
      <alignment horizontal="left"/>
    </xf>
    <xf numFmtId="0" fontId="3" fillId="0" borderId="69" xfId="0" applyFont="1" applyBorder="1" applyAlignment="1">
      <alignment horizontal="right"/>
    </xf>
    <xf numFmtId="0" fontId="5" fillId="0" borderId="69" xfId="3" applyFill="1" applyBorder="1" applyAlignment="1">
      <alignment wrapText="1"/>
    </xf>
    <xf numFmtId="0" fontId="17" fillId="0" borderId="69" xfId="0" applyFont="1" applyBorder="1"/>
    <xf numFmtId="15" fontId="17" fillId="0" borderId="69" xfId="0" applyNumberFormat="1" applyFont="1" applyBorder="1" applyAlignment="1">
      <alignment horizontal="left"/>
    </xf>
    <xf numFmtId="167" fontId="17" fillId="0" borderId="69" xfId="0" applyNumberFormat="1" applyFont="1" applyBorder="1" applyAlignment="1">
      <alignment horizontal="center"/>
    </xf>
    <xf numFmtId="0" fontId="17" fillId="0" borderId="69" xfId="0" applyFont="1" applyBorder="1" applyAlignment="1">
      <alignment horizontal="center"/>
    </xf>
    <xf numFmtId="0" fontId="5" fillId="0" borderId="6" xfId="3" applyFill="1" applyBorder="1" applyAlignment="1">
      <alignment horizontal="left"/>
    </xf>
    <xf numFmtId="0" fontId="0" fillId="5" borderId="3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5" borderId="48" xfId="0" applyFill="1" applyBorder="1" applyAlignment="1">
      <alignment wrapText="1"/>
    </xf>
    <xf numFmtId="0" fontId="0" fillId="3" borderId="0" xfId="0" applyFill="1" applyAlignment="1">
      <alignment horizontal="left" vertical="center"/>
    </xf>
    <xf numFmtId="0" fontId="31" fillId="0" borderId="0" xfId="0" applyFont="1"/>
    <xf numFmtId="0" fontId="17" fillId="5" borderId="69" xfId="0" applyFont="1" applyFill="1" applyBorder="1"/>
    <xf numFmtId="15" fontId="17" fillId="5" borderId="69" xfId="0" applyNumberFormat="1" applyFont="1" applyFill="1" applyBorder="1" applyAlignment="1">
      <alignment horizontal="left"/>
    </xf>
    <xf numFmtId="167" fontId="17" fillId="5" borderId="69" xfId="0" applyNumberFormat="1" applyFont="1" applyFill="1" applyBorder="1" applyAlignment="1">
      <alignment horizontal="center"/>
    </xf>
    <xf numFmtId="0" fontId="17" fillId="5" borderId="69" xfId="0" applyFont="1" applyFill="1" applyBorder="1" applyAlignment="1">
      <alignment horizontal="center"/>
    </xf>
    <xf numFmtId="0" fontId="31" fillId="0" borderId="0" xfId="0" applyFont="1" applyAlignment="1">
      <alignment wrapText="1"/>
    </xf>
    <xf numFmtId="0" fontId="17" fillId="0" borderId="69" xfId="0" applyFont="1" applyBorder="1" applyAlignment="1">
      <alignment horizontal="left"/>
    </xf>
    <xf numFmtId="0" fontId="0" fillId="4" borderId="6" xfId="0" applyFill="1" applyBorder="1" applyAlignment="1">
      <alignment horizontal="left" vertical="center"/>
    </xf>
    <xf numFmtId="170" fontId="0" fillId="4" borderId="3" xfId="0" applyNumberFormat="1" applyFill="1" applyBorder="1" applyAlignment="1">
      <alignment horizontal="left"/>
    </xf>
    <xf numFmtId="0" fontId="31" fillId="4" borderId="3" xfId="0" applyFont="1" applyFill="1" applyBorder="1"/>
    <xf numFmtId="0" fontId="44" fillId="4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/>
    </xf>
    <xf numFmtId="0" fontId="3" fillId="4" borderId="3" xfId="0" applyFont="1" applyFill="1" applyBorder="1" applyAlignment="1">
      <alignment horizontal="right" wrapText="1"/>
    </xf>
    <xf numFmtId="0" fontId="3" fillId="4" borderId="3" xfId="0" applyFont="1" applyFill="1" applyBorder="1" applyAlignment="1">
      <alignment horizontal="left"/>
    </xf>
    <xf numFmtId="0" fontId="0" fillId="4" borderId="3" xfId="0" applyFill="1" applyBorder="1" applyAlignment="1">
      <alignment horizontal="left" wrapText="1"/>
    </xf>
    <xf numFmtId="0" fontId="17" fillId="4" borderId="3" xfId="0" applyFont="1" applyFill="1" applyBorder="1" applyAlignment="1">
      <alignment horizontal="left"/>
    </xf>
    <xf numFmtId="0" fontId="17" fillId="4" borderId="3" xfId="0" applyFont="1" applyFill="1" applyBorder="1"/>
    <xf numFmtId="15" fontId="17" fillId="4" borderId="3" xfId="0" applyNumberFormat="1" applyFont="1" applyFill="1" applyBorder="1" applyAlignment="1">
      <alignment horizontal="left"/>
    </xf>
    <xf numFmtId="167" fontId="17" fillId="4" borderId="3" xfId="0" applyNumberFormat="1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0" fillId="4" borderId="0" xfId="0" applyFill="1"/>
    <xf numFmtId="0" fontId="8" fillId="7" borderId="16" xfId="0" applyFont="1" applyFill="1" applyBorder="1" applyAlignment="1">
      <alignment horizontal="center"/>
    </xf>
    <xf numFmtId="16" fontId="0" fillId="0" borderId="0" xfId="0" applyNumberFormat="1"/>
    <xf numFmtId="0" fontId="10" fillId="0" borderId="71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0" fillId="0" borderId="37" xfId="0" applyBorder="1" applyAlignment="1">
      <alignment horizontal="center" wrapText="1"/>
    </xf>
    <xf numFmtId="17" fontId="0" fillId="0" borderId="0" xfId="0" applyNumberFormat="1"/>
    <xf numFmtId="0" fontId="6" fillId="11" borderId="37" xfId="0" applyFont="1" applyFill="1" applyBorder="1" applyAlignment="1">
      <alignment horizontal="center" wrapText="1"/>
    </xf>
    <xf numFmtId="0" fontId="0" fillId="3" borderId="60" xfId="0" applyFill="1" applyBorder="1"/>
    <xf numFmtId="0" fontId="0" fillId="5" borderId="60" xfId="0" applyFill="1" applyBorder="1"/>
    <xf numFmtId="0" fontId="0" fillId="3" borderId="77" xfId="0" applyFill="1" applyBorder="1"/>
    <xf numFmtId="0" fontId="0" fillId="0" borderId="38" xfId="0" applyBorder="1" applyAlignment="1">
      <alignment horizontal="center" wrapText="1"/>
    </xf>
    <xf numFmtId="0" fontId="0" fillId="5" borderId="80" xfId="0" applyFill="1" applyBorder="1"/>
    <xf numFmtId="0" fontId="0" fillId="3" borderId="84" xfId="0" applyFill="1" applyBorder="1"/>
    <xf numFmtId="0" fontId="0" fillId="0" borderId="85" xfId="0" applyBorder="1" applyAlignment="1">
      <alignment horizontal="center" wrapText="1"/>
    </xf>
    <xf numFmtId="0" fontId="0" fillId="0" borderId="73" xfId="0" applyBorder="1" applyAlignment="1">
      <alignment horizontal="center" wrapText="1"/>
    </xf>
    <xf numFmtId="0" fontId="0" fillId="0" borderId="78" xfId="0" applyBorder="1" applyAlignment="1">
      <alignment horizontal="center" wrapText="1"/>
    </xf>
    <xf numFmtId="0" fontId="6" fillId="11" borderId="87" xfId="0" applyFont="1" applyFill="1" applyBorder="1" applyAlignment="1">
      <alignment horizontal="center"/>
    </xf>
    <xf numFmtId="0" fontId="0" fillId="0" borderId="87" xfId="0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39" xfId="0" applyFont="1" applyBorder="1" applyAlignment="1">
      <alignment horizontal="center" wrapText="1"/>
    </xf>
    <xf numFmtId="0" fontId="10" fillId="0" borderId="81" xfId="0" applyFont="1" applyBorder="1" applyAlignment="1">
      <alignment horizontal="center" wrapText="1"/>
    </xf>
    <xf numFmtId="0" fontId="10" fillId="0" borderId="70" xfId="0" applyFont="1" applyBorder="1" applyAlignment="1">
      <alignment horizontal="center" wrapText="1"/>
    </xf>
    <xf numFmtId="0" fontId="10" fillId="0" borderId="82" xfId="0" applyFont="1" applyBorder="1" applyAlignment="1">
      <alignment horizontal="center" wrapText="1"/>
    </xf>
    <xf numFmtId="0" fontId="10" fillId="0" borderId="86" xfId="0" applyFont="1" applyBorder="1" applyAlignment="1">
      <alignment horizontal="center" wrapText="1"/>
    </xf>
    <xf numFmtId="0" fontId="10" fillId="0" borderId="74" xfId="0" applyFont="1" applyBorder="1" applyAlignment="1">
      <alignment horizontal="center" wrapText="1"/>
    </xf>
    <xf numFmtId="0" fontId="10" fillId="0" borderId="83" xfId="0" applyFont="1" applyBorder="1" applyAlignment="1">
      <alignment horizontal="center" wrapText="1"/>
    </xf>
    <xf numFmtId="0" fontId="10" fillId="0" borderId="63" xfId="0" applyFont="1" applyBorder="1" applyAlignment="1">
      <alignment horizontal="center" wrapText="1"/>
    </xf>
    <xf numFmtId="0" fontId="10" fillId="0" borderId="40" xfId="0" applyFont="1" applyBorder="1" applyAlignment="1">
      <alignment horizontal="center" wrapText="1"/>
    </xf>
    <xf numFmtId="0" fontId="10" fillId="0" borderId="78" xfId="0" applyFont="1" applyBorder="1" applyAlignment="1">
      <alignment horizontal="center" wrapText="1"/>
    </xf>
    <xf numFmtId="0" fontId="3" fillId="4" borderId="88" xfId="0" applyFont="1" applyFill="1" applyBorder="1"/>
    <xf numFmtId="0" fontId="3" fillId="4" borderId="88" xfId="0" applyFont="1" applyFill="1" applyBorder="1" applyAlignment="1">
      <alignment wrapText="1"/>
    </xf>
    <xf numFmtId="0" fontId="3" fillId="4" borderId="89" xfId="0" applyFont="1" applyFill="1" applyBorder="1" applyAlignment="1">
      <alignment wrapText="1"/>
    </xf>
    <xf numFmtId="0" fontId="0" fillId="5" borderId="77" xfId="0" applyFill="1" applyBorder="1"/>
    <xf numFmtId="0" fontId="10" fillId="0" borderId="0" xfId="0" applyFont="1" applyAlignment="1">
      <alignment horizontal="center" wrapText="1"/>
    </xf>
    <xf numFmtId="0" fontId="10" fillId="0" borderId="76" xfId="0" applyFont="1" applyBorder="1" applyAlignment="1">
      <alignment horizontal="center" wrapText="1"/>
    </xf>
    <xf numFmtId="0" fontId="46" fillId="7" borderId="88" xfId="0" applyFont="1" applyFill="1" applyBorder="1"/>
    <xf numFmtId="0" fontId="46" fillId="7" borderId="88" xfId="0" applyFont="1" applyFill="1" applyBorder="1" applyAlignment="1">
      <alignment wrapText="1"/>
    </xf>
    <xf numFmtId="0" fontId="46" fillId="7" borderId="89" xfId="0" applyFont="1" applyFill="1" applyBorder="1" applyAlignment="1">
      <alignment wrapText="1"/>
    </xf>
    <xf numFmtId="0" fontId="10" fillId="0" borderId="70" xfId="0" applyFont="1" applyBorder="1" applyAlignment="1">
      <alignment horizontal="center"/>
    </xf>
    <xf numFmtId="0" fontId="0" fillId="0" borderId="75" xfId="0" applyBorder="1"/>
    <xf numFmtId="0" fontId="0" fillId="0" borderId="0" xfId="0" applyAlignment="1">
      <alignment horizontal="center" wrapText="1"/>
    </xf>
    <xf numFmtId="0" fontId="3" fillId="4" borderId="93" xfId="0" applyFont="1" applyFill="1" applyBorder="1"/>
    <xf numFmtId="0" fontId="3" fillId="4" borderId="94" xfId="0" applyFont="1" applyFill="1" applyBorder="1" applyAlignment="1">
      <alignment wrapText="1"/>
    </xf>
    <xf numFmtId="0" fontId="3" fillId="4" borderId="94" xfId="0" applyFont="1" applyFill="1" applyBorder="1"/>
    <xf numFmtId="0" fontId="3" fillId="4" borderId="66" xfId="0" applyFont="1" applyFill="1" applyBorder="1" applyAlignment="1">
      <alignment wrapText="1"/>
    </xf>
    <xf numFmtId="0" fontId="0" fillId="0" borderId="65" xfId="0" applyBorder="1"/>
    <xf numFmtId="0" fontId="0" fillId="0" borderId="72" xfId="0" applyBorder="1" applyAlignment="1">
      <alignment horizontal="center"/>
    </xf>
    <xf numFmtId="0" fontId="10" fillId="0" borderId="72" xfId="0" applyFont="1" applyBorder="1" applyAlignment="1">
      <alignment horizontal="center" wrapText="1"/>
    </xf>
    <xf numFmtId="0" fontId="10" fillId="0" borderId="73" xfId="0" applyFont="1" applyBorder="1" applyAlignment="1">
      <alignment horizontal="center" wrapText="1"/>
    </xf>
    <xf numFmtId="0" fontId="0" fillId="0" borderId="95" xfId="0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8" borderId="35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15" fontId="16" fillId="0" borderId="15" xfId="0" applyNumberFormat="1" applyFont="1" applyBorder="1" applyAlignment="1">
      <alignment horizontal="center" vertical="center" wrapText="1"/>
    </xf>
    <xf numFmtId="15" fontId="16" fillId="0" borderId="35" xfId="0" applyNumberFormat="1" applyFont="1" applyBorder="1" applyAlignment="1">
      <alignment horizontal="center" vertical="center" wrapText="1"/>
    </xf>
    <xf numFmtId="15" fontId="16" fillId="0" borderId="16" xfId="0" applyNumberFormat="1" applyFont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12" fillId="12" borderId="7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0" fillId="20" borderId="56" xfId="0" applyFont="1" applyFill="1" applyBorder="1" applyAlignment="1">
      <alignment horizontal="center"/>
    </xf>
    <xf numFmtId="0" fontId="10" fillId="20" borderId="79" xfId="0" applyFont="1" applyFill="1" applyBorder="1" applyAlignment="1">
      <alignment horizontal="center"/>
    </xf>
    <xf numFmtId="0" fontId="10" fillId="20" borderId="65" xfId="0" applyFont="1" applyFill="1" applyBorder="1" applyAlignment="1">
      <alignment horizontal="center"/>
    </xf>
    <xf numFmtId="0" fontId="10" fillId="20" borderId="73" xfId="0" applyFont="1" applyFill="1" applyBorder="1" applyAlignment="1">
      <alignment horizontal="center"/>
    </xf>
    <xf numFmtId="0" fontId="15" fillId="21" borderId="56" xfId="0" applyFont="1" applyFill="1" applyBorder="1" applyAlignment="1">
      <alignment horizontal="center"/>
    </xf>
    <xf numFmtId="0" fontId="15" fillId="21" borderId="79" xfId="0" applyFont="1" applyFill="1" applyBorder="1" applyAlignment="1">
      <alignment horizontal="center"/>
    </xf>
    <xf numFmtId="0" fontId="15" fillId="21" borderId="57" xfId="0" applyFont="1" applyFill="1" applyBorder="1" applyAlignment="1">
      <alignment horizontal="center"/>
    </xf>
    <xf numFmtId="0" fontId="10" fillId="20" borderId="90" xfId="0" applyFont="1" applyFill="1" applyBorder="1" applyAlignment="1">
      <alignment horizontal="center"/>
    </xf>
    <xf numFmtId="0" fontId="10" fillId="20" borderId="92" xfId="0" applyFont="1" applyFill="1" applyBorder="1" applyAlignment="1">
      <alignment horizontal="center"/>
    </xf>
    <xf numFmtId="16" fontId="19" fillId="4" borderId="56" xfId="0" applyNumberFormat="1" applyFont="1" applyFill="1" applyBorder="1" applyAlignment="1">
      <alignment horizontal="center"/>
    </xf>
    <xf numFmtId="16" fontId="19" fillId="4" borderId="79" xfId="0" applyNumberFormat="1" applyFont="1" applyFill="1" applyBorder="1" applyAlignment="1">
      <alignment horizontal="center"/>
    </xf>
    <xf numFmtId="16" fontId="19" fillId="4" borderId="57" xfId="0" applyNumberFormat="1" applyFont="1" applyFill="1" applyBorder="1" applyAlignment="1">
      <alignment horizontal="center"/>
    </xf>
    <xf numFmtId="17" fontId="45" fillId="10" borderId="75" xfId="0" applyNumberFormat="1" applyFont="1" applyFill="1" applyBorder="1" applyAlignment="1">
      <alignment horizontal="center" vertical="center" wrapText="1"/>
    </xf>
    <xf numFmtId="17" fontId="45" fillId="10" borderId="0" xfId="0" applyNumberFormat="1" applyFont="1" applyFill="1" applyAlignment="1">
      <alignment horizontal="center" vertical="center" wrapText="1"/>
    </xf>
    <xf numFmtId="17" fontId="45" fillId="10" borderId="76" xfId="0" applyNumberFormat="1" applyFont="1" applyFill="1" applyBorder="1" applyAlignment="1">
      <alignment horizontal="center" vertical="center" wrapText="1"/>
    </xf>
    <xf numFmtId="0" fontId="10" fillId="20" borderId="91" xfId="0" applyFont="1" applyFill="1" applyBorder="1" applyAlignment="1">
      <alignment horizontal="center"/>
    </xf>
    <xf numFmtId="0" fontId="42" fillId="19" borderId="17" xfId="0" applyFont="1" applyFill="1" applyBorder="1" applyAlignment="1">
      <alignment horizontal="center"/>
    </xf>
    <xf numFmtId="0" fontId="42" fillId="19" borderId="55" xfId="0" applyFont="1" applyFill="1" applyBorder="1" applyAlignment="1">
      <alignment horizontal="center"/>
    </xf>
    <xf numFmtId="0" fontId="42" fillId="19" borderId="54" xfId="0" applyFont="1" applyFill="1" applyBorder="1" applyAlignment="1">
      <alignment horizontal="center"/>
    </xf>
    <xf numFmtId="0" fontId="39" fillId="16" borderId="17" xfId="0" applyFont="1" applyFill="1" applyBorder="1" applyAlignment="1">
      <alignment horizontal="center"/>
    </xf>
    <xf numFmtId="0" fontId="39" fillId="16" borderId="54" xfId="0" applyFont="1" applyFill="1" applyBorder="1" applyAlignment="1">
      <alignment horizontal="center"/>
    </xf>
  </cellXfs>
  <cellStyles count="4">
    <cellStyle name="Comma 2" xfId="1" xr:uid="{00000000-0005-0000-0000-000002000000}"/>
    <cellStyle name="Hyperlink" xfId="3" builtinId="8"/>
    <cellStyle name="Neutral 2" xfId="2" xr:uid="{00000000-0005-0000-0000-000005000000}"/>
    <cellStyle name="Normal" xfId="0" builtinId="0"/>
  </cellStyles>
  <dxfs count="99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 patternType="solid">
          <fgColor auto="1"/>
          <bgColor theme="8" tint="0.39994506668294322"/>
        </patternFill>
      </fill>
    </dxf>
    <dxf>
      <font>
        <b/>
        <i val="0"/>
        <color theme="0"/>
      </font>
      <fill>
        <patternFill patternType="solid">
          <fgColor auto="1"/>
          <bgColor rgb="FFC0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auto="1"/>
      </font>
      <fill>
        <patternFill patternType="solid">
          <fgColor auto="1"/>
          <bgColor theme="7" tint="0.7999816888943144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auto="1"/>
      </font>
      <fill>
        <patternFill patternType="solid">
          <fgColor auto="1"/>
          <bgColor theme="5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u/>
        <color rgb="FF0070C0"/>
      </font>
      <fill>
        <patternFill patternType="none">
          <fgColor auto="1"/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color rgb="FFC0000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₹&quot;\ #,##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₹&quot;\ #,##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/>
        <sz val="12"/>
        <color rgb="FFFF0000"/>
      </font>
      <fill>
        <patternFill patternType="solid">
          <fgColor theme="4" tint="0.59999389629810485"/>
          <bgColor theme="4" tint="0.59999389629810485"/>
        </patternFill>
      </fill>
      <alignment horizontal="center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  <color rgb="FFFF0000"/>
        <family val="2"/>
      </font>
      <fill>
        <patternFill patternType="solid">
          <fgColor theme="4" tint="0.59999389629810485"/>
          <bgColor theme="4" tint="0.59999389629810485"/>
        </patternFill>
      </fill>
      <alignment horizontal="center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[$-409]dd\-mmm\-yy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theme="4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68459832535979"/>
          <c:y val="0.21474885444495684"/>
          <c:w val="0.60548832571242739"/>
          <c:h val="0.7852511455550431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17-4483-B5AD-1450ADF7B5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17-4483-B5AD-1450ADF7B5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17-4483-B5AD-1450ADF7B5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17-4483-B5AD-1450ADF7B5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17-4483-B5AD-1450ADF7B5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B17-4483-B5AD-1450ADF7B59C}"/>
              </c:ext>
            </c:extLst>
          </c:dPt>
          <c:dLbls>
            <c:dLbl>
              <c:idx val="0"/>
              <c:layout>
                <c:manualLayout>
                  <c:x val="-6.3834898033472517E-2"/>
                  <c:y val="-2.26098214215774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17-4483-B5AD-1450ADF7B59C}"/>
                </c:ext>
              </c:extLst>
            </c:dLbl>
            <c:dLbl>
              <c:idx val="1"/>
              <c:layout>
                <c:manualLayout>
                  <c:x val="1.3856433462563452E-2"/>
                  <c:y val="-3.98734283194600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657890699992"/>
                      <c:h val="7.37359576692800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B17-4483-B5AD-1450ADF7B59C}"/>
                </c:ext>
              </c:extLst>
            </c:dLbl>
            <c:dLbl>
              <c:idx val="2"/>
              <c:layout>
                <c:manualLayout>
                  <c:x val="-1.8013079830783971E-2"/>
                  <c:y val="-4.13502219609214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8313338560145"/>
                      <c:h val="3.9002236353961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B17-4483-B5AD-1450ADF7B59C}"/>
                </c:ext>
              </c:extLst>
            </c:dLbl>
            <c:dLbl>
              <c:idx val="3"/>
              <c:layout>
                <c:manualLayout>
                  <c:x val="7.7594805424915564E-2"/>
                  <c:y val="-0.177215236975377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029760342682027"/>
                      <c:h val="0.123947041033087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B17-4483-B5AD-1450ADF7B59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8518162655447"/>
                      <c:h val="0.123947041033087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B17-4483-B5AD-1450ADF7B59C}"/>
                </c:ext>
              </c:extLst>
            </c:dLbl>
            <c:dLbl>
              <c:idx val="5"/>
              <c:layout>
                <c:manualLayout>
                  <c:x val="0.16766033419024037"/>
                  <c:y val="0.160970457142243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24058121040477"/>
                      <c:h val="0.103271830498509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B17-4483-B5AD-1450ADF7B59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SHEET'!$G$3:$G$8</c:f>
              <c:strCache>
                <c:ptCount val="6"/>
                <c:pt idx="0">
                  <c:v>REFRENCE</c:v>
                </c:pt>
                <c:pt idx="1">
                  <c:v>EXISTING CUS.</c:v>
                </c:pt>
                <c:pt idx="2">
                  <c:v>MAIL</c:v>
                </c:pt>
                <c:pt idx="3">
                  <c:v>INDIAMART</c:v>
                </c:pt>
                <c:pt idx="4">
                  <c:v>OUT SOURCE</c:v>
                </c:pt>
                <c:pt idx="5">
                  <c:v>TRADEINDIA </c:v>
                </c:pt>
              </c:strCache>
            </c:strRef>
          </c:cat>
          <c:val>
            <c:numRef>
              <c:f>'DATA SHEET'!$H$3:$H$8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22</c:v>
                </c:pt>
                <c:pt idx="3">
                  <c:v>58</c:v>
                </c:pt>
                <c:pt idx="4">
                  <c:v>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17-4483-B5AD-1450ADF7B59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ENQUIRY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SHEET'!$G$11:$G$19</c:f>
              <c:strCache>
                <c:ptCount val="9"/>
                <c:pt idx="0">
                  <c:v>NEW</c:v>
                </c:pt>
                <c:pt idx="1">
                  <c:v>WIN</c:v>
                </c:pt>
                <c:pt idx="2">
                  <c:v>LOST</c:v>
                </c:pt>
                <c:pt idx="3">
                  <c:v>CONTACTED</c:v>
                </c:pt>
                <c:pt idx="4">
                  <c:v>NOT INTERESTED</c:v>
                </c:pt>
                <c:pt idx="5">
                  <c:v>SITE VISIT REQ.</c:v>
                </c:pt>
                <c:pt idx="6">
                  <c:v>QUOTATION REQ.</c:v>
                </c:pt>
                <c:pt idx="7">
                  <c:v>NOT RECEIVED</c:v>
                </c:pt>
                <c:pt idx="8">
                  <c:v>FAKE</c:v>
                </c:pt>
              </c:strCache>
            </c:strRef>
          </c:cat>
          <c:val>
            <c:numRef>
              <c:f>'DATA SHEET'!$H$11:$H$19</c:f>
              <c:numCache>
                <c:formatCode>General</c:formatCode>
                <c:ptCount val="9"/>
                <c:pt idx="0">
                  <c:v>17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</c:v>
                </c:pt>
                <c:pt idx="6">
                  <c:v>42</c:v>
                </c:pt>
                <c:pt idx="7">
                  <c:v>14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B-440D-9B16-F0888E500D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</c:dLbls>
        <c:gapWidth val="219"/>
        <c:overlap val="-27"/>
        <c:axId val="548161808"/>
        <c:axId val="548158928"/>
      </c:barChart>
      <c:catAx>
        <c:axId val="54816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58928"/>
        <c:crosses val="autoZero"/>
        <c:auto val="1"/>
        <c:lblAlgn val="ctr"/>
        <c:lblOffset val="100"/>
        <c:noMultiLvlLbl val="0"/>
      </c:catAx>
      <c:valAx>
        <c:axId val="5481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6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LEAD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SHEET'!$K$3</c:f>
              <c:strCache>
                <c:ptCount val="1"/>
                <c:pt idx="0">
                  <c:v>MALLESH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'DATA SHEET'!$L$3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E-406B-B107-4CD5FDBF6FF9}"/>
            </c:ext>
          </c:extLst>
        </c:ser>
        <c:ser>
          <c:idx val="1"/>
          <c:order val="1"/>
          <c:tx>
            <c:strRef>
              <c:f>'DATA SHEET'!$K$4</c:f>
              <c:strCache>
                <c:ptCount val="1"/>
                <c:pt idx="0">
                  <c:v>RAVI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'DATA SHEET'!$L$4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E-406B-B107-4CD5FDBF6FF9}"/>
            </c:ext>
          </c:extLst>
        </c:ser>
        <c:ser>
          <c:idx val="2"/>
          <c:order val="2"/>
          <c:tx>
            <c:strRef>
              <c:f>'DATA SHEET'!$K$5</c:f>
              <c:strCache>
                <c:ptCount val="1"/>
                <c:pt idx="0">
                  <c:v>HARSH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'DATA SHEET'!$L$5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AE-406B-B107-4CD5FDBF6FF9}"/>
            </c:ext>
          </c:extLst>
        </c:ser>
        <c:ser>
          <c:idx val="3"/>
          <c:order val="3"/>
          <c:tx>
            <c:strRef>
              <c:f>'DATA SHEET'!$K$6</c:f>
              <c:strCache>
                <c:ptCount val="1"/>
                <c:pt idx="0">
                  <c:v>VIVEK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'DATA SHEET'!$L$6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AE-406B-B107-4CD5FDBF6FF9}"/>
            </c:ext>
          </c:extLst>
        </c:ser>
        <c:ser>
          <c:idx val="4"/>
          <c:order val="4"/>
          <c:tx>
            <c:strRef>
              <c:f>'DATA SHEET'!$K$7</c:f>
              <c:strCache>
                <c:ptCount val="1"/>
                <c:pt idx="0">
                  <c:v>SAKSHI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'DATA SHEET'!$L$7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E-406B-B107-4CD5FDBF6F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785640416"/>
        <c:axId val="785629856"/>
      </c:barChart>
      <c:catAx>
        <c:axId val="7856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9856"/>
        <c:crosses val="autoZero"/>
        <c:auto val="1"/>
        <c:lblAlgn val="ctr"/>
        <c:lblOffset val="100"/>
        <c:noMultiLvlLbl val="0"/>
      </c:catAx>
      <c:valAx>
        <c:axId val="7856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QUOTATION STATUS</a:t>
            </a:r>
          </a:p>
        </c:rich>
      </c:tx>
      <c:layout>
        <c:manualLayout>
          <c:xMode val="edge"/>
          <c:yMode val="edge"/>
          <c:x val="0.32367827445820602"/>
          <c:y val="3.7669947810133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794311229213834E-2"/>
          <c:y val="0.133495005653744"/>
          <c:w val="0.60409955642813407"/>
          <c:h val="0.81530399729464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F8-47B6-98E9-383E3A6187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F8-47B6-98E9-383E3A6187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F8-47B6-98E9-383E3A6187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F8-47B6-98E9-383E3A6187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F8-47B6-98E9-383E3A6187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5F8-47B6-98E9-383E3A618789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5F8-47B6-98E9-383E3A6187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5F8-47B6-98E9-383E3A61878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5F8-47B6-98E9-383E3A61878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00492232700523"/>
                      <c:h val="8.2053495337722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5F8-47B6-98E9-383E3A61878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5F8-47B6-98E9-383E3A618789}"/>
                </c:ext>
              </c:extLst>
            </c:dLbl>
            <c:dLbl>
              <c:idx val="3"/>
              <c:layout>
                <c:manualLayout>
                  <c:x val="5.3523636338316291E-2"/>
                  <c:y val="7.594820133329957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F8-47B6-98E9-383E3A618789}"/>
                </c:ext>
              </c:extLst>
            </c:dLbl>
            <c:dLbl>
              <c:idx val="4"/>
              <c:layout>
                <c:manualLayout>
                  <c:x val="-9.3084584936202665E-3"/>
                  <c:y val="4.8100527511089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F8-47B6-98E9-383E3A618789}"/>
                </c:ext>
              </c:extLst>
            </c:dLbl>
            <c:dLbl>
              <c:idx val="5"/>
              <c:layout>
                <c:manualLayout>
                  <c:x val="6.9813438702151466E-3"/>
                  <c:y val="-5.063213422219972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F8-47B6-98E9-383E3A618789}"/>
                </c:ext>
              </c:extLst>
            </c:dLbl>
            <c:dLbl>
              <c:idx val="6"/>
              <c:layout>
                <c:manualLayout>
                  <c:x val="9.8188826649043978E-2"/>
                  <c:y val="1.51904033331173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F8-47B6-98E9-383E3A618789}"/>
                </c:ext>
              </c:extLst>
            </c:dLbl>
            <c:dLbl>
              <c:idx val="7"/>
              <c:layout>
                <c:manualLayout>
                  <c:x val="5.3770071736381223E-2"/>
                  <c:y val="-4.55712099993521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F8-47B6-98E9-383E3A61878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SHEET'!$G$26:$G$33</c:f>
              <c:strCache>
                <c:ptCount val="8"/>
                <c:pt idx="0">
                  <c:v>Quotation Sent</c:v>
                </c:pt>
                <c:pt idx="1">
                  <c:v>Clarification Pending</c:v>
                </c:pt>
                <c:pt idx="2">
                  <c:v>Discussion Ongoing</c:v>
                </c:pt>
                <c:pt idx="3">
                  <c:v>On Hold</c:v>
                </c:pt>
                <c:pt idx="4">
                  <c:v>PO Received</c:v>
                </c:pt>
                <c:pt idx="5">
                  <c:v>Closed</c:v>
                </c:pt>
                <c:pt idx="6">
                  <c:v>In Progress</c:v>
                </c:pt>
                <c:pt idx="7">
                  <c:v>NA</c:v>
                </c:pt>
              </c:strCache>
            </c:strRef>
          </c:cat>
          <c:val>
            <c:numRef>
              <c:f>'DATA SHEET'!$H$26:$H$33</c:f>
              <c:numCache>
                <c:formatCode>General</c:formatCode>
                <c:ptCount val="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F8-47B6-98E9-383E3A61878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SHEET'!$K$21</c:f>
              <c:strCache>
                <c:ptCount val="1"/>
                <c:pt idx="0">
                  <c:v>Modification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SHEET'!$L$21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3-431B-A185-0FBA48CC4E83}"/>
            </c:ext>
          </c:extLst>
        </c:ser>
        <c:ser>
          <c:idx val="1"/>
          <c:order val="1"/>
          <c:tx>
            <c:strRef>
              <c:f>'DATA SHEET'!$K$22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3-431B-A185-0FBA48CC4E83}"/>
            </c:ext>
          </c:extLst>
        </c:ser>
        <c:ser>
          <c:idx val="2"/>
          <c:order val="2"/>
          <c:tx>
            <c:strRef>
              <c:f>'DATA SHEET'!$K$23</c:f>
              <c:strCache>
                <c:ptCount val="1"/>
                <c:pt idx="0">
                  <c:v>Monorail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3-431B-A185-0FBA48CC4E83}"/>
            </c:ext>
          </c:extLst>
        </c:ser>
        <c:ser>
          <c:idx val="3"/>
          <c:order val="3"/>
          <c:tx>
            <c:strRef>
              <c:f>'DATA SHEET'!$K$24</c:f>
              <c:strCache>
                <c:ptCount val="1"/>
                <c:pt idx="0">
                  <c:v>EOT Crane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93-431B-A185-0FBA48CC4E83}"/>
            </c:ext>
          </c:extLst>
        </c:ser>
        <c:ser>
          <c:idx val="4"/>
          <c:order val="4"/>
          <c:tx>
            <c:strRef>
              <c:f>'DATA SHEET'!$K$25</c:f>
              <c:strCache>
                <c:ptCount val="1"/>
                <c:pt idx="0">
                  <c:v>Jib Crane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93-431B-A185-0FBA48CC4E83}"/>
            </c:ext>
          </c:extLst>
        </c:ser>
        <c:ser>
          <c:idx val="5"/>
          <c:order val="5"/>
          <c:tx>
            <c:strRef>
              <c:f>'DATA SHEET'!$K$26</c:f>
              <c:strCache>
                <c:ptCount val="1"/>
                <c:pt idx="0">
                  <c:v>Hoist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SHEET'!$L$26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93-431B-A185-0FBA48CC4E83}"/>
            </c:ext>
          </c:extLst>
        </c:ser>
        <c:ser>
          <c:idx val="6"/>
          <c:order val="6"/>
          <c:tx>
            <c:strRef>
              <c:f>'DATA SHEET'!$K$27</c:f>
              <c:strCache>
                <c:ptCount val="1"/>
                <c:pt idx="0">
                  <c:v>Gantry Crane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93-431B-A185-0FBA48CC4E83}"/>
            </c:ext>
          </c:extLst>
        </c:ser>
        <c:ser>
          <c:idx val="7"/>
          <c:order val="7"/>
          <c:tx>
            <c:strRef>
              <c:f>'DATA SHEET'!$K$28</c:f>
              <c:strCache>
                <c:ptCount val="1"/>
                <c:pt idx="0">
                  <c:v>Manipulator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SHEET'!$L$28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93-431B-A185-0FBA48CC4E83}"/>
            </c:ext>
          </c:extLst>
        </c:ser>
        <c:ser>
          <c:idx val="8"/>
          <c:order val="8"/>
          <c:tx>
            <c:strRef>
              <c:f>'DATA SHEET'!$K$29</c:f>
              <c:strCache>
                <c:ptCount val="1"/>
                <c:pt idx="0">
                  <c:v>Scissor Lifter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SHEET'!$L$29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93-431B-A185-0FBA48CC4E83}"/>
            </c:ext>
          </c:extLst>
        </c:ser>
        <c:ser>
          <c:idx val="9"/>
          <c:order val="9"/>
          <c:tx>
            <c:strRef>
              <c:f>'DATA SHEET'!#REF!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93-431B-A185-0FBA48CC4E83}"/>
            </c:ext>
          </c:extLst>
        </c:ser>
        <c:ser>
          <c:idx val="10"/>
          <c:order val="10"/>
          <c:tx>
            <c:strRef>
              <c:f>'DATA SHEET'!$K$30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SHEET'!$L$30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93-431B-A185-0FBA48CC4E83}"/>
            </c:ext>
          </c:extLst>
        </c:ser>
        <c:ser>
          <c:idx val="11"/>
          <c:order val="11"/>
          <c:tx>
            <c:strRef>
              <c:f>'DATA SHEET'!$K$31</c:f>
              <c:strCache>
                <c:ptCount val="1"/>
                <c:pt idx="0">
                  <c:v>Underslung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SHEET'!$L$31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93-431B-A185-0FBA48CC4E83}"/>
            </c:ext>
          </c:extLst>
        </c:ser>
        <c:ser>
          <c:idx val="12"/>
          <c:order val="12"/>
          <c:tx>
            <c:strRef>
              <c:f>'DATA SHEET'!$K$32</c:f>
              <c:strCache>
                <c:ptCount val="1"/>
                <c:pt idx="0">
                  <c:v>Goliath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SHEET'!$L$32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93-431B-A185-0FBA48CC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721136"/>
        <c:axId val="1482716336"/>
      </c:barChart>
      <c:catAx>
        <c:axId val="148272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16336"/>
        <c:crosses val="autoZero"/>
        <c:auto val="1"/>
        <c:lblAlgn val="ctr"/>
        <c:lblOffset val="100"/>
        <c:noMultiLvlLbl val="0"/>
      </c:catAx>
      <c:valAx>
        <c:axId val="14827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2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ENQUIRY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ENQUIRY </a:t>
          </a:r>
        </a:p>
      </cx:txPr>
    </cx:title>
    <cx:plotArea>
      <cx:plotAreaRegion>
        <cx:series layoutId="regionMap" uniqueId="{F65A5874-D43E-41BB-8AAF-BA49E0C25601}">
          <cx:dataLabels/>
          <cx:dataId val="0"/>
          <cx:layoutPr>
            <cx:geography cultureLanguage="en-US" cultureRegion="IN" attribution="Powered by Bing">
              <cx:geoCache provider="{E9337A44-BEBE-4D9F-B70C-5C5E7DAFC167}">
                <cx:binary>1F1bc9y2kv4rLj8vFdwBnjrZquXMiJJ8t5U4zgtrYsskeCdB8Pbrt8eXrAYZWQ6OU7WaF5c1Q7DZ
ja+70f0B/Pf7+V/vy5t9/2iuytr86/388+NsGNp//fSTeZ/dVHtzVun3fWOaj8PZ+6b6qfn4Ub+/
+elDv590nf5EEGY/vc/2/XAzP/7vf8No6U3ztHm/H3RTv7I3/fL6xthyMN/47uRXj/YfKl1vtRl6
/X7APz/+H2P21eNHN/Wgh+V6aW9+fnz0k8ePfnIH+stNH5Ug12A/wLVEnFHOqAqxCj9/Hj8qmzr9
8nVIzhSRPEQh/fwt/Xrr5/sKLr9Xmk+y7D986G+MgWf59O+flx0JDn998/jR+8bWw0FbKSju58eX
9Qe9f/xIm2bz+YtNc5D68vmnx/zpWM///W/nD/Dgzl9umcLV0n1f/dUS9Yes3z962e8/3Jjsq17+
c5NgfiY552AQdMokMjwLBWeYh+y0Sb5brDts41zvGunlwzJSb+s9ALP88XYi8oyHFKDDMfr0IcfQ
EWcYSSrFVyuKr1PkC3T+jmR3mOqvQ7jWev2grBVpcKFf1fSfI4nwMyFDxTGnny2Ejyyk4GsUCsFC
sNxnh/rZNPeKcdocXy5zTBA9LBPEDfjbHxVdwJVRQQkNycnoItkZ4kSEgpDProx/vfVnO9wjy2kr
fLrIsUH8Pw8KBm9vzPAouqnTfflVIT8ADPRMHcIGkvIYBfIslGAE9iXCh44RvlOY08Y4utgxytvo
QRllk2X7YdAm3fc/MNgTfEaEUCzk5KSLImeIYcjAkOOivlea02Y5vtqxy+b6Qdkltvm+3w8/ECjk
TIREIET4qbguMYR9iYSSX3wa+3rrL07rfnlOG+XPB3HsEV89KHu8GLKb3nzVyV1+6x/Myy/2/bKv
f2AUI+EZDhUOGXjGW2sjCUsnhghDTH2eJ06C9x1ynJ4If17oTISLh5VJXEEuV2T7+sN9c+F4FffN
1So9E1xgEqovwUodWQQSOi4YpkSchuZ3SXTaJrcudaxydfGg4Hmhq39oPUTxWUgoh2h2MpRJeUao
IJiKO+DyNwQ7baO/PppjqouHtXa9vin3kAP+SFeG5RloX3Ao9xwhB4oKCIWHNORLUQG+vr0i+i5R
Tlvl1qWOOa7jB4WcJzf9vvyBYQWjM8ZCJaWEDOI4rjCkCDgyyEEOHyf1u1+O04b4ep1jhSdPH5QV
nu0/ZMs/UHUj9IxThaHy9sU94WOjqDOiVCgoxSerbt8v1mnjuNc7Rnr2wDxXr1vb/0CsgHUk4wji
S3hklhDD34mEmPIl5jiL1+v7BTltjz8vdAxx/bBysGd7SML2Jht+pDFweMZguaoo9AU+fRyoHAqf
KqTkSyhxCwrfKdNpuxxd7Njm2cPKxJ7t6wNKvgbau1ZKfyM7ZmeSMgEVt68l52OsQAEIqqGSY/ln
X+F2jP8Oee6yyZcHce0BXZoH1M95dpNCn2C//Ei3BQsSaK9hKr8W144tAsUfKaGSgMRpi3yPRHfY
5P8uda3ysOL9k31f74fiXqP8gwWF1/t8bwZYyf5AqIozrhhUxgGRnz9HE0MearUIE8hHPntYJ6x9
l0SnJ8atS52J8fph1Zme6bXpf2grnJ5RBN4R0eO10aEHTgUiITrdcP0OQU6b4s8LHUM8+/1B+c3n
e+hT/NgyjzhDAivI6b4k207Sx86YAGjIL5k6gobG7UD2PQKdtsj/XemY5PnDcpovPmiT3esy/0Zm
gc44pogxSPlOuCsFBiHQXIK846S7ul+c0+b4ep1jjBcPKwd/aet8/8fXKfqfp3kUnSlGgP9Bjht5
kp9ByUCBDb7EFIerc78cp63w9TrHCi+jB+Wl3uii0D+SOAXsDwjOFJGTybZSZ0xKAhydLwtTpzlw
vzinjfH1OscYb548KGNc7ytdPnq+/2B/HCwwPkNYABVHHYdvCZZAEszEnTDxfUKcNsPtax1TXD+s
Vc8vwwCsxx9OYgNe4admAP7CjULHNQIFAUUIysnXRo7jq75bqtPmcS53LPTLwyqmXdbDzWENBITI
+/kg/+Ay6JNS9z+4owfBDPp1CDgQX5bADnjDMwAuhYbfl7zDWQh9p0zfmCVfH8idI/+/Herpsspt
2tbRL/4uKZgAKRjKd/I0eKFZBDUmoaATezLd+0LavVua0+b4ctmR4P8wA/hutPzZhd7uh/3uE9n6
FkH4299+ejzgfzuXHrHqjp7yaxC8/PDzY4zBFf5J4T4McbS2OdLtn7+/gfrEz49DCQkglpRzqAIC
8VHAsmkCKtnPj4UCBgMHEgOCki0sqyh447rph+znx1SeASMMOoICilAU8ntoRpnGHr4SZ0BeBVqY
kkRCZhkCTfLro71syiVt6j/18OX/j2pbvWx0PZifH8M47edfHcQMCGaSQXflUA1u3+9fA2sefoT/
yyRz0hQ6FBcZ3ob8hRmhDPHn8/+NcQ/3uzVuSPQoTDnL3cCzMovWdVneZkTMn6njn9c+f2N4sMrt
4XMZFMs013KX9V3fv57EitLrdF6bj98WH/LAk2ohx+OH1VooWyRiFxJu1lctrkIUZTTnOEIMVSRi
tBuS82/f7C4bgPlvP4wB2+dTWovdbKiikUI07aNmEQoqEd+yBWRUJx8GHY8vww61ebiIncUte4bx
xKo3E8qReLqooZ7jQK6ij6qla2Fp960b3vFACmb67QdqFWpHebjhWIZyvmoym9gNMzbTu2/f4DDQ
iVl7yClv30DpdUKDpXw3FUZOV2KhCdm0hSHZU15kOXmGbWGLTWe6epERKhnuzlGdjf3Ft+9/xwMK
R6NlTwVe5lzGfdBOcTpgVkYpVemHbw+PD+Ocer6DJW+hp5WVKbhZ+M6m6dhtFFGxpPhjW9BuKqIu
ncYqsosMnjZTioudJU2j6ihIFamgVOJjwgMwbklQpks1lnwCDSvCN7RvPko+aT/1KcfpNOAIJrUM
fLcsRv6GmqWJktHmL/xEPxjttugq18LQnu8KqvUNgl1DT+tAF3bjN7zjeppg4m2Xcb4rBzn+iqeO
RXOySj/HphzH05dT3rak47uhCdZ1h+Zg7LeibRrpKb7jbMicYrWUOTibhtl8swgxs6jrAKnbb+vn
DtcpHGxW4Tjx3KYyrkrTJa9lVXX2V9qtIboagiyUryB0UXH57ZvdAUTlAJHkS1A3pg3iulmkeGmg
8Db8Wg1D8NFrfOl4MqOQRdPMVbw2uNotKQv6aNaF6e+xxmHGnwC6dJQVNgUrLVmSuAnUWp1PPW7H
XTktWG87nbHQ8zaOP6GsSdTUBjIeBkuGi1o0NdqtNS7nXauHafbDtXScRteMXULnSsUtKdbrol+y
F7UU4fW3bXGXrhyvMRWzwhOkUDEJZr0rTS/p05QtTfe24KqY71HVHTPqwP657T0ylbaFkq2K+5It
l0G1ohdhivsS6m0eflXS4+GbRC8IlCNiKzsyRyif2TuxNu3Ob3jHfdhRNlCXFyIeS7DAUKbVjtlA
tp7SO87Dalov5ZKrmJmxABssag4igxa9et7AwXMRBrwLZ9B+iKuuvmwxr6ddn8t1eumloEMSftu8
kizU4GAWcWgy/atUxrycddotfvILB2hy6SkU4bmMW8oGfTGsdA6jrKgm5Acx4UBs1ksnBtLLuDBp
yy5NRUYV5Zb198Xmg+c54ZGEg7IlzVNUTWDiLlnafpunVMqXVbCO4iodkqrYzSlZ6t/KStHfbZ1O
9T2e/K6cRzjAK+c0kc06gSssVdleZYFJJCwcihCyRjVMORuiesjXcaMz0VbnxbymcivYRJs3IxqE
9VSwA9AlEYFURZDElQzslupJxkqW9J75gQ9IOaVecjz/+DjMuiNdGFO09s1uxck47HiyruVFG1K5
vEhN1XxsAzZVF2xVNX8+U0rqZ0Qqlf+mCsL5PaLc4eiEg2VV57xtJs3iViaGbsQa3rTzPHV+fpQ7
QLO4FyrPUxan7azecQg/zw0KKj8/xw+z91aO19G0zoNAhjEvYSWzsVhVa2R1v5h7psEdMDhUp2/f
wOhu4WTuVTwsU0IuFet79MfcYoBERjLURLW2bRWRVbTp+7ZaDfHUmwNwOtUlWLkXsVBJZaO2I6aK
FssCTxfLHYCvbC06K3q5sx3HO7GM6XYVTbD18q/cQbFIQlTn3bzGxqZDvNYyj0Tf5vc4iTvmLHfA
CRWvLJghl4xzoqsNGXC+TZaGeE4qB5uwLGkU1s0aE1g3RijDb+uU3Zfp3SW6Azcs2prNZbrGqVyG
Z3apEcTPLsO557xxImeW26Gl/bLGQVKFl2Sci21CFYu9zMocNNN25O1QwOhDQthmotJEpsLaT3bm
oFnVZFWjBLMGA8k2BbVjJArJ/Bwdc6Cco6BHU2LWuMO6PDdhnW5Gztbzb2vmAJsTDp05eK0Tnq0r
DqZ4CvgNrAuL8ZwNRVvHwySF5xM4kKWjHOu8SKaYAnBfh0OT7zBrCr/1MnMgO9SQq0yrmOKGcXEJ
G+rtNl9qT3fDHMjioSoTteY2Tk3Jnuiyks/aufQU3UEsRNKkKDAd4q7JE7zpOTEbmc1Ftv22ce8A
LXNAy5PUFMEKdZi21vNVMaTDU5skpSeoHMhCfTQYsc2H896mk3lDJ6TKF7xXIvObNwd29u0gVmA9
dulIZsjZ7LopWv5uCZf6nol/h24OtKzbg/M8KJhSybjrygxH1FgSdWFoPUV3QEvbnJEkVyNoPnjX
E0jA6nBO/MxKHcwW7doHgRFfRGekIxEfha/oLlq5SqzK8LgLJygak8Poxl8xB3PcynwKNLZJaWD0
OQ+zjVWFjYQguafaHbRmjKsGmvUwOiM3nWbleapTz9ITddBawOE+SqcweLjaKi5l2MPSSMx+ucGh
iXJbMfNAZVIuxbjjQzJFMx5JhNtk8AtR1MFqlbWkbiiyu3pc62jK9I3NV+yndeLg1Kz90DbZZHdV
kbFIMP4uGA3xHNzBKUp4T5csGHayQ/XWzHpv7Go8B3dg2plwziETtrtchFkkcl1GtifSc3QHp5Lm
QaqDEEQPLX5moD3yMpFp6deiIg5OZ8tIzWDkeMVwtFS01krwbTAEyvjNGeJAlXRzWNk2HeOFVXUf
BbTlcTuR4b1XcCIOVrFOSN/MFUTWxJRXYW7w1hT5svMbnRzDyfZJS9OF23gI6e84J68Mo6/8hnaR
apa8WpZgiHUWPAf3+G4h0rO+RhychlpXEtdyiPMpU1ub8eumSBo/g2IHp3Vhgj5U1saBHvSmzOVT
STrkN9kPW0Bv+y9oC0+tmVWwq8v5g17wW8IroEF4FB2xg1KlpzSAeL3EMKwZopWYTESLoamf68UO
TseU26xg/RADTQT9xgbwA5HRK/bLNLADVNuVBJVJY+Oq6ddtM8s/Mt0mnmp3QJoo3clR9zbmS79s
qqoF0Yv7Oq+HQU4sDg7kgds2DWvBdBtUQwzd/vCZMil+VgZJ+9bPrA5EyUCGHg6mg+mYJVlEq+k3
qbSnSR2MrqwJ8yQrbNzzkUZYze/KTr30k9vBKJvYPGkKYwe5uWZ2ecaZeeY1NHIQ2kxJkg40HXYo
CYJNkCdP9Yo86wPIQSjGbSvXgAQ7OLfqRbXId6pfSj/XciDN354pQQZ5et+ATsqsftWkzXlSZX6e
HDnoZO200BmK3rtmHS/6iTxh3C+CIgeY7cIH0bSwthNV+lQ1c1z3iV8fFDmw1OUwZ9aC0G31yzra
TS5/9ZshDiTLMO/btQAjsqz4o5/DV2oVfn7qsDP8tg1tNxbzMokhXkyOr9dlIHFuqdn6Ce4gktbJ
XOc6HGITQK+f1MVFmIS/+Y3tILIoteFANwt2XEN2GyCxZyH1C2ywS+dYLTCxu65EEJIzLeaIGxZs
w1COXsCBHfvHoyszyoHxMdh14k3fbBUwMXx0AnS744GzNOtYly1DbBWwLSZq2gh34tpvcAeTEzTI
l6VOzA5n7cVUQvO9o/ngNVPg1IhjyXtrURGUMLgq+Utq2/eaLb2nVhxcwik8C+pUaHZ9RV9yGHu2
o+/YDjTxpCWlM4ayMaHoqVVpftWxWXhqxUFnZthYQj4LE4WvIlpR/kspMq8Ei4UONufQsqkIAfkz
XYZ8g1gimi2BDEh7uRYWOgBtp4olwDca4pS1+2Aa30Lz4RevqeiStUZKUS8o6MXalG87W+iIwqmz
XnkEFIScuZiNEurRMwg+zy9tg67msfNEqHIQmlcSMZlRE6uCPiuBcLiD4zyIn8aVg1Cb9sC5tOMQ
o7Z8xYJyk/eZV5LCXPpTz4N6SWllYkI42UwV7jeY5R/9zOkAdIGOglHVYIABIN6lZr7Skr/xG9rB
59wPSaFI0McLLqeobGR3Xle5H3WBucynhk91OAK/JoYW0rqt1+a5pMavL8+UA1DbElNkeOrjBvgp
ZWRsHzwJRrS89tOMA88poOAVmQWLjssHAxncbNQfXkO7DKQBAk/WisbEhUhfz217iarKbx665KMx
UYXIS9bH69hlu3FKyTYo6/d+cjvg1CtLTD8XJg6zdlOw5Xml7ks7D3Hsr6sq5tKMpgDqwWMr+zir
Rm6jXor8WSfaOZpyYpeNn/xOEOVFPddFw/u41PT3MmNvg7a49hvagegMlMRSyKQH/I/mYjQ9jvDI
/Fp1zGUYpSTjuqcEBGf4bTUGdcSC9lc/yd0YOndt0aPMxJxoNu1WahcW1arMCr8gLR2csixNlVUl
TMk5eKUrcq07v7U4kw5GS807WDDD0MkSvhqQfpFQ4dWGYi6pqFRLUnXj0sc0qUgcKDK8wumkvai4
sLf6OIQSOSI+apiJCVqXaOm7mDJPRhdzCUvVnATDbLI+rscWRWiU592U+lWHYdfDseRDz6xlIagc
3OOTcSFPSj77YcilKYVTWtq8S/tYJmkdyXV5Evbar2/GXCpSCLMEzaToY9yMLynunvZo8JTbiaG9
hu6EmIIuNkK91bh/VRad1yKOCQecycyqIm3zPhagmSgElnjULZXy84cuXWigeRfkTdhB3ybrNj0p
Xtkg9EtBXTo9QrDOqjnq4lTTKo8mKFTsLAqEn2JcKlKeh0AbyxfATbhUG2WFeF1qtPpZ1KUijTkX
CZDhungNe7LBhj2HSOrXPWcuDckGtWr43MB0aUKGCvC1S2GySIVj4VXDgQ7/MUaBP4vCdK5B92k2
yU0NxbM4SVjn10dgLt1oKaxVfZW0sQpM0W3Gqa0+2lBOnotGl3CEK4LYFAZt3GeL2VapyCPQED/3
Cngu4UjKeVZoRG1sS0E2SADxG1454OkfuYPYoYRdJIbWbWyYTIcIr6TYF8tcp5Gf9E40nXUv+mkG
3TRZ3kR6qH6ZS+wX87gbTkkzVYG0oPdatReLQeZ8Kpvswktyl2800pEubTm1cZ7w9S1qkvSCSdUW
fopxCUcU/CQnC5g1rJPOnEurKIt40ojO8wZO9gvNuKKp2xE0T8102ffql6wr/WrzzKUcyaIiQALu
21iy4Y1OzaupGN746d3JetNkmWhZpl0s6/D3uplwlMGxI55KYceupoOSuQps1ca0z9XvEpoKF7ao
Rs8p40TWAQXzslLexIDUMBJAfYmCJZA7P8WQY9n7JYAefQmj83GxEcftVVHfx2L6lIKeWNC4NKNO
z0CvU6SJR1GkSQTd4hycjdRzsUmrMC0uqnaZ3tjKlJfU0EDEQ5Z1/Bq2uMnuJdT/TP8mlJW4KKAv
2VzkRc1EJEsNxfh07hSaopXlXf/L1JHAbtDS1cW+ybKg2whILMkWc6i172RrZ7stMVTJNgK61POl
7QKVx0TOGbtMmnxaNhhBNeG3AJi9yzmmuZFbKmcYcyr1sJ6nXZgZ2G1HVnteETKvWzNWtP59lowl
LwcmgvwPg3nXxWol4Rj3Mzzvth1WvsvRyNWmlgQXG7HI1F6kuEnDp0LVsHELdSt5Ay+xmKKRiP6y
1aZfY9SEajmfqnJk27FnKd+NcmJQwi6zkW3Ssq0ayGfDcNmoXlMZVY3u8ZOpTvLwsqR4YPEK2p42
nBbj5boG1fO+HhHbMjSOa5QnfbK+KXHeSL8sxGW/dLUegN8eNnEIxbaIk/xptqZ+u1aYS35B8Gic
qbaJl6ZNqm2DpjyeO6Q9sz/mePtqZlYUljax4FkDJasgIikN/fyCS1OjLFkgCy7bOBPVTcKKN4nU
nkpXx7AdoY00lwTk5jaJTVheJRz7VTap4+L5CLQaDOWvGN6eMkdJEBZRWOLGUydOWtajlIoCOo5x
SvI8movuo8h7v4yVOk4+h725Yy1RE9vFts9h+5e+aOhQ+flh6nj5TGhkayJMnPYFe8og+YZ9BXZ4
5+WHqePl+yodx7Edm7hQqf21V90KnYhaDZ5qd+Y5rjVeAwpGFWnF5x0xtV0jGfCi23rJ71K9hqqb
kiAbmhgaVR+nll3xwPhtuYAzv44ne2unfuwW2cQZCoFHNhg5lxsa5uSjn+zOjB95t9LRkjYuu3BV
kWw6Cj12RYgfF4MRZ9JPbV1iNKeQIMAL/SIrp3yntfZMEFy+VyunJF9TCOHQo+k3wCgTmzaYUOyn
HGfaTwj2MnNdN7ATtSyvBB35EImuF378fuayvUxep0BkasCT1VZeZTVFv8OadvErBRMnvZFz1a2V
gXwVSlnzZcISG0s0SM9J76xDCC1tqA8OPtdVujFTl0Z2qCo/zLqUL9zj2c6wTo6DpaY3GbDNb9bK
Vn7MT+aSvjihdZ7lRRtzIcfgsghrvEHJNPF7eod3bHxjLvEL9oMmiShVHa8lpv11W+ix2SSyJu12
Mk1wDTvCngdBWOZbyOKKcJOGsBg9zwLOGz/ru/ww2EgrkM0h/5yWLlOboMrhAIoqq9vSbxntEsQE
oiusWQ6eKRlw8qTSKZydsHTLgPyqUy5FbEW2hy2ppI7hhHhdRPOUTyzKCzZ65ijYgbcwa9XXBG6w
WAK05dW+Bfb+ey/X4bLEyqFahtCuddz2tdnMKf24DtxXcAfZabdiYwpZxZDbnpekuCLE+JUAPu1x
vEVFr4IApROcIBIPbDSbImDQapjW135KcSLxkJV9iqexjhPbq53NSBpVXHuGSpcnNkk4zqsGi8a6
n4M/qnyi7/sAwo2X7C5RzOSsbliNqxjSledyXJ+UXXrPWS6H+XZiqejyxNIZ+oyib+rYzCS7wmWv
InhX6+QXxFyq2FQIrcaCVjEtVJNGuVLdVSZtnfnB1CWMsXBuqKhRFUte55suVBcFw4tfHHApY31b
p2kS6joOWTY9NX3FNnLIx1fftukhOT6leCfxDKdiGScM8b1cWQdZMzJpuCsRbpqdgIVR7ZVjUZe7
A8dzJEk79GW89vIPWKg/q2T29ttPcHrq0MNRUrfpaWxE0BqE7ViwQ7BJ8qgzdryZaOd3NgANHQVp
yJXrLKnLOGxVAtUdoy4rwa0XpOCVlcfCNyS389qD8EmawRofkzaCMx/83AF1+TuhWOXCDRQ78DTg
ZVtraP5u8rrOR6/FIpwBcCy+GqekhTSijHEmlq1KEXrZwOYpL18JBejj0RehYUU+dcE2xencXOUI
o+eEtNx6SQ9vVTseXy0iUYKmTYwsHdoIZlF+8PcobLY+U5MdjqO8PTWrQJtuDDU4TE7e2AG9TnHi
NXEYcjQPR5IMCvUgO5R8+Vb30F9aLa69fA68RuBY8Bo8ZFAAVXWHZZ+8HpegfVNn3G+LHRz1djx6
qWtsETHlITFQr9qK8njQXHkpnboExxZKXiipDoDNoFTWdOpVwFLtqRhnKWeXoV7sokugrcC5YhvY
Edu9W8uwGe8Z/1Ox4q/+mLrEMgHH989CWPBmwvLqRYdxbS90MXb9OSzELDmHs/SE2Xa8nJunwQKr
gqetzLvqHbwDjZ1bQdZLyYKFR+GaWDj+YAmK4kVV85lsqq5b9GZNs2T9o0kWbc/rFmLuxvJ8fk8r
xp6MbT5cLTobz2liJxgCDqnIIlRptl5nGPa3vCoOB0lc11q1ZgsLNrbCt/20yRAwP5/nbRasW/i1
0c8oSZrRK5GEtxcczxfgNXbksCF5lyY4fz6GRfiUaJL6BVjqUuKaoOANVEeLmMzoRpDuVYjTlz4O
gLqUOFhrLlUgpiKmK/BsS8IuSWPuO+niMOdOTRUn8FkbVOlq5iLuWjhM47I3azltwwVYD9sJVgjp
JbwDucze+T2JEwZxF8JLEEdexEEbiB0rpvJ8bcv0F7/RHU+cLYmFNSIt4rFh2TZI1rdDTu7T0+kU
B163dTx9MEq1LXpbxKK0+g2wqtkLlaXzfs5xcE9x8K5bON4YJaFMSdsVOzPTQmyzoes7HY09FNsv
9QQ72u5ZVN9hcpc1B/SE1I6iTHepHori3PIZAzssKHe6WhXZAKPbr6pEXRJdmkHtJOlLUFpNAiC6
ibfgiDxzqsO7oW/HxQAOHIFCQF3EGNpxA53OB4pff3sm3WEJl0QnKXA5V9iDuy3STg6XYWn4eaNC
6PuLdCyRF7uAysPdby0ROYwttJYBHNMBJ/3BXvf0t7CTfltbqXtWl1nCTuulz2Mp+XAOnGsVJRn2
W6zAS4KOZR81lCKpxVmsmWLn7bhUWxVqr3UclQ6QkWhxWcoy2eJRX6GERqwRnjp3YLxQVJpmgKHX
le2SsDuvNPFaH1KXQ7fASWXahEWyLTR5InnwpBN+VTzqcuiAVng4CFcn2zafuqvcmCEOOH3z7cl+
8PQnIoBLoUu4zMaFBjDZcWp2bduzaAlLdu43uoNSFBZ9wlGgY6lN+wRYr2+7dPE7HJa6HLpUyDQY
idVxuZDy3IZDfYG60o+KSl0aXbDM0Deseh3rPO+2baaeBrI3Oz+9OHF3zlFnDW3C7VAxPZ8TMv3S
9kXhV1SEM6+P8Zk14dCVrA639dg9L8omzvvGL4i7VLolm+e0SiGRKgero9rWaLOW/B7Pe9dkdPA5
Ajt/hR1+ACIzNhGwxjatgBOF/XTuBNgVDukx49Bq2LVULZs6bZsuSvo69COkwYHUx0oPqwX2XBQ8
hI1WzUoiVSb9k2YutN8+SOqy6ayok1p2NNxW0wptz1fAArhHM59KtSecgMulY2LFcDhVmsV4Cej4
BOmKwwajFA7bvIaTkppY83ClkezGiu8EVNemTTcUfIQjLFuxnHc2RN1ubXFK9pXkZIwTRbX0qsDT
w7vMb8fJMhzoClmx2Wk59+c8GeDQ36Dw66tR94QfOhG6lsVgdnSqMmBZDNewpXK+R693TGf3gB87
dXBMjlzMbpF4jQpU9BtZePonRo71wgsrAtqNZrdWcETDNCwfUZ/57R+iLu0mWNuqS0pqdykw5rfh
lGUbRGD7lhcSXcrECtTnRI/gTGVL/jAVfVNlxG9LJXUZE1kFK/amZXanUY+iuSXJLkmAOuMluUsJ
nYMOwyEww6Gc1A/ppaZI2V1mClNv/W7gzPZa6wHeIJbJ7dxnAqLlktt6k8ELDeh7vxs4kacfCruO
SWt3tsnaXaXY/3L2ZU2S4mi2f2Wsnwe7gNB2bbrNLuAe7rFnZEbk8oLlEsUqEJJAiF9/j/e0jU3F
dHWNhVW9ZEYGjoP06VvO4ksts3eNPchbTCjqB0o0UcshuYjQeTpDNiDj7wL7w+fh9wte8zWzlcPF
1wVK34PN5nwa0vcBTgl9c/RkzQJphmVcDmmX6IL0SZejY/vjfQ/9zdEz9QKOcKRyhzVtVC6iCGzC
LYvfl2S9RYTWAD7HWUTcYQLMK596U98PnLiXd937W0Bo5rUmCZvdIZIYwWX9Xh/aQN/3YN4K0LXG
JxNQAe4ARdP0cVRb/4PFO39fTv4WDbrTxs9uQYgcRzYU0DmHPFFW/ZkEz2VL/pND863K15D0c9pP
RBxZNdD1sVlUq46BpYM5ZkbjFHzX838LpqpWUmVJh4AGT6KoXFNaF+O2vA9MRd7qfemm4s4xXL2u
x7YUQFIVcgq/3nfrb4JZ3+ENAM9oDnrToWjV3JVWVe+LNW/BVFJnsVOUmsPaL+tRNSLNoTC8vy/Y
vAVTBYVyYzfeHFyzD8fE9s970tF3vtI3kWxvVLZP6PUctGh4oYatKwBJfR/sH1P938fJkQfuuKj0
IVKRKbpdjznR4X3KTWBA//7qVZYNJumYPrRuboqdqqEQkJZ/3/H3FgO2JAEtZ1OLY9eN+6c91ttL
F49/pvV+OeP+yY59iwKriPfJArDygZoEfJRLjNfwK8zftdovJof/PVGFww3a1UHKYxahdb5GP6dh
/PS+S196ef+tV9QnaVLB4IIfofNVDfm6A+Dnms1+ed/l3+zTZJjItMdGHqlWIzCs3caaW5YMo3jf
Xn0r96WtWJA4aXmUNsk7mV4P8TsPv7fgLwhxzS6kuLTKkApf8BDj+wCJ5C3yCwYKbdXwWR73i/RR
75OsyBrh37lc3mzTLh4at4cpK6HCdRqNfozZ+9QE4VL2++USU4CKiFJZyQB/6MboNhvbD+9aKv8D
8gUZocaQMStTtqjkKtMDeNeNV8vz+67/Zq436mTuhmXix2xKNmicZza7vlD1/kxP8LIZ/0kIeIvn
aqNeZ8JX7Kh0ZE+uWld1b3lc1wfwVHl1rtXumzu3V/+L4vrv1cE/+9A325eHtBrXbh5QKWx+3Ipk
aIdUH/oeu244NtXWD/k8KfjJ5COZcbZvXTAjP0+DZo06orDuepUPe7+Gc1OFqPpOiAfsbowBae1z
0oXd+xwFj55ve/gT67vVVj5h5y3K+NznZh/qqM1jIltS58ZxjaJoYnh1OZXzVH/XplFLkmc9b9WZ
7D3knsuAgp7XZZhXb4o+kG77CAk5v7Y57eHBA5nv0G52zBO5RCzLZYB2e39KdM+gTa/Qs3QqB69g
WHCDlk/js04VcseOd+I3pRX+2ixztpYMcF+SL3hCfbGuPm2v9rBszKBeJnb8PqFpy5d8M0mc+JwK
Vjdfxzbr5U9VL3DiAZETdtsqh9pXF75cQHonvauw5SNEo2zhfWuTvuQgTlaHHSOb9BCl1WaLSmCl
yWJlPlBVputO45tErEweW7rsCryweQonyPiPBWd6ZXddvLSijFviSdFwNiMLE0qUQkEAN9/mms0j
8Jvd1NSlkyixeIEOyVZPuLN5NDwXKePgjaztVZVxpI2IJUwt13hbU9PmRiCzy2USDapc1Jh+m51i
pQ/7xn8u7R7IUZuJ9ve7SQV7aeaU83viKkJu96oRS10OOzgq2VH6JYEiws74MtyBoSHwvnTbatxc
He+yXo4xVI2Rjal42vtTYGTzP2ah2qkuphXN4DMHA0l+Sja+2VAMYwYnsVpEFxnIYRlGH4HFsgO0
BQUdvqzLIeBdTtM5pWikpWfWj6LJe9bLI+ubsZjY5pVBARsiu14yy9XexIvtD94gRt2zqV66T9uW
1qPAcpjS5dgRardiqpsshUpsE4YSPY5GfBWOjNON3HY0gRoaL5vJvXZo5udSUJ4ig3KOEFJISkj3
IemFYUcIrPTbzZj6BF3t2EFbbceY2a01uFtxsMwByckgshYPy490iMCZMSvP9EdOVSLKprK0+4E+
iBiwaVQ2raXt6GTv+yWu2SfAs2Z17AIHTUhO8USvdxql/W3S+H7/1Y7DtIAxY6Ipu5+xaZvDqJuQ
nrVKuvlzEykRpwhvfc1ozlUm9X3sXJ/8yLqqEiGvaqnqK+/XlV7Hps2mL51ngRbQvI/BRq89SSSk
nSkbflbO132d93MvflDCZv0Z7PK9KTBdwtkFqsQU7oDqswK/PEXZz6kz635WqQ7hU7/HSVLoBjvp
Z5dhmZ/qPt3vnYzrY5zOonsQZuHsEItWN09z32z7owdHIo0wiYZugCgvSsTsbL0bx996TG6am47N
JFxNUzdUV3MqE3OzzJKnRZeRLP0qGPwbfyW+r+5BIY+uMUbaf4IdovLO07qsIRAUlVu7C38Nk4d1
P0E8iHwZZJvJUg9gOn7goRnG+6Su2uTsp3YJh2huuu0kg4nZFWdbH3+OWdVXT80sa13o4CJoInax
tOChKAYjv3W31NzZeHfxmWimh2c4a1TTw0Ilb45x00+8dFu3InZ6KkxzBH46MXezXNnPAZoAY1Gh
S+Mfmi02CCXNtPkDo5MzdRljWrXe9B0Ejo9VvWgwVCK+1p8aYWV2VlprlrsqMuxH08hOF/Voe9fl
YkyqGOZAGdnOdlDWlc6ncVQ6O6ZJPg6711+Jk7iDksZ1AjnDDXfRRrU1ebdFdjyMF0meHIJ2e38/
exDTDlQb/y2Ng2fwP6thFVnACoLdIV2qXytsYV50Q5OqgilPp89hhj8jBI6UguRZTvp9b8/egSX7
KcCfzlR5Mzu+Id7v2k9T3jkc0z5Hx3u1P/2yEvoCjwyDA6GHWo18GnCVy4vUbjEHmDhi0nkYfapo
Du7nSK8Gmcj+sK41GUJeJ07sN36zNTqYG6yf5CmuAnJEMNma5mxhgxblu2nb6COjvUnLJmNLVNp4
TWTJw753LybeSXda3e7l1aKmqCpnn1bhlsBd6zFObNd+RBc5DX3eDoOTR6jG1+5a9qhg7gO6EOKY
9S3OO1dVdAbOO2u2W1XHXV9Mu0lckWnDI/AWjK1aD/bcbpMnF/cKZIwxc+6x3WKeniaMjLv7CUp3
7ZyvIYPDDXTF89kbmZwTIq17oHaOxu9pu4nhlg3EYo2NjRqaX2QQO1aCgmSbPUy1aNcjvtnWHajq
M/vM+rWprm3dduQMEi0b7haTwhTrgHA0sBJeRqR63SGVDE1z23T0ZKe2roFtBokJa0RAR+m66VzQ
J90pAsxwCgxxfLAarof56sKYfsRnipc1adz2bYBoPDjpMm2mrJghv1gXEeJTVWyV3j52KXPkJKQG
14WOI8CqajUiKoJeHDzfzOQ3EEhWnhQYKIjmEbdL6cPmQ92eojHNMDlqqz5aPim1T+M1oLvNjqxo
3LefODXs2EMjNY6TD5dJDYkL0sx8v9tjmSmLSLyH6iw6vHoIzTI4gt16BOT5Ae4X1pxj10h32hyT
9HJybw00AWo8RmtzJ7HLY+jV1ftSF3PrQ/hA5DbIHE5jgh15phDf8p74zjzELhHz991YnXX54NaN
nkNG4u0+w+pvvnR2g0cMviSZqocerXH/JHo8xOs97cxWjmSh7oTzP9I1Hm6q1oPfOfc1kic37XiZ
pl6Pq+8j9cyT4NTjime2Xs8dEHgP3do2bZF1zWS/bJqn9KtKeRAqh0JYPGo8KTLUv0ZopsaPUK3P
5PcJyiv9t3mY+xT1FQQRSaG6tOMnxZ0NyN+aWLApn6Ml4CgcNhwfyPYgGcsiuvLSQqRhCoCN8ugH
VOVDVsQ41Lvzvsz9J75gfR/62A+saLcd8xfFx+wzTYGLKEgQVVegFs04LAsnvlylA6dszckWq/le
N3MDynEC+c6jlt0w3RGlfTTkDAys7900u+1IkzZbH5IxNtDfxZxVfsrE6JvjOsAp53FOG/JFWLi8
lDar0AoQbeTYfRh1xY+x6Xz6gPkTGZ+Gntv9JunGeULAzLA3AIsHUE1c9RBRNXeVGqTeCpFl9WMA
8iUqNtaq9cnufgYhGrzX1BeQMaz6gsuk1Q+9RY8pb1Q9zAcSwKsdjqCoJQdRkXEsTVyleBNtMyR3
2aIvTq7MXpIfAbRvUxdSrDQt1TLHyZL3+xY+d2KAalK+KxD/PmmQ28hLbdl0a8YFGVfR1F1UJB1U
4UKB6L7m3DPiPqcLZA9ONfMa5z3fYqTpBARe7fJAssidW9xC/GGZRseLlLK57EOzjFf9hq3+lcbG
r8eU90MCZxIDybMka4koyQAkZm5Jsh8lDiPvckOrzt4vgE7JsVBM8eG2t1V4EOFigLqbndxYIfr4
IOBgs+EYRcpRmj1D2PfDGtXnno3UfVqGKlmfRrMkBdrSc/otDJVfi8o32QnpGmwte7BoJkzdcrN1
zalxGsIaGXjVOGxJse9O6nyCGRIrnYnTU4184LNXnNzUkFJSOZPdbIsmSVkNzVad5tOUdexa+Dr8
ysD+6e5SbB11tXd2l3dzlJrH2EPiFSUQcbc1E+mO3CnJzOMaaSDJ3cYLBhr5HVroIGvDXZRAjRxM
3rtgRPo8+ag+9GnH+lypzd2s/SAfag8F/bLHMi7otvgibar2lGWZvF1YHa7rZBu+hXrtPkoymKKN
2YeBGvVMOznKvI61BexkGfp+zre4ld7mNbLdcAywdwsntqb1C0s2fe26IGSJ5cwKtS/7dhxNR68D
4IvZs48E/1gPHqiFMnUjj06V4qsf8gorV4AmH5r4V+uq4J4pZSzka6s2AShnsvpQthc9gPMQth2y
KcIkQcNZd55tijqmJVNX1mxNous1yUBoBn3ax9emSSp5b6PNuuMKnn/8srMhZYUM2epulkzT+hsy
VzUfqEuj9KRb3Wa33bYOcGOtx3XIfaKNeCHLoOOHmSxEHyDTEEZIEljWnKdolcPXqIGXcFfQ0NK2
jG3XuHyhLVJR6RbeFmZAjuLzikSEDHmgYWl/boKS+XbdpnX/AVMqj3SocYJidQ/YW1TnHQhD3QEq
OlV6ZcTQdh+2BLX/YRozoo6OI+6UqGhqfp4v8LvDzFVKHkCq6egN8LMkKRO5UXlOQJvafmvBD1AP
i3VCx0WQ9dpc29mSmOUQFBGYSO1dOoQPKI15iioYkM39xtrBIi40I/fJnVbYkh97FKv+a097ec4m
TCWIVZ5/TSzpo28KMy2UydtE4VKIJnRTYHUgWcqrZUV0t2bZylXVRnxm4PS7F+ER279YO8u0Kymf
I5xX1Uij9SPze7fVeZSmnOTOVUYVsiJDem93sYXfMtD9h1+mBZvtIDpY/T2FodkkBAfoZB7h8Uz7
7TCuUHe9km2UTo8MuwwRMSZmFghPzcbRLGxG0PdPHYkbfyJ908eqzHaDFCAfGGM1ZOAn1B/I+Lq5
CKu+5CKwcXH+Q+eMqf2V7OvevAw2mtbj1EVOnq2VC8Ub26U35ZwO2/qtlxRcJNb00n5zvp/Xo65j
FRWyX5Kbdq4rVsyYPbrb0HVZjVfCW5ABLbrshdHrjKR0ZpCTeVl2qORCCGCubqc6na98tYmnmaTB
ITug+64fwjAMuYGfZg5SWL0Q+IuJbjoGL2goaliQLuedWBRojVx4bp2fIp27xXn7gSeeN7+tsDYR
h72P46Zk/nKu5rWFx8SpQpp920KaC6uOJIpcVx08TW90HabPUuAhlMS5LBnyuMWU+cUOexchSw1x
dLXtWNdXyAMSfu1wBHTfvSftFUqARH6dIHHOm4LKOm6f9EqbBpLQiWLtkmORUVIIRNWAai4CcW7n
TdLei87He2Gw4Z/7hKrDULVsxFarluspRgfjDv0KQh/FuLH+2q9G/kAn5gtSD5cyWKowQMAneMSk
T2NaV9+gZ9G1Za0QFNvO9HfOxcjMdgiM+PPARVPoPcBwBAj6+NRyQ4a72RE73JlqsTeL1lP3HQ7O
7jWae2vLbYnwGrONv/RLdhnu9AJn+5b5F4ZcwpX1PiNXB67JbfnguTqCrCxZ3mlfIzcAbGGF2Z3Y
0K9FJLTo77ju3gPQD4tEcen0gPhtXnokY3lKgUA/o5Uu7S2ZxRw9Eg4QH0BBfKzX88rq2g14KUuI
LRjdVdcetpiIjh86wdoP9Qxv+EMCosD827am/VpEDTpX3yB3AAdZQ4XNDmOThhRLs00/mhb1yFUY
O5unHQKoztfFwMWuTpfmp6DKpi/EL81aBGUTVDs8G9Yt71YxRF/bNql+iEtqchIbWObPgelX1w8u
Q7or5wTJrMr65SThCSIKyYx6nSi2bC5g2VHAFiTODoPMxN+bfz3Z8RCCOEDfsspQysBU/bil3PMv
uo4k+MetrNAZjKSCMpLVkOIokZQof03ZNP0cho0kiHNZ040vUGqTXZGaxpNT57LwC6Vzvd+YIa1e
VTPsksKgO6zprWp8Nj9HVczoawLLDPoLpWWDzkhX01s5mR6xI25CkdbJ7B+NrLgG1QizpaxmdfzY
Royhm43UI76hHoKiR7kalpab22NyWNlq13xQy/YRmshJ9lkbuX6Iosx+FhVPnjFud/vVVIFvcYom
FMbboLb1wDIBQd+9W/VnPPP+Zkx6wNpYB4dsaJxk03lqpJwLqkflcx1V/Rcwdbd8puDJaJ15dmM2
HT1y5rc7JvdGHKcKEiOHgYbtaoatxFWih/icwccYMW8k9qWRNQ0Pup7AHl5X6P3kdF4q99EvkHj9
Bg0OFGc2+Kz5gtYw4TlbA55D6rsOYUGShEzIODj4xyJ2z83GkCQStBLqGllGRyPIw/I9Kg1g8PRA
RY2+iYf/OXxKuNnbq1TH+gXy613/lIoJJPANDgxPLW4kJ+2a6KVA2A7O5wa9MfKg+4ZnBdG4nedp
qvx07Oaqa4o049r/uGBdz9M4KHWzcb4P+Iw+sk99kvnhgdTcI2ELLTkKoaPpBAgl9x/Qih4PCBPj
eDSUdrZMm3VIAJeDc+th8jGCCHRgrvEu0I6oNJ00ym0P0PIagnuyUdOtxUiXZLiOolXtV5Af239F
FLZJ+QBryJt6nzZsn0rgcfQ+PvQyW4p5dv6aTAkSzqYdb4Ju6BPQyzMYAtB3RJ8DQg0k49WXaAec
/CjAkAnP6DNtKw4iGye/nDB1yuGB0+9oD9hh0eN5xISi/dbss1UF3hQI76JvkJkjYg6rKpq50tAv
h3iRvINEmuCF9Ewv523KZtjVwzcb3qXVykSbRxSyh0cvyWUTRt1a13BXnFExIfj0Zbdb6c8OpAyZ
p9PmBmxjzLteF5yd1VkbF9flCkXtGEhMlWbJy5QhQytXL01T8Gxl4Po4FvqXlkHppYyhN99+GdDQ
yHI1Lk3zHG87okcdRSy5ZjxRtFAyHdJyQjdsLaZxRWsrBy9vq8sOPK74IdOzER9gCNKueYAKtD4s
oaJTHtI9QwYjdeJ+RgauCjkF1UN+gJfNyq+aoD3/yfCl/GeLBJXdUpsMvMgG3qePQ+1jiCZrFAVN
a5V6CiDw98e0s7EKOQXZfkUDsxn3GoW6Q8sBi3pDUghf82qGGbW01V0zxe1+TrJ4G++kRp82Z5p4
6KXrxrzGlLTNfbpXI6AgVdyPp0WsUfoIihpn2FOG7B7znzHoI/wbvTkCXKRVgakKXX6MXtkIBom7
E+doQDvlSzyoyxtiKHzKxEjdgfeHAkzdL+gf9gX4Fc4uOTSHkvQmZilFcUldNJ5a4CzWHz4N0pYV
Y5W78ojXvjRU6/4wECLmMoUjjevz2ajQHFENDvKmyiC/BvDlcLEHg1vaVHZNK7frysVcFOCJ1JKW
UGKIsaHaSmGejVHoVF+zdSM7chansxOaBBOm9TNyuxx92KTPwc3bu3LGMhiO2bYk8ytvaT9EqB2S
zJG8JhAx+U33agCfq8eEzOEwVcgTsyIajLxiqU7Ddu4TQcQLNKOVu/Uo7TeNL95mXYYcZCPTA+Xt
sH2O8G1klDeJI9NyvKhZoyBdxb5m98ulgr6poqnfkHwBLwuBqVDV9UNQiUWxYhbCsMGzHj0rXmDW
QlGtxlbJ8WcbUF0DThW4il+NW6MZyQCnKJgmB7rtCreayVxbOS3igSJ41EgVRbf/6htMI751nZ/6
Y1ZnY+TxdDUZYZbMTPshQ7qPvZxKntGjRmo0vzY6o17kLpFQa/Y8W8SnBP25FvYv6P+7H9JkS/+i
o2WKHqcaA58P66VQhWJBEENa8HWGrjFoc9oM50Zh7oVFkmlyNByFDzvAR3GZb0BKrakvdsyQJlS6
reEtL2PKnLjxGpOkW2TXgt0iLcrsx3HoenPNa+Knc7TAzPwbieMqLtglZzsuk4qWfOCpj26nGAJP
H6LFLi1iHGToC4nMeDyERQlz31oHoouiMV8/7QNQZIWILYY8LRlGSMyYOnI/BbO6+kS8RfAf4W/Q
rft1tMNfGykrdA2Hs9c1Ccin4EFdJHxzyylMoyQngy67vxp6tscv6CpSet32mAQWOlYAABxA3YyN
KLE2d/S2Lh216DibNF0KwlQX5dhzd0zbkGHWSCGPcYwTQKvnYxslmPewESOekA+wWBN5mDdNS9Nw
mp3ctsj9pLMtikdIuqV+kejp1fBKmxaZdLc0Mda+UAtV9VdeZ4u6RWLb8uNAm0V+9B6jmXKoRVeD
nQhw6mM7jgO7qeph7D96gQdzE1LR2+t4gaXO3Yp7TWE5Hnb62C1c1ddbZ2T/jEKvrdYiXpAtz2U3
CYW2dQaNtjYuFmxmHRXQ/mBBl5gDciGPPaDBFwlj/hUKhrFNCikhgKkOCqMgu5yRgBk8WMc7bR5x
To9oPAOMg1EacjcZPhI8dpCrJG36/RnTk2o7rtjJR7nv/BZFNItu0qiSSOxYDPW69DLGE+lV3DGm
r/qOz/R2HyaQXJM0TO6rbxcJ0Yp+gXTI0dV6C02eeEY5ZpwpQFfxbMVaMDQ27De1QrL+cYLsgk2P
F6nXBD2NjcJ9XZhdrl0hlfd9GZS5OMo5y+6pqbLxnIFc7k/zqBdS1mvQ421qoVODFmmMeesUDF+O
LZr4SR7ZJImOmFG6thxELVF26tlqZEhEteT7xmHzflPtdbc9QZIhc+i9N5XZf5GRkvqH7qd4OMcE
VMdzjK7vfAeCtnGfBkhSI7cZabbdJllkw29hpp2+DaGOLBp8WyqKXSIdydFfXjBbaa0F2G922d0S
K+sLF2Aceja4ha5c9jTtC2DjGWbmWXZBNK7iKAEmvR9WOAM/x76v7Z1xezJec9je7Ze3zStwHaQL
sG63POt+oM0XkbKjItIWYq2oZwo7YrWrAzLrHgckAumlzPdG+wcZmZUUIYoSg80iZgO6hKaXJyg1
2lXIJAyVD5avQwRmd8vbX8vlfPzFFzDVIW9A6/M8yZDkMeLd8JEYkzrsvZqq2eVaWBD90WKCURRv
4jYuSUojwGtIPVf3acOdPyKMQgtxHcZ2fXXdprfbaeeKfjbbwjIUL3O3XIfA9+2z4EqvDxcNR3Ky
aqlyBbGbOUc2Wl+a5XpbceZigPkoQpD82jZgGtxjUKKgwYDceEdra+7RtaIwrsyo+w7i6ixyEItS
f9iY7tG1M3PzBJhEgoxohSnzUwdkI85FeGxAu1GuopIvXMcS4N4xxjxrvRorM08ub8H3y/JJAEdA
Csy+zfKKRlKN5i0aNrH7jm7F3kY5c0hfu5wiyjr0EIcJbI8cIvWoO48b6KEwBxq3jDVfwbAOi8kX
DxOb+UqtjrZd4WfohyMPjdlGk9KQBlCO8t+tcZDnjai4wqSKuCIGIsjmkXBzVUAomTwT/HZ0s/qm
1mfZXHq/NcrvTV9iZlY9TKk1B3QL9gW41qiKzv9eLVu8BZsNJwh1b1sZs25a8j009AEDq3EpWQXy
9/sQTG+VhVjIRjWNdjjE8kuXfWLr+/DMbwWF6EBWjGtwXdI+CTQtWvpOCs1bOaEJgoeyajk/4piM
0USSa3xnEa3tn3B4/0CwCiOD3yOv0ApLHRBpmExE2H9zM7XuRvlogoygNRoNp3TtYAvA5Zw+bhat
WxRYXRQXU7ThPf1rCNUFVfTP0EZvgGU1RjRbGxl+nOBmOpQteAR3AA/OBfI1jB8xixPnf/1JfwSm
eoMzM7PFUgOm+AhBgJl/dGGqllLXyHNLj5MJ6qRQJBmQlW5h/JMn/AcQzrfqRB3wYThNUnpkAp4c
DrIzhxm95j/5Qn909TfoMw1HP8sbSYEcUT96k7x4oav3UUfiN/BQpOmz0nVFjwG2H3ljwrldBvLO
i79BmLkkceO0MHpED/qAQWqbVwk6j//6Nf/RU3kDD622tXVUtuxYx5HFmb5WedLg9H/f1S+f+t+w
rWmvCdBBeC7prqDN6yRcJvfp47+++B+s0Jj8/uLMJMrrrcNyabhMf1n0lHwRs5DCV0ikSud6ARr7
BF4J1e+y5yNvFWEaUXsOGSF6hB0q/ZzNxt53Cdqr//oL/T24/pPd/VYPhneBoC1UZ0clZIMOtByD
x3AF/72GxLGXDJk3/mbMkpFdtbr71O3tpwQrjZ4q2y4NapW6OcCd8de2Elg3544jJfvPu/s/P7f/
W79Oj/95H/Zv/4E//5w0iv26cW/++LdPk8L//3H5nf/6N7//jb9dvU7339WrffuPfvc7uO4/Prf8
7r7/7g8H5OUufFheTXh6tcvg/n593OHlX/5vf/hvr3+/yqegX//6l++/VDuWKHpM+9P95R8/Ov/6
618SeqFd/5ej7OUD/vHTyzf461/+3/irMd//7dF8//Vqm//5m6/frfvrX0T2/7k6syU5lSxdv8p5
AdoYHbhliCCmjJyV0g0maUuAA848Pn1/UXWOdZ+yutlWGlKZAe5r/eN/uQINkeM7poE1/uEZWf48
fsUV/Ao4hDB8y6O356EdVVSf5nxp/78MITwXJRbB34+cgKGZ/vUL5n8B27Dy89cJ2+Qs/H/f///3
Cf3PJ/Z/1FQ/N4UaB/7Wx2H9Pw+Uaz++BFC54fuUOXvOf/qdBaF9s0EMwaGfsmV4yyfPe99dTbWR
0/jiTp2YN0Sawf6l9LU54L6QeIDpRftfP7b/++/63/+OB/n0H/8S/hksPD4Ug2ULsjb+41qh0kUU
2uabcUM+32fpbRNwiZ+e5ozWG0rY/CvxNsHOO1WnIH5tMyVe5WuxIVcn4f8qDppRNsemzOsfTo5a
TuUgjPBRRUELQuo86yMKEqp+zQi5/vSUywJqWXZOGdtsRi/5wDxdkBdz8ljWQ63TdsDSrEpjrS+X
yHLcLVYZPDkT2fJlAIiyIglHwQts/kVAnG2BbyJnlfz+LUCRY5z6VKw/G7Qv4STtJzYGLcFs41TB
PozWTxTb1c2xcAwHGLfJ1SXL7rKKMSyA3n5Z1rj/Y5S98+7zEBxRxM7nsVyG5wJBgQxkXhaQTEvz
C9vHcJrE3N9zezTOemOYkUAdehC+PT6DB6eRrcwt1qV1rpo2YUxAbwRr/YFSqepAhrCJ2JxWX8aU
+og3dfMjp0HiMDFhn6Sy0mCfLfPa5Zl24Lfox9VNRdQseZ8Mtu5fM81aTrP3GHG36kCV2xbRFDld
UOAVID12FrdL18buhHMqnDplHTZ3ceIU6gCnqRjfnU5vI79orMjNuvwNvanz5e5eyoHFqGuhKk7a
wdr51rrnvdy2oBbacsvqUr5P1Dl8Wxa4Qcl6mZi2rQd9YxZxRw9raO39/E9XSy8WdalebGpJuCOF
Nt1o3ejPRWbZkQFcikD7Zudd4int4nU5d96qISTV3TuV6/kW6GVmhLsOml4rE/QWpN0tlX8sSc4N
hkE81vmtSkSuRSrdy3BgdRvE8ExsjAiqnJ3HnTCLIootEmsmqIZEO2QyZTl+FZJ+ETWMDUBRNoab
0rRf7t6tsTcrOsIcpH+PqD1YPQ2H2UNE28IbP/5L/JOxSRwB37JvO/Q7PaXGvN0ye4EGzxvjRYez
eZ7qeb3rrbaHHXBStOyYGoDR7ujhIM3raT+22Ti+VJUjjlVl7y/2mMKc71oR1hYw6cwe9Fxuhboz
92axZRZOjHRFnFAj26GTdwhClG6GtI62SYNt8LNSlsWn6XYIGEsEsH7912KXiY3Fr99RQYO7sQJH
/B0kSOWdSOYVA9eKmOjUOKN3VCozY0ttPhlctZuFteb7cZ/pXrgiQ4v6zCqSHoorLrNNX0lObGDq
UP46h8lC1sQRIXjXBtJ0tHaFA1f1VieSu/C85W4aTNYq7qgUrdd5ZSpQw9Pa7vvRnxvn5jX2dpSV
miNQdOOWefnd55CJTc++61MdVjkSt0xX02U2rOL31vT53zpbp9CvGOoNkrOuG8KJ++5a3VfGqZ8g
fRDnnoTum1rs8bSr2Tlo5HrcB/7ZYQf7+pqhSfhptl5xFnJ0knGZpt+9XXWvnMweXGrT/zC7SYKx
yRQUT+BYb4G/FFh7JsqTZzshs07/YDCnaTs6e1cvEboiUPSh7aYDrdXLwRl8r30iz39REVYreZuA
76K81+RBZuAJeePBl1MWnYcGPPAYmZ1uYfKaZoseFmsR0Vykn2iP0ruNbHxHdeQ3ZoACis/ZZ/9B
rWZ40wuKAVEFpj70n0PX7mFppNmdbo76zOU331ILzQtn2nYctkmdl63Ov7eGmufQy3re63yGnVkt
vyQjalFZaCLDsK55WzrnR2eCHVut/2dDaZ6dWqW6eJlGdfaQpH3ZNAEnu2yQZs4EA8H7uuKoYHR2
pOJ++7doyq2N070f/7qDNwTpvI9fNTaGhDLBu8q1b926DInSdANBPvJsj6lxD9rK8OsH5zHy/u/2
d6gLQZlGnjVfxIRUaDI3voC+uKd0gYXd6lqdcjNdqujfhgOW+uoZcfhsHOsULclJyG32r22N0PIP
MrxhejVkbb+RS2Gth7HV2p8Dr8LPNDXVZ1Pl2g2PgcqDtOGCjo2er1b7O7khEpE5l1Rqf2bz/FXW
vnbZPGdNLzrdtqFABSJCZwR2/Ld3gWA46wwSbb3+28BAliM4dbGJv8ZmOq9chcRTLq6s5Ms4DM0J
iUzxNrHrveUGvowI9td0nuba7/5mNdKXOC9c8U11q/UblcR2GsGgjhuVoxexzd4fv3YJLE9NXSaa
ZzjXVNr4erRu6d7I3BQ3tfJTJfnEPc5GZwf2oHXitUxF9722RfdKcZd62+quS/AxzYdsyNj9oCY9
EUBorzdrT63Edoosdgdml3/Ze8d5cT+HXK+8+0BIlDzP5asGAnRBETkENpr7WC+btA0luRX6t4Z6
tO+LIycMpG0BAFNXFKXHRTM5PwRknLpLiJMmHgu1y2BAQhpXhtYPAU0dxouhrIbjVste8sVZvqq+
NT4sbbHemtGoz75BdpRprc09rbTsQwkfrRNuUlDYmb+CWWuRcDf9HFVrsSDoN8eL4dpg9L6nQbMR
PG2QFBOqZW8gaFbzAHGlPXjydP7oV0PJqJQdVIdQ5fq0lbU5xjtyCyvYHxAaHSnNmkhjmaIly07p
0Ky/cldboqbf8m+ZWQ8318pqlAu5EaratsKZH3CIeyUxawQ7mr96EBbrfp9oZIr6zh/wxqO8YRbz
juuKfpxDtaxhOkhgH9dLmyrNxqoE75y4A7qV89DI/Mw4g6HIhM9iFUnFO4LyHClmy/1+9KVrPNNx
saNdJzKp3Bsx0Chr9a/8qYMjt+KI5ImGldpRkaAt+0IL3xbnzZbVkRr64atNxR6k0tkQaZmEXaGt
5Tqy0Hh3jhY0hks0arNn93nfnMNo84zaee9dBbaBoMh6tMh20Np/cv209uoLePwnqUiBtAiEdr/6
ebHMEAgXRg+d/S/my+YwGk4Lbrlu8zct37rnCj1XbJVpVUYVLYVPD1ZnP26A/zieS/9IYAmqutKv
HqVNdiKzTBwdKkgiljQSehBq56EHsx0YU93Ga6ob2/Ow6mZzbprdQV1Q4y93cq0PZquSl6L0y/d5
SvPAhEehd4f2G4lZ5XnO6fyNZdtsf2azhmDNmkV+80Y/jZTmoNJBOO5aoYR4aMMFPUEdN7VnohhX
gy7TgOYOrtp/2YCAf4tQFu2CvyGts8RZF/uE06o9iK5XVwWL/SQXtzOZb8vPtckt8zxnsxbJxXBT
CtjTrkqkJ9XVMz2ICWN3Er7lJXxoCxNarIxf05BZz/ZiDszVw6a/cdrk6GMpt2+jfCXvilbduJ7T
+VzSd9OX3sFCyRoz9ND9karsujgOapqp0n7uS/ro9RWjdvak/En7go/K0M21YNvN6s+k3Oxecipy
+481bh6QWgRPW7pFpa2rG41ATG/arH+2SDKfueC6C0Ux9sX3NWgnG1+SDc2C06JJ/zqIzuPSsNz7
6hQmA7Q7oYdaELvjdtA+NbFzhmxrmq6h3yr9WLb1ELuV073ui7DTYB1N66lPdT8s/H396eCTedk4
xY9mpukA45gwakNV4VQNf/oHD40CpovcR7GScOhA0pzdiBxjeUp7hoJisS4Wn1Ast9JFCqM3GO1c
OxZcNHDqnYzrInVveGbyT2Pqnzqk+weI0eFYAR+vfNf7eO2drLygSXc5SMxqSpDsMbhluXnSbWd7
MKIocSp1qZrqQ5j1Hy317uPsNYis8jLs1lI/FLlaTlrhcTORgNu47hAIY9zvVdfVvykAne4N0xcU
aprR7lPmCQDecnaNXyVhHiPKt0NplQCG65ZYmp2zS+1LtOVbfTC4kBDRZ1suQxwNCcq2LUxNki7y
01o453wTaKizS7kX4pa5mXFRHirDUuKRDPfWaR/NTai91/ofj34FIxjm5Z2YUYZolTWh8LaWGqWy
iMC0ypdsY6JN+8y+eONkv9hG7Z1nvZ3j0ZB4TTQP/x5v+2XaHmYYq+kNRlClPx5DJ3Q3Hg1t7auI
asIkRQF5ROp5xhlwRB8ZGV5+hGjlmd7CRTlVxNRRnKHsJa2Rcr30pqNHm+BuCvammU6GWxsHqUnY
eNuB3anL3ia6bk3soks6nRlit2cvdEwB4UZf8Snda86/eeajTttGC/N6Q+mK/PCSZ53/pTutfUTV
bXxD3GyH9GBW53bdp8jQjOxWaQ6eocWfk32W5g94feubcPf2lQlYnkYSez5LlTYnWvm0V2OenNdy
70rOSgd1q636/NqPMr/l9GXEOkPbb4Pg2ZNntJYM7LH5x6KYK9Ds8bp28kIOhBNtevpLX7n7rC3c
iVANp0J7hzSCqtxmEbSLPyTaVrmn1Zz82yIW/w23wRgpTDZhYzDAzq6yYnTsHsrX9qrnFFAYRRMJ
HbuSZbNF6vWrnNeSOUH1P4Hh7KjGJxNiCNBOg2Um6A20s24VdawIuMb4Ng5n1y9fHeQSjqdEYNr9
U2N+6/T1NiF/J4rqYI7ie5kvd7XoRoIl7g0R3CHT0K3UfZKWxuNaEhkILBIaRsNvfeZ/1bWPybT4
2QNshFVPaU7mKQirdaoTH5dVwDWjrmSimjzHfXPyvfLiOXmNN8beL6In2dt1vCqpS+9ob2UTlmhD
klRXD5NWlR1pn3nTLXBfb1NzSAn0Gu0IIkoejkacdIflCqCz/G2ZskFC4MLUF4sSkZw4IzGaJXkj
rcgZK/2I8zA9NKWbXtYKcSiSwCHx8YOmgeqkey0ySm281Y12GOAT8Z7VsXBPxpRfKJxM8J0Ta2EU
zkfbuuNVp4T5o5A2Lph+Hn0yTAhKPJZ1DdRbpps3hZ6cnMM+FO2ntvhV5FmsKLsAZ653v70g65nf
UOU/l46OLsTh96OXgAI9j3X3R624+Opy0+og83QkDfRo660XdcC+ByCm9iQ9LEudtZYRnbXbbTcR
qQrX1H9bfH8I76dyDF14u69J87rTjCDoeZ2Uc0hxlsH/+cFAW1o8d6t+EPMYTlaqc+Y1X5bQ9NcZ
ywQbzupvL7WOB5VgH9EfRgdafaHuJlgWnR89vD4CkMWPFw0XXgDHcK1h7yLRiuXqkr58na3mlhWE
Ve3GHzySOfi3e/b9t1UvYW+sZ7KiT/VY/Fqy6c+W9cIK9LZhEDe7tQockXXJYPTNgWtTI3OpWiNp
anrcaPXyNJUz7i5XKxJurgSxb2K4A+TMHC26h7nRrxPPa3ih3Drmtv0jFvNJU45/HNw9cTTj4mDB
DJi1Dt08f5/MJetDgoLLU8d18NYb+vZkpfn3yTLREzfap1X4zr2W6/iThMo24dcDVTK2uCwQJ6tj
G2NE0d5W37o1FqmKctVDt2nFtTNxGErH/OIAz5AodM6nZdVGpCE+i7zN+KxdgRtCeH2448dkhkbZ
XYZIFf5M+mAGM1dz4Lt4fkpKVYOtFn9LFz9yXpzqcg3zpX7vsPsEJQqbopvh5rjAD5SvYpSyjpXa
vrTWs3l7tDIulhRBXYXW7I0lezhUdnGTKcZt3xifl75i1ENP9pwP1oeEPw/d1UIIVunMi2TYH1zD
nFD0F4eVCNbQLswKKM+wn9aV0G2vmlVU9jKNHCVizLwx8dlNHzrGfLbLq+brl3YpCl5H9YZUPJhm
dU79wU+KYXoSu7/20TBNfjQ1Rv2edc365avxjE6QRCwWjqBu10R01Xok6NBUcbVuzalAjnbQCAY4
aUZuJuVgzM/dPmc/stLoQ97Qn6z871Zfhcuz2QZowf5xwbne0Ts0J4PR95SDDMVqna8afrtA4Uo4
6KvrJbZZSXaT6Z7VwC3T1LSfliHx7MptyoJC86zYaLHAqnFGyt9u7dV0QcxYG1Iotl284VcsQsq7
11uz2ytYpim6kxByinptLSLlr6Ru1irwySThg9IzLLJpEbvY4fyga63iY3ZW+4nnLKbf/koa/3BF
u7sHjdRBvU7YMbyYPztgkLC1k8mmGDeWvkV8Tfd3u6eUzPvLm5/Kt9ps8qPbUHCGpK/81BTId+f0
zxPSukAWehGXKLCRjWqEJXHPMyejnJW5jQygal8Rqc3Bzpyw7a6N9ELr1GlvyzbsluW706Dl3jjF
T6LI7FulmyWKl1wDIq7KtguAb5iWl9Xyri5h/Kj9yBxwI0fy+3CbzVGuyFzkpfjHBepC17YRliXk
+iKHrDOi8oGH+7qLiBE/XWma2Td8reV18DBXKgvBQDwUMkVtmj68lem2yuOCmuwH9rnxOJYW+cZM
mgxU5RTVNjdyQRyMDHry+TTOhQ2Pm++4c3adxXbByqF9Yn5DqNc+rKqDZhjvvuPQVoIuqiQnoKnl
lWiI7OKmrZHQDaIjEs4UT6eq9zxYN+E+uZYoEFUNXcIfsWLdLEaiDCzzs/Ar5wST1f0d8pbRMbWH
69KzMCnN0l9M5WR3TTTWsctJN8bawQBEPJlBnPXEzTu3tXPV5zHqGf4swzexvoJSXP3+UZ9Qm9mZ
sFjznYNf3Sdh5cc560aFUobqTWQ2VoeYoyaJoSIQHT1G13L1uXu42d0MzNZNIGHNZuY/PcF5gTJh
KT9Mw7tNuE0BMxf1LLtGhMZq/0l93fqlW0aTI+q00n/SqqjfGUO+S99B4Fn2L+Y0vJt+OdPRCeA1
oYUiEKZFCOYOl3XVeVwdgC9PqDlZtV39bJ3CTTz8qCE8sh7PDQrhDHgwyrZyf9aneQ3hEUhEoEwW
2AxXKq+WDUAn8NvWZKo0hWyfvNLC6NatLlWp48e85WiLzJ7CdRQCmIGwDpqOeNrHrECHO3Q/bNIf
CPBP3eVoOZPdhZNt5UHrsNhk6Tsmdv/k+Y9xh9wS4U2XFbE3B94qz5vp/i0Y/wkoqceoBILiJMA2
G87TI2GiwsQUDnu5RtNoqKvY0+fJ3Z9FJvyXHAdkSN9qe2hG87fKPR5Gp7Bua81s3MuHG5F4np8P
jwZJJv4PH7duItocW5Lj2RiNiNFAgdhqUESVPOHPMBJuXVZj81wwNX3IynCeEKp1Ce657Dytnpaw
2KEm6quXsRBasEJMHdxuvBoM6oM3zgTwg0rGs7kPJwIftad5Wx+WE/s9J6U2UmUNvdKjEco1MUcT
EsVNEUyCWzMcDeuu7Z1+NVx9D7yUdFXDy1iKy9IHGRLlZVTrq2H2vJy9crF+LsbZTP03FBv2JVfq
TeclCnRneSRU+DFK8Pemkk8b/ocwF5iyVjw4RrCXhuuG5JfoiVD9eDCZcDgLgUbtePRnzuTFLUnR
oNMyBwXobR7mhYQTQ3AgG36Ps8TXxD+N44JaYn8IGSx2Pl5nODU8htH2CCthpS7bA3pZeRvzIX3u
930/b8RW3jx/rMKylR9OJl7EIP3DhDdZSONSIV/1QLuPtjMwCm7Wi89cdCnwKpFyHxV1/7lN8suZ
G4BWPCdh17hIlF/SYc6jHYLlrXesOjS1pnq19Ka/dEODzj0T+aeDPTMp8blG5Ac02EY9PEKGG3V5
a8cUY2vHesR3Ob2scE23bMnlWfKu/azXtEjDym0Zu0cMq/ifeAMy5VyNyYQX6+wat2s7njPkjdFq
9CdDcJ4GtoOXAlss02DBtBBId+M6qasUsalj60COgq61rvb5GL3a/NS73H4MQCgFvbVSvwj/GXl/
0LBf+UvlGVvSx+gBUVWaeWg4327+Vkk31DCP/96pJ4u5D5eXYtnnU9aqMg98dP9f5LJq7+z9BMDw
KH+uqprDFYw9j8opH+6cC0PHd21XP8Tqz7/R67HXARr4M6RQWTr4EpVTlKC39vTpjENxn7WV13gr
+RDgmJb8KUWKvAX7WDBmVq3lv1eGGE752uwcV70+f1901/mYiJXHxumCU6nMaRRIpm3ju2vM6p4h
ZETiVK0+HuLskVvsIg5vQ9t0i4+pWvoTdBRjnJrM4sBGbScuKYp7IJoWo66LbR6L3zJ/SVf9zmuc
GuM2/mYt14j9KTCq6p35u2Lgg3DbAawCTQKJDJPuXWZzLDgpGv4X4dgYbptockZK3fki+YF3iV/W
h5tmieEXlsgCXSttI4d2mp1/JAP5AW26OHlpJm6wrOvT1KPJdqjRO/ViGQ9tUTkvk7A50XI340Hp
XD69KRdWomlpD/+EmYnMBf+BdKmAUXH+w0+HupSRFhXXkEWir/2rWG1oSDzTVCrZjhbKVFa3URPr
G8hafiATCkv07OskHnf1GOBgEgWvn5yzyCXaIHKN1PnV4KKfY7vSu/NAfNCHOfpGZILKJnjdrHu1
aOUQuqm3QEWbVmh1gqnSpqkRmw4X31ocYBSPlK8SEbR7P1WO4dbD6vPMg0+ss+ZPp8ZszLs+5z99
mqBUUDDTInCcv9uke4SDnXVxae/PuNcQe7W1j14WSWKK+S0UY71H3fbVFmR6611gmc0TjGDDn++M
j6ztonkrewym3v6J20SPSEzq40lOS7SuhhukVX9GxcvW4e59whaYHwZLS1+nFlOAO4kfazrmWyyV
1yFDnPub9AC/iP11X+0yJVdLIu8lxDrfD3ku05dFLcVhXLX1O3WLf4jUcsLST+276vv6k04aTsSS
jAjX94uXCVvOcSZipw57vyOkCRZF7CQqpv6lAJZk6yilfM8nfXx1TQif2KS+cQ5rUy8ujr8xEmSe
bUSZxZ3slG6Y7tb6tm6lkZAxNR/t1WdBQ4IKg0i4RAN1as1u/LipXRaP2PVrtPIIAgJUb/rnOrV9
sE7DBpoyVw9i1ogkgVwxNud3NjOmlNHuj17TWje5SDIxt6qIttL8Af+WXhhE5LVimgzrjoVmK2px
wXiCu0rKKt7g/m6VzJ1vrrbHBJ8sB1lYWzKMo5uUbdtf2t0oDujB9dccFSMhXdyDwdguZEkxtXTH
US3pWz6v4gm4km9FQgq6nbIvUNPGMz9VZPzC3tqbkU5OCLum1gC5sImMoqWBiOwP9++2KXrMYF/Y
AWHd1jO5KQWRDTtPD1jqe7bb092a2mct2yMFmnfrSPo4YSOSfoC3sLlkBHbpQadj5o2gVciTagl/
9vfmb7cIuq0WAaVC/Nb0T4V04DBqVZpYWcXXa4bWPBoMChdE0klF8eTPkggHIybKcXGDzFHFJ5/v
j83sKBAHRODqglcPML6ytq1pJOTwpRPaccztAmMhxjWnD2xgOsAd+Ds9sm0LV8ZuTSJeSgGl2Bvz
hYQvEXqdmr6Pm7U9y437se1cGYxI3Ek0bS6ucoYhaIXDZQNnzvzfbXnxOqL4Bi6WWPWsjBN6bPRn
uAYU8zy/NSY2o3LKf2iyKt4Hv3f/gYHzr85knItJWm3Avo3f3zOXXnEWGhXmP6350iBk743R9Y9Y
F4OnwtAivbTaH4tPnkSAaQ0L+opb+MJdkP8GA2XzMDvrnpkYMREGYRn1VH2H+F/xTyrSHIbV1i9Z
jYCcSAoIJs3pkG5p31Pchj98bEEiFM2sX0CfuW1m6cjfKWAlawIWy6O1GDJBs4MvtZm6bwBD34t8
/7WsFJbLSfQflokBpegc5PRcp8UX7tL927iRmcUppG/J0jOns2sMbFN6hTqAnSXK/GImfm9VL95W
72GqPHGnddeNzbZaEqx+8x6C9I0Ev2aNTccVtpxswRVKodUyknODcPNfC04JLHHY3f4FxssI+qIx
QDGyYU08jdiTPde8o9at5sujHOrqajCvI+fRKyIPLdxB+iOG9vW5cjI7MUcaYPJRWR9dOZZoHVCt
wPboiDk0ez4O0wMf18reeJLmAu6k97UH4YUta+nLqCkcxERuxk1QqA2gfS6IDDQWAo1wy1x1otvC
UZmIfNSOdQuDnysj0Qms/+7wVxoFgVNN2k1I8pEz9GW1x6ZlvLtg+2GhG/i9OE1j+N36qlXmszOr
/fAIWAhMZ3efsK2Ql1is66+5IpM+GLzFe7Ehv3tWpN1/0gujfoWk9d9MzV6fIbDFL9PL1UXbBLya
0uez7MlxCrOswoHQ5N6bTevVCVH81wAO/cgK7PebVazlASVNf+QqRe+CAew+mfUr4r3yujJzJRLP
TGQv3mdX9zlxbV3BKOmt8qNDr/O8kOKzBvpky8+12+EING9H3FTMhIRZ+w3bvwpVmc4Pm4V7GvLy
mNdLfnZqArGwlXpn6ThPbVoS0WfVXqKaTZ3AMuZwL9qaN2JdztgT9pdd9uCbvevWxAxu+ldKvOeN
V8L6pgnr1evTD39tl+e8z1TkpmxxZT9kESlceVSv8iWHJyxQQyW25/L++P522WQL8lqt6qls5j5U
fXmyGGdfFPa6ZGGJuvpbTbYVy5N1a12/ScD9fntD+27r2yXLIIw8zTmrroa00emHT2S66l85dqPD
UNX+0bHt+sOYXA6uEU76pKQ6G42YLmACaEJsZ40Kw+w+K+zjNw+9LKVtJhaMHqKaODpBFBB6pS7s
cEUesi6TiakVyDoakpZqvcNYWY4AAOu0mXrQZvCyua1XLxzTZINAya8xN0dzgJPUL5M5/2l7A6xn
yFCtFgvQXgUV+cS55YTov7YzegJ8iH62vs9jtj55Kl0Sf/L2VySWVbwXKZCUb6jXjuHilW4EM87y
uv2+VbMkiWNa58ta6wTJ+Ib3V6xW+jkPJUbXnaUURDrtSt78nUgpii++qaLaorZoQA3yRotKZZax
gyHtJIlNO9W5a74YhSieLDUAlO+082L3tcZnsIH8d7XAJwdFq7BSA0QidzDEZROD/WWUy8p5tg+g
hqtzmfaNupOtXCt0WwV8gmP7v7vUt/F5GtlvQEJmCPmAoqxOvhQs4TWLwOScvfHrAQV901NUWQFJ
hOP3PRXmJ+hG8R192n4H27DizE818nF9+SfXbON1I/zotKRN9Z7KNI+hBVjvSX4KLL913xzd0I/5
1DkhaZP565xBn4etPVXnkb7vv7ip5zfF9Qoxs6X3zu8cB+1EVSf1KO1YI8LwPNWWdaBIFVZh8JT+
XFXb8h2YRdygrKrYawgY4ZG3hzuMgf1WTyzgWrOVb2Wj/ZJDT6x6z/1JoNCZ1M4BOsfp71m3Gj8d
MkliNmcUGKoZde7EQkMYRLrJ2BFBOZRYB4Fn5lecbwyA5jL1UUVTyWHvATJa6S9h65vGX1N66QWF
DvnYODd79tp0yp8FwwHW4zU91w3v4dJ3tLGvrPqszqAFsFHm69IM6av0/SbOEAK8q7R443Zl5nHY
pbl+cT7WrguXlpeXoazWD7Hke7KNeAlsrUJtbTLWRszI5TdfthtgtJbmX7NN9GZAmfkC7AC+jWML
Xkgjsvbg6pZ9GUyx/1RtIY5eDns3jDVpl6ycIVZTriu4vjfQMFLHHPeh7ntg760+DX8R12whncXO
246j8jRvU4VPbRuwURf+uS0XAaYBE8Or2gWjjUCelE4XXGETGkGZwOY8ljDY9fqEEeCl3o0RZdw4
HyY/9Q6oyZg5s0I7Kqibt2EmuiibByfRbUJKw4GYxP9m70yWJEeuJftDjRSDATAAW4fPQ8zzBhKR
kYl5Noxf38eryEeyRNjyKNKbln4LclFRXhnpDgeu6VU96nConL3fC1wlnhRL+ZzhJmcW7Kxtkis4
C1TA3rRp397aYZcdYyKkHOExCq4y1/Z4y81f3HCMy0BTmt4oQJ3Gyslz7kH/C69Yml6RO9t4GB0z
yL3ql9NU4WZywvw913PECgXL8LPK2X/QBzDcDWWYApTphhtS4QInUokZNhtgksV2Wv6JSf7/2QjP
qoLl8DW+8u/d8EEcf2qddNFn+69e+H+8+L8M8fTO2sLxPIuFHGn4vxviPfFDOo7vK1fYpuAJzk/+
ZoiX9g9TSFP4vuD6dtUV4vx3S7z7g0uCZ46yTV7q4i3/DzzxcN3+YkVXsGNtrIXSkz5O+7/WlYsw
HTL+N21d8vNyO5ldG4xdyjF69ktKnqx66dJNm5nwa4conFOUeyIla9wik7HSStvB6Ct5Lkci9xX7
EVwnULLOjuvmj1kyGk8Oks2BauLhThVlfOLGwfG7dWilp5bT37hWDQyx7OLvwfJgQaENefFax1a8
DyeVvywRDI4gBNV+isySvV4sFYL4GM73aqoKLG3LIxij636dMw13WTKLlDgxQ7UnUHtlAEBLyO1c
9X0WhBMG4MDNZ2PcQc1tbpJqxgva54t4DJ0kf7Mo/3pEDMCIJWT61XhzdJnzpkByNgBwRZXvfEyx
7WLo6NvPkcNF4JvZgT0GqR7IPyTzUzMDBYtaRv6ty2/rJUs3JX79VSmnUySA85u0AQWJ1cqtKfIo
ABZZrzGFmV/QKaeCe34fklrxkgwfusq+Rtgr0yqLcv87qvDYSZVaiJsup3qynYbk/C3ZuWlHjBvf
yq78qoRsahrJI6dnI+AEbgdapYwEFSpkUhLJdeWUZCy4YXXnaSlwZE9NuYntJbPWZDjdS6/G9DMp
7eKXkDh5di3xZTK45dDRZkt/6nnB+YdIjrkYchwVGIF/HVQIrUd6hUueh7kEp3XR3ugfJ7+s31FS
Ox0AhpvFSk0J3WSWC2ANfnD8VuQFKyWiRvEeGpcBdOC6E0LzBBsIxbQpgaHhgFlVYeszsBFx3HPe
7L8J2MNRRHKZ9jgrfMgjLghhGSm2ZTWMgJVreVnNktDsnrVtybuMVf05VOwlWDhVn5Gw4nSldNn4
Jx1xKQbI8vXPhtPle+djLF+zkUiA6qZt/WGiMterBcNstqO9oX00Xcu/s20TFCtuEP+cYjq6K+Km
aTgigvALMBe296w3phd2c0W7Cgth/Oprhuy1Z5rtm+1mxRdnlGoHroyfV9Ifn6hSZ/KJdOFNkMyx
5O9HefV5DQbHCQ2KgwFUjjtDT8if8Ti++GSqHxygmwcLrybf26zZQ6Uy8GbUMOxXHG7EuokcGtND
9nJfEV+u60vDHERmm+fNXiRd2m5wwXiHwUnUHUYZHAfSzifxGjXM9wi0FqmKpsI8HlIDt/L6it8a
NibmYasR0aqD+mYih3jRfuli3DqhAsErl/cxmjb0RjAcjtbPavC9JBBZ2n7xDL/Sj0x7ep+GtFw3
V8MksfTxaRr7+hyzUUINs+URwQRB14k0P+YwsGnmqXtdCJPH66jTNob1EVjvpKsjqweI1xbsqADS
SbmF6Y5vaPLC/TzHO37vZVPBJQiGccLObcXtrsfph8vVDV9gyxVBqS1YEbC9VWCYPUv3GYRfQ1K5
aNbxUsKdQ6gRZlCMrGk2MsxsFPu4SX6l8DGfQY/FJ5GZuG8bbSEgGrYcIVL4prltpNVCyWya/r0g
ZtHyFeHYusoSzE6rpXCauxq9at4SNyDwUiyYL00DBKYmacU5v1f9TdNc4yBzCYtc40d964QbUjlT
fmfFwDq5bLlPDzkgh9jPYiCeveHA3/abZ6FlegGFQIDbj6fh1Q6j9oypIX43B1zQoCeKZcNGwOm4
YEMgtwW4kQSuEAtkgJ/5Pir0T9FcZW2vHKojjxInC6I0b75tAxDSymh75rNSj+MFsz7JDt+JZmfd
mSlGOaPrIaTZMD88RJtGufvez2OPY3hkWusMZvUv8MuVDsbJRS6DGhbZQ8F82TbHUJHFKHinBAcM
thKM01TZ7WRndfEewJPc2onSYl8sUDuCNLKudIdcwaPJ2GOiRPnC7oAotwDMxtk7Cl3Jtdl1wGu8
ZeLm5OPxYOtaYEhJkmmdj03znrgdwffa97x7XbfyhQaCkC8d4FnsV5V89tuheWON7mHEzCOIPi56
9sqDEHJba6+8VXBVnpuZ0Ay3DcXl43ZoBtsZma5Yd8lwmV2NyGpPdvTi0/FerKfKNX+LRpjeid8w
ttZqcHK5ir3Ze9eTJyoeULK78L11in1oS4747eioJ+5N7RmfOvy3sJJbgma0qoWYzoPJYGe1yhmt
4wCYvbk1mio5g51xX+f0iiKqpuI2wx0e5BIAgQ9l/I7gB0rlYppseImroKY2L30kAH2wZlybc/9e
C9d60vVg3zFwy3WPAXEPLEw8NaIyfuG7msKVjCQJaauyDqlIXQx6iR0+FSJy79wqeaogn96F1QwT
Yi7dK8Qize6MVAJTteuqD0AKOCCoQXrEm0SU5Yz+amZxMLsppusw96brlZBb9WfCiXhLpDy6RpkJ
YpOoHffQAt2DjhgdhnxcfuagANdsJal8gmcV3xLX6M5gGtxNParkI9HtO4HlZTf1/rQL6UYDp1wk
n2E/01nijdmD544l8paDU2iIy21jjB5SpodloBwbuC59jNgsu062F9cpig+UkiVfeaacvI3IM5OE
WCvsQx4BpA6QeexDHyf6qVnGivRFG1/8TFDA1M10JLlRCtKvgtorOtva2dyAgor90JPDo+WeU5UV
QSaBKr+6QnI2mHe7zwVmJ1qFRYqJO0J8GKowRpwe5KOw0ZDN3k+HFQlG9yyiQT1aDlbuILczczd2
ltyl3uTdzAvko1PZXR1Bvojzi0rd/LOe/fC9n7PsQbum/7ttcmhtXAP48mjVczieouGN/JPWqAMn
6sscPriN9cKx+IhXhJJD4Dga37m2q/lVLlAOalIpdxn0ZU0IwqX62+pM61Ox/YGFm0bxCwemuN1C
l6yMG4xv8cmO0mUNxiYMd1aMSwa7dj+PB+B5XbXX+FhfB4NvZFkkwwNxOiR68Bi3o4xlE2in0ySg
DG4PCnP0ThW5fsdHUN230E/wKkZ9cuwbYohQN/musr1LcatZ87lVDURfAyn7ngF2bFYw6eM30E54
r/JxAMtoZ7H1JNKpeUVWqO/8LgVSo9rlxutVNGDBsu1p7TQtn2jbJguhmsL9rmyszojecr4xhrA8
/mGdbjE8DUGL5Eq8w1U/l8XTAONae/7EvMDmoStKY8NSYfjiEJjCW7GwOqG7+Bi9l/F+yDT05T/+
lo3tskzBxvHuD+6TlWqM68voYOysLJttYlnfeYCGOe+C6s3yB2jDyXrKo+7sF7HNdza0uQDtgXMu
UTxo6HONEdWSfPAh6dTXmk05sSlwIFlAWLdIWF961ksKL+bsm1X14FeVehgKVV84vOTnLprzN+Nq
BQgUBuef2bzEuyUjURiwXIAP5ykMRV2upw8vmcV8rHCZzfvMNweOyKWECIj5Yd5rqP0/wzxqd2Ep
cCVBs2K4jGq3rtD4Pf+mbKJlb/Lk+mWYnfoVRWHbb4Y0I8uCT8Br14oiFXZbg0UXtqx8LFU+HB82
7enbYhhIavhBLWBClc+zLR5ezMyPH+i0yQmR9cvdklj6l/XHw7fFELnijScrOEbhA+7t7mvCW3aB
rFc/saI/mQ3RB8KGg/qEjUG2cbS9GPcP5EIfn8rc020FftfL3HEtiKwg1hHd5XPOYXKtRGln2b7v
0wVHx5W917Ehhc7eS+eNUoRmWvWNhgAs6BVkByTqn7bR6P1YtcmlYoN7T/q/eW3R6L67xvH3EJ1M
ePcC4XkCcXfAIQHf2ERvJPJY0u9p+PZiHLKyEXs21hM7CgtcjjPH+oO+OZuuglb3ZzyaJBIy5WkP
c2iXnjkSJHvVjnJfk2HB3g5pd2MSRX5wZszZCJBUsKytulgaVr7Y+QPBbgBfXdUdiyIN1WqYmOXW
oI+qO3LZy57M1nW6sfqU3EiX7j2nxKIwIu0/RFyZ+xHTwZdXLcXH9ZSt+ROsIl8jEhqPom/7uyI3
29dsauYDwQUMPyTc5sCxwiWoSSjxk0EwYhDZO3UCl17lRyR7EiuuwqDKAbQWVd7GrCiS6FZWBX+F
LKtdm+9Dmt73xDpbbSmLr0uBYJandwZVDVgJaIgI2sVxTlEMMnvFuVI8pU7oP+BWWTY21YB2kM89
9pe0gfaOo87qjl2CgXatFtumF4JALSvIRiCtlYnB0TROrw/lpHD2re74aBjjRYFAPoBEOmqeSJ9J
ptiolUnYEbUgfY5KSALIXseatifWFTjkllGzxc4ATw+YiVwcriJTG8qSYkQ23Oot+59vOqdY7UwT
oEzGSGI5bh+3XoBZJzn46Ee/pijDt9tm3EmMKPTvG8w9z4VzPVNAoM7XeI9nPCGeia7Vm9a5UJpY
lRjK/QCqHobkHDdbXHHTC1gwKXYFMdiD0QzhBx6WpAkWteSX0kdGO1htu0Svbj8BboIjxAr4D3Xm
/7ZMdWHzU3XVb/1XYMO/MB52/w9RHdCxXQbO/5OW9dQmNWLFvyAd/utlf6pYvvxhWVKZpvAsH6rD
ldHwJ9bBN3+YjvClrTx+Dr4B4MM/VKwre53qE17iKevaRvg3FUvKH75k+IZd7klBNaz3n6hYtvqL
iuUJZSnb4j+oFN49/6/MEExDBp0OZr8nNzsjeFyv2NGjswPhhljtmwcCn1tOnAcO1tLdgqmab84r
bvg3igDEQ8iqeeM047eeE3eVaTp49aT6NeQxfHLoD49ZLboTBtEUkNZcEj1A/WCyvFe1ka2xC8T7
sjO8VRTVN27NCrlLKESaK+et8utmq/r5gQ3pr6ImITuXhOgiTlulDyqJJyJgf+sGlL5cOZXRfMRV
Q4sGcEtGnJmTBXcx/tRo+Ei6fG8s9CnkKTcofX2YFyq6i6DerRPYZdz1kNpNi0ha7dEowKpiORKz
Vee4DN1pxQ0N0K/I55fQj55Ekn3CNXjLhIYIPuh5uRgAIQGzs+rXPE2CGM4XhmW7fyjmlJxPZp9r
ZU4HmeHzWcK5WrPGZmffsFz18arMExtkx+x/M3jedDMGD7O13HsbFxFBsXgTN122Az/LQRtR+uLi
LQ+MqQu/LGDCe2W37jHuWN0ygEnyZszyLIPrIxqZ+tJq/mgnP0ZH4JlSj0MXSIgO8DKt+qtXvnEJ
1SAO/kj7UKLJnC65Y1+WrO23TlH9Sk2NZOI37m2LS2A7RtwE+9SE2i0qL8CQam/oZYEy5jftsSkm
+eB1y3cNHBO7zNTcjrS8vVnV/GZ7GEqAFMDw8VNsCJ04203Wb2qKJdYLdrkgG/LfSelle/cP2yaJ
SXA2YJh1DvCU6CAdyYU4Vi4hUP6tfC/opjslbv6UKPXk6i49elS80Owx4WsI226NzT/bwI6LLil5
JpZ9FEyYBfSNJfOtzZjEXaBr+xl8Q7hxoTJf+rR55Xr1f01wHzfCANy6SGxihcYKO9TdU2jga52n
jeIYuBJL95IudrYexEAsomRY5EHxngMQA3ndsXuup02mWdQiAnXboq/0C8cJJBnlPVAH+kSDz11p
GVyzfN+DIbYVAbTC8qkIRTic6DwKLylZjnZXLNo+sExKoILPbX1nX43bpmMYpPOz/JapLN9UdjQe
isQkhsk1eBvpbjiGLAzp7YJOkccxtzOf/jddwyhksxd4eWudnLJKH7rUBjRXy3mFlvFi4lJ4LOjx
OI7KE3tTs7rStno2WWTtsmQoXiCMJgEfFdU1jC2aQB2zPWV/4Xtb4XMPM9mciRZEx2UeFcyBwbXh
oTpgLvuw/VUhPq6jisC6mnAAKGzl99GEflRPNseBsbcC3Smgw551K9qQZASDEGfbMbkfaRFbzbXX
34p0AZFOovKnnolA6KVB3nOrvSdSILk4ku7DTOMfNq7TBsbELeh5wnyUSUOriLBC6tGDUglRYc+5
v8w3KKmIpQZHKn80+te589VzH/XuHik7fCVcHAaGcNOtM4h0l8C8OaRuM58a10me/aRuzlHVkL+J
nUU+5Itp3PhFu+wKlnavqpSvIsZ0W0ElJadeQiqZ7mo9yF9DTSlKQn5tbYCQXFbWoFzcEtVyRIdc
uYSqvzCEjb8Yf4pbF27x0Z8VbnBsoYENCDsw3JyNNCMAXYn1jdF6AHMLiQeQ4ys5Ur8sREBTUnX1
CZ4mcJN8c69QSvq0w3U9xO7Jzov0blzC+hyaOr2NASEGleipLEmGXQEx87UUfQ9kumhvdDP3bP9a
se7Z+XN25gA+pEvKwYBfg8Kl5SGMl/vJKSlOpLhsjYk4OdRpf89zyDj0+Ei2jnCiLzyTHD1y4yma
mmt07ur4kqW+xQyGxOuhWFmlhzYnk/PkxdlDE9nVPTYdJD5cqavWRCFhU8KaBZVyPS/Adrl2adJC
gO0xtjTOOky8YifarD1PhiaIXzScx6DLkgy0uAsnV9x8XK59BXDY9v37olU/E+kRIE1Ha2X7rDcm
UVubbEjHwOq7ZfNHrrpAvFxXZfhCnRtPxevvIHPO9VEywsXRvnz1wNwEOdHLTRQu/iXLYgzfcnBs
CCRWNH4ZUc/RJC3H9knW3m+nSy/F2HP3Nfc0diBASu+WlY7PbjmzSE178fggx7jfDl7GetNIH9zJ
rC+uUOkLapvaQF1ggbHELwVgL8eAKwHdpC0DZfjvC7PitvHr72riggLl9ER1HfVu0zyuy1zcLMNy
AdgwBzzt0mfoV/LQG4YftNdPmjE13FpDRH6t4Naj/fK7lMtX71Yfg4spdmUsVrzJUdk5hCO/OlmZ
HKcwukvipr14AmNUZMn7xFSo6yFxjKoc5NrrO5vlU4lhOnWBfg5Z+4QCqdmqRM1OaV3swSJ8wkl8
pG6ImIsMN0o7X/SQ7Ufb+S6I4QVYHyi5s5zv/xl3/zsQM8uXbFH//dp2lcSf7T8Pun++4G+rWu+H
JRATGJhZvgIvA9T355DrWYy//GMFjcyxHHa1/xhy3R+OFC5YMXaoSlK69o8h1/7BKyiIAEztWC7r
3P9kyGVg/suqlkHZs4gU2w7OGP6T/E3/mSPYDMiXEIasXR2a9lMa2cuaE1Z5pJ6gWxMP7HdDU7zH
WTFxLPQ8hOyiOBMI6zE98H/2rvRNBUfezl7TOE4QNxZ1Mf2SUmCImjFRUHousPK0SiHYjfgNR7jQ
5zAjOctMTNwr4669iwhMvvrwkn4vlatfY0oD+ApYUt8q15ju8F5R5dAJI7Ab8OOkMOVxagf50Hdj
c7K7sjrOZsc0QazvENH/wKZDGlfjGIflU838c0pzVK4VVuXyKUvCRRyyxDZOyMk8wR07HZCp1aDo
XC3C56lKYdA6hnNSfjV8gMrEipwaFF8EjTsnL/TfiOfQmUeiGlbEf9uqSGTCmCCAG+WL/PajkPGX
FuLq2HZA92GzUUJLx529SiGKn0WR0hLRVj4OucotqDFTVntv1FQ4EmlK5nuKO9PtQGPcpfTsbOCk
3ccZS2inwKKlZ6bhPDEeqCUK6XNJwvGzNmlfJUOD1RQ4wdzcxFMGUK0RXlFvQ9fGLxrFBPW7ZZ4P
CgsWwQHimIST8a4BE6Apl1vX2XI655CaJkbhwqZcocAivJe9Q8Rmsn7H+korUjFRNthUdrtPjQzz
Y+WLHriUFny6ce/LbLVwT/ygTjHDoE0T7qxFve1c030E2uRuB8tqv2edJwnvRtjverL6P+vMHN9N
PagjFs7o5MRddQ9kQD6PhOQvtCqlDk9XFJ+tU4vU2ExkPAmm2vhGAzdVzhF35LwndODj3CrrDVw6
YmBOZRfHeShdyrzT8ehoLe4Xp3ZPVmqMG1MBqyGdlD8VrAgebWFTx1RJQpDJYkDfYCclaAZ0cJwL
GDS3NWAbFMrM0xen9ayz0xCWFabBcBiGkAd4EEpW7SNvKZR1ogSm4eM6i3oempk/TOcQRGAhlvDD
b8vsaGS2/e5iejy5xsxGTLaSt6ky/RscapVYOW4JaKkeGqcKys67sq39FDMWgpe7bM1wZF7mRGEd
OvgzeNBUJzfJPLQPRsWDzZvTjRgTY+3UzUcNMAkcYFWsST0YL43dTrjzq6OYemPr9mG1dmb7VrPn
n1gObgufw0LY2q9hnGyKXnbbqnJb6IFufLaFN2IDb35C82luCtU+Nm3920+6MAgtChl8mN91zfFh
scfbAryZ69R2YKbXdkOpSNMh9dyGbDb8ACvKpLYjCHBWtci5q8Se2M5UHesTwUaLhyBWPU5uwSgs
9rU0TQLYWHRxJq6gNnwNh2eknvJisGNg8LGqXW4DdL/XChIXz9e89VaLMGKetcbkffSIS/i26fch
9aOj+CcRKUGRmSeBuVRi0f6RFV4c76yeN4dQXG5QIOeN/JK8yBGrikcx+hiVQwYYFU1dyOi52Xdi
lf22N2meutIJuSz0tKMVxN6JwRYbgh60mLbkIYcR7kwRAQCjXDMMn13e2qDXIN/HmuoOEO1Fu4aR
gMWc8ymG71T3W8q5louGRf/ope3y4ZnXUVom7XCiQgquBG3Nd6H0wi0dVMnvmhi2JgPmsCpetJi3
I+bIDeDEkZUww8iqtAaWbuRe9k2GlwLlOEv2c5jQAkFdKTNk58pLq+hmszI/2UO7wFIgW4fLYSaN
HALuLupKb3K7HB4FAumbwTH26BbNTA9HSlitQ06+ktC6u5T27wFWs91/RUSt8Ev6+yVyTtgQ57MW
Wf7WyqjDaIvTAsnisa+HDGCilz3M1JPdKqqGb6WRFTsP+8JdgwKR6EMxDDMsSqiUMDKHZ9+3hi08
cRiR6eQ2B1J2xo3oSlGfLK6m25H2iDN5Y1pwMooMjjTtvIe+r99dI8temqSvLrzN2X2RLfaHJl6e
AUIQEwlkIty3EXLFOaaSNmUJuXSAH2BcjaCBgg69FWrHUi7rMeyTje33p3xebLadA7tijD2n1hjo
qvFzPrplzPJtvhTLY7hofC2wgbJXDzbbZq7BS7MrsY5uTs/w1TZUB51K0296o4GZDD0fUkHhzWNO
s9q2v/7ZbpJYdxpq9haG47yXZq1+mmM871QYcesjPzcHVpkjPeCuvq6W8KieXUz518x0vhtGHvd1
29CUglhLLnF8iP3OiVbaiHCNUFh58Jc5onE9roMkDPNXo+wXvC6ePC/4abKVCcHoWNs434MytswD
lpdvWETZmrb57MuJvSbbLITCnxGwqQG3GT04TTSte55qL71Ir5tZ1nNvhdXxSUtawmWcpTcw2aJb
C6syudglZA1ejPSzsp+EBU8Xq2Vs5qis7vGymfowNsnyhLmFUxuWrf4oulbBzMuG5yk1v9seBtQO
OZuTYkSei+Ni9MvtdbQtFXEBmncIocDhJodujz6qRW7JF9z045PLreYzZJPATVcOKRX0GRuUlZs6
9bM7p/kvamTBcGJGWhdxQqkVUP73OJVS7duUTIduavKw3ESnCMaiV5FaXUhPvPlh9HWFgvDV8k4N
8JNNIdHQaQHdl435KBY+5zmtxuNMUwCh2mYlqAKAIDgu+MrrWdJ/yJdk3/uJc5rKVD0OuO5XRtez
dC19DXY1Zegg0tF9sRq+AUbEBwWz+SBrw9k1YFblqgFYuKbOMV+XjhzvOYR1zHuCRyvayrbmmfJM
a3TOqbnlWEx7913u2tNzRhXc1cLirLK8VJjJc0KilWM8QTTZTDZKVCukdz8iw920ADdYgiTpqznT
3D606J7tUNbfZZtmuzGjdDti3NrTg+i/0UQx34amqr6HTk5bPPkjCxq68h7bK60HsC6Diez2tODF
57jqgR8OcfPhlzRETjjtf7vkuYI6dG5r2SanwuBxX8rG5EA0/xHI9CTly0NH9noejOSU0wtiM0lm
0+8wFON5IcHFwrIw6MZVLTcStlhftDJLuCMd5kDKrnZjMSZ3amaOoj3d37raJCaeukhFoc9eMymL
wAzRp5pu+i7UAmC2bm56z9KAPOpuPZsG44DG8AXnCPedZqE99+OZoTNZp35p3+aDBEpTc1tnzW2T
Ec7gHSXnWcdfNOd816Z/C94DlazS1+7wKHEfqrqGwdHUwtzGjXHinojiwy43fioa7qurap5KPFFj
j5zo+M1ychXNE9BWjQdPzJZ4p9zPc49D2AEAVbXPZ1/l9m+GrKrfkRk2X3hINbtpJO7nOmPUHBc0
ApJVXuZ/E0THfbSwXfno7AEORO641Ff2y0V0xiUzU+eBYXI+pj6xAUt0IBWQ15jmrmgOr0iTOagi
k0XTSDz5CUtDtC86zcYph7jGkulkObW64Y6gkc+j4qwiOVDfBrf0DQ6MdZaFAXGXOXO5abVHfqMW
jfueM1k/Vq1sz3xfnZ7Zi/5GjurDfWbQWk28n6w1Dgi877XChUp1lS04cGdmS065zB8x4UkoPHA9
38kLF2ery8iJg+dxbqyKCYXuWaICDKv4Q+NIVXegAhzFMr1j9YihIIHW2bTRsokWrCuAeur4VeCa
OrV1rUm8Cts4Ri4jBuzZQ5Xlxc0gHJWvdVdcJNrWvRcJtECQq+RqU5Zn33TBmV9R3Xuw7DL3ncxw
f/A8nzgciVZcExQ142MJS/orAI2xZaF7ZyrJoJN8BNU5ek+0WFMHi9AzbybPJVutr5XtjbNjF4cU
gtyYAYtB1ZrTsN1x1/rErK7hMNOXFXt2vMs9UGpTonexjO5k4/xuzCHah2VlHKY0BGBI3kjU8d52
khvcMv5qUHWxzoHyPoqxxdNCpGwXOjnmHEG9Nj6RnXE9YpDy2fNGLAENeWXFbMhvAqit/C2AhKwT
pHup8OXwQSR4PnnkJLCq134Vv/rtCHIljp40xZE4s6Jng7GDnfJAzD/Vt5zOS4R+72LJrlljjtxb
CdtLDiNfRmidMyelI9G5dtTQT4Jt+AP/FhZajmZOhwqre1etKbee8c3E+oCZkmDnyB7WUeGCcFbg
ZSUvEGTkOtbJAAUU9bUKxrzd0kFLKe70WQwNuJl4T8lkvK7s8nbp3exutLD3qVgssJMXe4c1widz
5ZsAj+bWWnFuso4p7eQPYe1luz8EzKgZ+k2DwkiEMVGkGlhMbBfQvAylxjzsJtMBghdihkawxphI
tqf3mpWb6/aMKyBNoOHx/notnNBsMkD7Wvawtw2sib0p+7cuLYnLxXHOgSXVkEUmREtsw3IY7nOR
FvFGRbX/ktvF9Em6NDx1CvPHvsW6xkDjvEVjDVRVIy5C16WzaIIJZiYPqo4m8veWRZ/UJKYVDw4s
n1SePNK8V1+tfbYSOyPLuyNedM0M6lHUKtyhfqUC6NGauRSF9p60zpwTNxhqpJPa2085zfI17WGN
InyhJxqSnM4HmyWGXxLblGQ6Fd5N1FvenjNWyT5f1Pn77OGvIrnRsO9qw+GDbxYCvVNTWVoU8a5g
772bZh7VDuzSg6RtEjCQZE/moRKsPOxfm0S29cmMuOdzFxLjS4TV5b3K/WSHU7CnnRGbzbPH4GKT
6SryCawmsKf/Ud/+O+qb+bfwA3vefy/BPWsahT6z+LNE0/yzmeCP+oF/vPZvapz5A+ykx+b4KqJd
8xF/V+NcJDfXMqUwr/vm6yr6bwtny/xhE0uW1w21afnK/qeFs/eDH7DmZe/Jlvj6qv8gNqHcvyyc
bRM90DQdxOlrGoN4x79qcXE4Xx9vSu6i1CHQ7QJWWaBjVAb+aNf57CjjvjdnnJtNnYkgyhaM9iKb
4a9bNg6c0XHHM0nOhG0hdswwpTAvrp/7pVwDiF4C182cdQwy6QBqfPiKk14fRJpY1ADrCFy5v5Qs
MBHol4MxF14WeG7CFjs3LfgLDScxLnAIP7YGKtzzWyg8uKtU9RNc4HFP5UH7K8LRH2iskyFd94m/
zkkK3giN4hV5ZMJncCtrw+2pcpeI47Yukk2nUxDDMIcCP17aoOEUvYtTy/9OCwWZy8EpvmVWsAH4
9+LRxVJ7m9WqoddZuuvCmjJ3ZeuRaj0z4e7r0zUmqSSVqHFRlaxi2X7mHgTJ1Rjl6a7w4JOsEAiz
kXQmKALT6RlbeVyR6q2ru8Gz6y9q9pobO2MHu6gP7YsL9cZolbRDLXN+Hgb3tED3jA2Q4o7d37ll
dsHWxhBhu3pr8bhbVNQeRkof2WqB/spxoBf1pfaYptYxkOYnTTyHpQ4HTLE27eReVunpj/bs2ivs
NTXkGrM/Ub8t6TQfX4zfgm2A9lF9YiCcL3PboiBR23BIF6++WzoTx9AiDfWU22lzbEnD7ydliAtS
Bttswa0bBo3OwG1ecyWqmNz90DXuPo/64XmwHGVew6Ukn6dl6FaWYZ7pyDQOlWyMn52lQ8wPjvzf
zJ1Zc+RGerV/ERQAEkACl64q1MatyGKzyb5BkE019n3JBH69H3Ds+SR9Dtlz43DExExMaEZNFVHI
fM97znN8UFw28bdKye+q8Oybyh4V78NErJ4bdw4jroyfqaeoueOpPJJ0kNWmpoj0YNZu9QMqgPcg
a99kKDWzj66p37i8ybcgWOQBH2b+VGIUvHACeS91SnVZkybmbZW28jYrxnjXEp3foabe0l4BUsvU
9OFCrD0GVMQduNXbj7jB8JvqtKyp08x5ot28J80djSRdk/wOwgp7qyK3YSRJ8AMzMw5FqVYmXwaJ
vXNLayyc6Tadr9S661OpeuuCY3B0aFlopnfh+uoMTMTZUlCfHaZ8GX4ooOS3EUbxY8Dc+NybK/WJ
7IB6EFBVfhT4GDugk0vfbgHTuO19wO2c80GVRrdzLGxW9BcaYS4UXpFI+c3RGHJ9qEj9OdvK9dRl
8rzyxakNvHm9wa+izTUrJXjTGMmIdNY3eEzbrWA5fpYZ2yAjNf0HXhfgw/PUTu+BUwQY053iogaY
tRNGlwtTOTkQW7rzFcYDmkg+9IhtrVX/xJUTP5gD4NsN4Gl7P4EwD1MtzW4jWCzesOJj6Kc3p7b4
Q6vswWZBeRehIl36TuFwiXQVDoVVgG119FFKkCyHwVDNo9+o6AHdjhhGiXl/agac3T2L7L3vUlOx
YdmY3tpZZO9lDZvWSnp9Y3YD7FfWALfoOQq5paCbBNjAgjkQ29vWnr81kYPjw+U69Wx1pf1h2Ut9
iFRLxmduu6tbkXpIHaJMaWGlB5lafLdmVeb3VFOqR3+09OPsurSj+vTKEHGVEhs5JhM5HI3W7DBc
TAmXxsg8BrlLg4g02guFMOUldaX70hqeesGLVP+uBK7vzaJr+xgtvnGV82g/MNS6QGVbw91ajcpu
8JCwg6CN8gb7E4806fZfDPH+Dixr84LmC7qx0d1LmqAoQS5ASi0kUAFhzd4+cwIL2lqe7M0ert20
oHwj5OLGNno7vjoSAGmSIG5uhK9mJoxK3EKQgKhdeu4ByhSUYRTEXYzsc8q6MXjFLi5JG9vjUxt0
0YX/Sj3yoORrqqwSoRJk5GBX7b3tgVFkU1R9IMpOe8eyyx82hec/Ar8sL6MH5JHgHnM09DSedm+A
1dsJXO0G+ji2QMq1yAPTdkGfxTnH4HjG79/uFMzJk7NY5QWwWr3FOPHT7rRP3Ks/N4TsD5JTDXL4
DzADLR3Vo3yiPh46u54RO2QM9LYAENSbaud1Anhjx24JyxDzf+jNC04ms0iaZNM5Su2NWXjxduhE
c9tIgzaClUKEShSTfu34Rpp2dYT1TZ4kdRHMXlE7zy75rzt4tMcS7OxGpvEdGYjuyKs6tGac42VW
tkdaI7HbdzAhLUBVTdh1Q8pcskbqz7kYepPMxVBukmysfII9I6jBAehwgqGGfxYrrsJO46BKuu4H
2U3ezLRkt1tfCc0t23TVtWNnsxsdG7ZEq9w927rpSYAcKcOR6OCRffccllxykY90sFGswBfc8BS7
9xdc/81HM4r8GAV2syYPy7Nu+HgqnnkSFCXEe904d0nfiB09dEQy+mq+sZR9GMSyHPGLLYdK2cUr
VujPnEMLAeU90bI/qrII+VSMI3I9fvx4y5YiOgUWECvtUA7Su/l4drLahEkxIe0jPOmHRFYUvti+
O9JXykC8I8Zm4f5JbaDspvFLR513trAVvfD9aG/hkI1HsWBawWxdf5ZDOR19u5HnAY4iIVqIgMCL
L8CDuw1JeSbvqYyu/ALAsrKtLDfwAv13356H0Onb5N6KNepXAaUbG491aMylvhSiMm/7NC1fFV6l
cKI0ks4HY5qAL9hZzxg6MIcGnhn8goEsthEOALzyubNiZliJpLGv0tDyK885eFWanCqnMggO5HEa
UskyHSutR5PEUuUVmMWq+on7RVrdFbFhJDujxHyEJg8s4kR77eLv7LbNKCnVujvTR148RoNIfy95
48wbTFBqW2j4ET1olm8C03OYcd3FiwBLspdTsdd2BWINI7ig0ilJ9yKzMX/UqRlidGR76dsgtMrU
DkdJvo/ox4NBoLFqkB1015+6Wtc7OA/5xjc1DmyuFtvVJLbtEMY+FaiSX6qhEC51ux+ymN69ZjKJ
ZzhxTa1q7KHij5SIIE9vq1rA6YWOymXVnG4WVgi7OsISI/ukZFrmeOrNUZxF6z+zFy6xEKscGqnh
72D59buEdSH4NAAfbuFW+4St6Q2dG+oBFLpBMYEyruQyEOdcywOMVnlETObok9yg2PMdjQ9Vsgh+
DWP5nLq1d5cKP76YZaIP/TINe0Qca+slhXeN5Rpcqzg6t5lNt7frDAWcn4kxcDYkiiAD6qljs/Bh
ZZMOqZiNLmVKGMBUtdx2vKJgIGXu/VingGYgRYVxa8S7qBDw7ZVfBXjxU+2GC4iX0CUxX2/tVMkw
iYByZYOMYm5XyjiVQe3cSL+b8Ddq51gCv71GQ0DpXGPivqMN5ciKLj/ks7JeSI3UG3RRccy9SZ3S
IqovUhW47Ec23gQBTSNdWXfDsVV582TShbXTNjZ0J4WT6MvFeeGgw97tdT7TQerZIfiX/Axwxj/C
Vhl5tTTVL7/KkZ56t/g25VWJ/aQC2Yal4bjkjnvCGePs6dQxT9XUWDvAYQFHzYx3hduA2KWgqm57
c3jEer/nnmre5nLJQpx13w32ja1yEliQxltFUetGxLX7jZWFt4FV3O0oyKl2jSf7bWOb+ty4yRB2
UUWaVTupCsc12sca0ahhxI3EN8qhUE9mTnwNcieEdLZ0/BOQ/cMiF53/MFn+V1Vrzp9rEeX/N6f9
pTbSwIOVKTNNjvjxCGQKFw1ton9Xk0Pd225G1XyljG9tYOtnlNLgdfan5sFOlvgGDb59g82SEYzl
go8vy44P7JiaZ0p7wAO7Ros1E6o+rc/GpUKIXkk8KfqXw28Ax6vDVcKAQfXqYE81uNTALY9oRD2Q
QHNCwlI3vp8aP5En452gHvXByIr+iH/rZWx7LGBDQ3FYG1iv9jjKGxo5hm3WBvVOrhnaKofU4xQ5
djVXdO6ubP3l1CVS/uCmHh9c1iEb0mHvdF1cxmG8OtxQoFRgPQ4Ce965SzI/TmN1G6X5cpvi1+cG
7uNKNK2O7A/KfeLtC80WY2PGnftpDy0ORMNZU7hw4PwknGjKo4trFdKa1M95xSbedBtJOZ9olJkE
xj3be6zrfnroi4V9q+Z1QEtDbv/ujmb62UTLtGsQuEIMrfZTTdlZsDGSdgPbhc6deqZfhwUx0FIb
i1+fLTX9rv6YLriqTf371OvXPlno6hvddO90ZbF3dVvsp5jZySOhthHdkt5FCr43C+tugN4Mi2cz
1gB9HWtJH4BuckITNDpHzK+XFI+mxoc3pU980YOTDrQ62bUznZZ1Y22lc/+rSQaugnR96+cEmBHR
eu4L6gtuJre+ZdT0e3PPnr6u3MXX9dteb+KcwlzKs0b1IR+kvTeZ5eFbqSR5EOtNXnxd6v31fm99
3fTxKBP1We//irLk22CdCfJ1OijWOWFkC4H1jJ3VQ08ZCfuAoH8u1wGj+5o1PG5mvIzWEUR8TSPj
OpgQ3FCX8mtagcikybFgUyk9ZW/9ZA7aUIytAUQIX0zwNfL4X+OPJbuqOQ6tpM2m8yysPG4Qzk6T
8QvPeXADaKjb2LXkO00gNv1T5E5sRNeLo6EXz/6MG9Rf562lXa4NauKuMJonw4YA3hh8YAInzVM5
WmAJU27KbAs0jTZchc+0T7Q3IKSpXuiigW1rNjZbykctyHn8HrZJbFrfkbkpVfCFuAQ+nUgtvwMq
7NaRkTJxvc2/5kji5vldkg8oBQyZuEuoq/6aPL2vKTRYB9LGYpXTrkPquI6ro+XFt2yJbpt1lE3X
oZYli7zlh1wHXUbebh1+i3UMBmuRP/nraOwasf9WOe2bJhH44a0D9LiO0ss6VANUqgDbrJP2sg7d
yTp+B+sgTmMAM3mxjuflOqhP68gObVB+1+sYj7TKRN+twz37MpCp68Cf8ZIuIzYxw9QWUNS/lIF8
FQnGVS5wV+HAHuCo//0b1fqrCe0fwhd3Q3tVbaSLR+6PJrQAjtfMrt4/wFa4Lq/itX03Xtsndd8/
YomvHoziv2uZpYWUBdaMc3rVBb9e4ZbpBNJi9cw3X/7lT1ToBQSL0ugAniD6KOo+Hbadk833uU4X
e8vFsLnp5nYASo1F/MNylyFk353/Wix3XRzPabTHUAS5xGazpkMY3BxJdt1I87C4kfG9Hxrv2aM9
F7pYVSuLfQF46XDI5+6o27q9FeW68IDfCA0q5euGOrDxpP806sU/TNymmJ3LbF84VrufV5cbm+Tl
BwCN6NSrqDjhCvIPMMaNb2WqulswEvkjCcH4xi5Ga7kh79RckwD2kaPSjGyI0mqX6bR7IReyfh1L
u/j+979GZ/UK/ulDXdtUHQtDo2kRmvHXD/0PncQg1wSzXmsc5sF3zhWJr8GO0NVnIwhtUE/IT8K9
mM4KKaDCxd666egeJltab72fJNW2q2X8OeN4OJeFM9/QfNZffETZV+539Yvwm9sxrfpwNIMFwptQ
Tx0FDyPuiCbnq5mJiSXfnB9JOkC1jYaM6LoXG/JME05FE9nMT8V2iOUN0n713i0jYL9yoIyOoC7n
Uf51NBGD4Zhavo4s5+v4wjcnt8F6pn19YP9r+bH1D/pnSfD/kcJfMl48AH8r1v9bN1bvP5P34r/s
/f3n3+Afin0gf3Msl1iXL2zXClyBaP7PkJjrBLjP3b9K9nbwm0NAjP81T1XgSPv/kY5s7zfPNX03
4G8n8dVL+1+R7NkP/PmRB0rGSO56jiNYBLjSWiX9PzzybKdBbNgJjS5ENzPmnz5/kL07DjsRjSv6
U49FdizRBcaNJJMz4ECtxnZXS1qiDN/JQs/CobEkaH13lplrorw65d97qjDeACQGQFV8PXchqBcy
I7VHP5vb2WbYKUjE97ULZvFokOV+8wpmYYSktIIaXVkxVTE0DfqhzT/BS6/ovrYGqdhoNVNozoop
IfWdj2Yhj8+N0AFqYtTVgDHEjn3AaCpQjwHNxmsHSsf2wMaRZx9bnXWHrly4ihkTJQIXIjgUmzv4
C8vt7NKHVAFdexwoVY0gk3AnXS+MZDFao+0J5/ul+StJzXoJ2xhFauc4hvNUJZFTrAyY+JWCFHvE
ghTNPwlFDJcG5tGu12W1Vt40ioaQzpnek6zXJ9qYS+yzjZe+4W7t2Uo6PpNlbZqPWnndTpW2d1ob
3jeC4hgib1llY2oD8vQ8ePb8CuXTH+B62vjlbLNOj7YvkfTF0uXexpkzeE8NtW93dmmpO6UX44Zw
sDy0i5Mu91QfjdbV7mphIS/Nbbx3gkYE3yeoP6e5TXoLI6SJUrpQxtoeZs0dAhx4TIP2qe1713zw
188lh0cs+mCfFfREP/f4WyHSdvDsIq9pXpnvyGjN0/phJadx4A0JLEhxqIO3F0Rcj37u45+xtMbq
Wspksh5i6QMLMCQ3SGjG7c6KKkxfXD+eKBL4lc0tJczcYsBx2dGpNrDnMdDCu2otex+N/byd5mi5
ZzgkLCZQwnC0Dfs0J18Iy5fmNhacytmJYJTXKdAn1RgWfCPCgmdsgGXoZNG1z/yY5OH03W4Evi2v
uu14Prbw8D+tsmRYZDmiYxgYhVke2ODaW9xMaYjOU93FtqjOHo/NUyka4+QhRWwzQWScQjSuBw4e
56BuzqPX3tKm7Gw93NFc7jF2WHDJgSVbiOKQwiialfxWneTToebvgOu7/J7i7rufRO4ex4nUSRxw
qzMCzOku9tkHELcyhO9SP8nOqe+7SlPqDPA9XFD2s41OzOhbXOhrPgAYngcKVDHxLJtWyu7ceInY
pEENAksLY+PU2UdtZeLa1liFYCtPW0n9096LsE052IM3FlLuZqIsGjl6vGsLj4hWlJgtdXTu+Ixo
eZma7jBpTGFc9kAxd1kyPERJ0W/dBX4QJye1UyRlatc+TKwY4nl6ckzoBhikYUw2v48jrcPKGjYu
RalhQVXctsp6+TBQ5PdKN8W4S/grm1bn1StQuIaXkXh2Jp5/CLIbTPCfhZUcrLEKLsaymL+DneBJ
51bEVD5uLOWBMg2Yv9FCf8lquBnLhDpeZfCbb6gcMLBTGnR5cbIWiNigiCEtiAJpGvV7v8x1jycT
Q0LVw2uiQ0ZvlZQw3Wd3eTX4ufdZFi1hUjjtQYiVR8KIt/Lc1TV36yuR8OxMyxansllMe4BpMmTb
QNxSACfu+rRHv8d32ICLppMjH53dXGoXlEuEEXsyphHstC3MrUOX3Q4UG2R8M7LnlzQjDTWLCOA/
M0joMYqHQQIqYmi7X01LLzNO9/asPdAOCX3M4cD6buvlU3mBXO4B2OoJJhQi/4BZVzHOZyixsXKr
i4P1YVdMpo/NO+JNCH6o52bU+t8VG5fPJp9Uuvn7+5jn/uVe7ZuuaRJhJnxi2o4MxF9uuTQktUmW
mMnJt3vKXSJLlVBRwNM99FUpvqka0lXTI1ztlGgXdEB8es9Va8xhlxTWJ2TLILudub1aZDUB1hi2
R5NXt/72t7VvcUwpU0kGKDj5LeJdWuLY8a3k5I6lrx60U3Twx/JFvfSewNQrzUoAkw5AEd3QGevf
LcA8L4nPgO4AW+9xPKJUbQd76D8MwUITkdj7nvczaIwKf8tGSsN1NyY8Xvbb0lN3QZT3J6XkfBh5
v7MLw7BdJHCOFkHU2dXYrYJ5Ujj5afQQBWp/HETDCzb6ZucpYBCsQSAa1xP4WcQQFsIUfu6l5twa
2MBuagc3rqewwx59D6ochGhLTezmLZtOAWIg07EzZ7e8lQ4ljkGHCI/l2fgdr9V8huGzcnpqOFad
YxpPee5RU1oPdH3NvbhgSoyvrZqJ+HX5PgVGtbGqZWQFn1n1AyFTF/Mn47g7eO73ykChJ/kGg6aA
C4yFlaiJibDdmAlb59i/JhTv4Ur+UWVwHYLhvR6sw5g03Lp707lvso+JZEBgWP5tbdFb6xpLt6P1
s39KzJzBt+aD474B1MhcnTLKMY5kG9N3q3UJMxYO0oFk/WVUT7Ya0/skKqnUoBGV2s/kKJ3IPXGs
UEU5eMVLB0aF3Z4rsGPLVZ+bm34Kqd8xmDu66jWDtrYzWUhoBVeq65wA22pQEadN6wdshtY1jd2f
snb0E8Cojvrzcbzvge/Ee8NPemPrM2PRsMKEH5+rKSZ7VyAfvNIiW0PhymXgHAJngjq9NITqpHZd
/R3eoTXugtJs3mfby98G/H/LlVmN4ve5Ia+KkStu3ywRJ/d+M4h7ujm9D+YtsvvNNKLrusL4mJK8
B3OC6rqtrAEfnWGmO5lI2gMhUVyFMIafNGMEm9wOyqtd6ZH8H1aNg1uQqS0oLL+TOunuxnoMUO7S
Kv7hln78xFTk0CTA+6ZtFec8ru+d5+g09DzDf25zB6weVo13brUMIzLWsXVUZlucU9UaTFJ0lJlw
b4z8SVWtQj7yG5GGRDxpsMZqOGRQ8TKkIl52oANyrRtw7kDt8M0t+ESot4zvyyEO+DjtjGNfLkto
kah/muus/M7R4vwOnW88cvWCg0Boli14Q78z+WYiL9ofCe7OwcLbb+VNhnDdqxfPzfK7fM7FPSmc
6SmG/fs69sJ6TkvH2LddFD8tRs6VR5hddeXHyJ+tZeG326YcTchT5tnz1XSTtA4JGNfv5W2S0wRH
cqV1Qy+qUb46+21uSFYm0sI5bM559lYMqXydI/VrakYDA6c1TThxq70NhoE3lpu5B/IH+kcnMEdu
Ij1SaNxXfvnem8l0tZrCecX+De8PUBZOt7i3cfGn8E6Ok1+KH0vemjsOJeMNASF7Sq0oeG/6Vj9D
HaxuM2xvZKUqm2o5buHu0clMaiegduMdtep83Kdi8X6OnpOhVY0DEpnGbRa6Y06Q2KLTWG0dPcw/
TL8z7pXZsKIDvUvw3a6i/MbA4HHnsLyBg2xPnyY5amy+Q+9/t3BaDpsssA1xU+c2wMzUNmNkXjVH
LFJwRWwbFiNknzks3hDZy6uL5A/NGlsmERUqs/rRMXa9g51hC6uJNmwF0+jMS68fd+Y8afpZo7bE
MqGV/YPsPqM2bQPJB651tidURk13TbYMm9aOUOoLcC0LajQXBavJ45tZ83rZCzXIzzgZLERibzzj
m+/yg6QIkZ1GYhPcH6z+6Mba+Fb1bnIZvMr/qLU1XCeLEQqfLgJ5LeF98xDEfAnLGnzXxm95RraA
4b3bhV3EKcVPxPzDXpVQwxAD7CCYGV8GN1ieBzM1HmbcMxRtmJROYHopjF/DiIS36Uv4D5u+N917
7KGUNIhCTHftQs/EkgjxERv93O955Nvf5yHOT2RxohyRsY1fKzwjwT5nLX0amTd+2ekEVraMizZE
pCDu3aZSh5ExkebDCN++WGW2oE1WWCULwwQwv5bNhEHuz2A4DDC2JIGW4abvsuAB5nbwxOdT3WPI
5tbp9VDmWkUemmaSatdxeWlw6bbNWznUGBxKWngJmRipG1qx0qfOgU2LqztDA3JxvAB6rXkes4YF
AQSx9IENbHxsDcGiViEQHTsssj01TzSi0kOWD/bK3JNUXnYDftCKPRFYEfmNBtz5gzmGMne0JbIU
bTV7dI5HaXffzXq2tkA89GXu1KttmtfJGFo05bZNQ3zK9cNIDzemq1zD1lts991bDMlfmovhPo1t
fWqBwYeNtvvXsRX9Lx2TZtxB6vKvqPXldSH89zKrgpMon2RyKjuyfFuUzIRCE6vCJVs1xh07ctvd
j41RnZI4M2i6Fcm3bvLs81yJoTvnKVbXA4SGiVG789V9FSTdA8hW0EtJuzzRf6mJ4jn9SXqT/0Yk
V187rltETLXBxpvSwXhvaVGcKu6bNJm2c7lbRp7OrW3PtXxoLWhNOxPhY7v403wwWyXeJ1rOTiMY
tXvTgqEPl4T2CQenQsA82XADS3pU0U3Qkn7F+1Pif3bVT0n+7DNuCojzZNkIi6XjtN5YeU+8M85O
bCKqQW5t16MhqFpzidpV+NXibH6JFe1tGz7igExSAHdgI5pE9TugH2sxFF/seRtPi8CgR6lrxib3
2XGLjMVepFnxmyzK40NsKLwNltPe+VRSHIo1izb6o35tahHlYDXR/rkGre/NJiVoQO8y76N20AMm
D9jzLNiZhNODbp2Z+4WkuKwIuBXNTWLXoaA4nYe5CKgza4f459KtlXXkkagUazVQU8AbOaJ553c0
2RUUuQiQzfNZFaRoTr4MugQXWj3/aBAItyZxg28azP7vbq78k8ny/bvr5slLAIGNzhTbVAdlGtap
tpzh4Hl6PM105sF8rsZfpFFnJmIBqmsFWRV621LcS5gj6veDdg0q2eqWRQUr18lkGCttfE4zKMDV
qyDdn46MAYJ6QeM+w2otwmrVP+PAO8t0cvZzUdD70gfLddKzeV+gzuwIutHFSiBj3qYUwjz1XhD9
hF1qUwbStdfC1DNndg+pD1iKwbyIMeBpQZTa9zCIvjuBMd2zOtDPiNDVidGxZ1ln1OZDKpW/A5Yc
3fWF6Z4nvvDP88DVvzOK+RhLGuvnVFe/KDepHlyifs889tyEM+dspb04aSsaXuNhcm5wZJIkWSx9
TFwxnsY4qdBPRXWwWdX10r1yJ+8eldTtTRbHzm1CSooNdeq9QcOLPyKR4bYh9LCfUqfbRYuV3zZj
lV56OW+RqRy2uSU988pGZ+gjO/5FAuFbpI2CeEETll0hDtztFO5+Iw5n4Xa3QzNAJlyqQ5v36kAv
ThdCOsp3mHa5ni4+aYEhuKuSRp3cPv1pSVAlqBV5KLqs2QzC5T5gj2c7Af7sxUNxE/kZGYAqWa05
uvhBG3p1tziUSQWESfkhWabWORbYIcvkzhh8Utqm2+9lSm12HRyCmsPz78c4y/yrxgjiRpgYjB3L
sSzrK8L/B43R4PVbKV4kJ5qwba6d6y3NF3V8T+jRUVuXR4g2XezGG5w+FGHikzqpUkT6v/tBxLrY
/oPAzzwpcVS7q7bKfwh//Un/8JN0Y9Tq0pL6NHfeIZv64SMJhFoecXMF/YNPXsy75FQ3i5Coo3oC
fsj85/nZgPV34vuN5fYFTDLtIBO5NIKkWYB+Jsjct++eu0hn5/QGcMnBLi5BEPHJe6J49VtjQZZY
BblSTdYHzdMVhFSmxu/IH+sOeBBXe1LGzy6JuHiPfvyN5eC4Uinj9HVIBVZIY3LucMAgCviT+d3v
Yh6UNNGPbe1l/g4llgUkG7QbJxm6nZhrCgInET8AQay3g98NT2xj2EhoLe7GIuY4pIh+L3Txaova
fBxoSJXKwt+1ipZylS+J2KJkThRtIZUauZ2ESK4Eo75kT3qrkUAlEIhfzZcwajut/JS+R5G2m3dP
S7xY39lbAf1uc275m2K9sGuIC/Yujv30mI70YwTw7NNt8XW7t75u+sHXrZ8dJxMA+/f5pwsrNmRK
9R+yrznBGmoBAp8TbejxJxzE1ziBmuS9pwvrYzcP/BP+gm+xO48nrIgx1b188Pky00KfBWu/5Dqz
TF/ji79OMuU603jrdOOvc06U6CEJiVGX16xm+55REP9TrLMRlr2JsIlKd11Tuge77dAoV0UU6AKT
VfE1ZBEqktQDM3kF6wxmr9PYjL36raVWFm95PjKuNUFiL1cP7NobOefm3ZWLCRBnHoT+TnCSD8mt
C/d+WJgvD8qh3of/S9u8Elzxqk/KsXFXJu4Y/xrEWLeXv/++2l+i/5++JtKUbCVs12Y/Yfkrou6P
X5ORYplJJBwnKXetu8bArlyrlExQRyoEF4d/av2OwhC6X6nc6OoHn5qNW0BMKdQYT+mzN8TAG6mq
i3coAPDhqzJn2RW0VAg46KSvXTk10yZORXt1FM1RjZ05aIBYYzypH2jVhC0GjXezBpduLb8k0tUL
Hf0Ekyv2Xtp4Jy9p80c7cDWSvpedBW4j4OUPlR1dAsj2t3EUs1gT9Jua8ZXvuLg3y+WOwYzUvuGY
E288zCoQ9Bc6B7vW944JdWKAgT0uqJwd5nFqZHGB8W5eRG1NDgwuN362JDWf8QTYM9YjdK9a1Art
jaaUe14u7cXH4L3vuckMOxdtWUEEEMEUurrIzzTB4nQerc5DMvSa6lOylV4vzNRZFe5wsYOpp9lB
RbtakPamcbQgc6wnLOCFjN4Stgpv2l19m6qsuz1+heSQli2sOUoPJDuLbNhnciaO67t85TDbeWtD
AKbHucymz5LUOMfXaEYHJuEKt2sfzBnNER1wLDlOAcneLnqMpiD5KC0nOgwSC2AU4QbUKCMoBZhL
qUaaziB31Za2Q+seaXHhqeTSWWDOuAERa5BtLZqQv92wtQy/eiL77NvovE37zZwjvgGxoDQDewsR
ARhVUABHjrTFnfYztbtvNPGlz0bS2y8tQacjhd1msq2nlleTVtnj0g/xrisd4Ga8pbYO8auwZtcQ
qjiBpp1Y2beKwCZv0SRYi+74ZM4p4RcYYDAVbmlMNg+eTEy+10EmbpuyvgaBavYTe+oNblFOoiXp
nUfP6OI7tYA2Rd4xiYNkohr8C15nnJ/NukSyvvZJ1qDJAEZfeyZzXTlhawWUgPmMTVTUF2ylgnSG
hAwn7MP62loF7K/sr01WD1dnP9pYNIqvTVdlGyzRyQ4wfaa8vakJ8/LmLUbdS48CAGR8vzTExcL1
HPt0RqU7pm+bxNywbtuyelIjOURcXTgyQbPepZQgnTqMRqHCZ3hq7XbgXt1iWCKutyA1DUGWZ8fM
92CLzggY7q5LrfpGjIL7BFF0NF29yru5a722dOj5GJiewSq8pt36BbExsxA0P7fRsrJ5A7lvrHpc
f+p+77JovdEJK6LeqN0jnOv+/e9fVGuc6M+vKYuLBS8px/SEJb7W+X84zU2U+RxJVJ6C2L2PgwfM
srfN9Pj1h/xLO+7/GQD1uS75118Zqf8Hd9xgnP4Wffpvff9e/jGG9o//w3/ss73fTEuQJmMN6uH/
8DBJ/AcPKvhNQmFzJNtkQmpff+U/oafytwB6tRVIMmvC8teL2X9CT2n14TUNygwT1wqEsv6VhTbL
5T89FFxzTJOF9sqdClaXjPWXDFqdsCLGrsUlIVkIm5vagLo2sjfJSPGM0OzBJRcXP6XpYYvfA8l5
imd8cLgtCAongyRA1LGQ6CifGSxyqubibkTpjjVt7GOUEuNCWfYZEUMOVuf32RoEiVAa+c5Mm9gp
Y3qJYc5N6YnWlzBzq/6CadV+DHqLjlR79lgXGdWttoP0BARS3422cyW2RQ4Xl9vBbIhz17U93LHt
2gPN2WUObkvXg6/Bilo247hbOnJ1HlSgjb2Wiy2dX+/xjdA/xO0iFO5IPr0N7qLYsO4no48PzpL8
qKw0vQHf7e8yA07UYrK2rV3xSSmau1VT/5Mz2j/k2Ba5WsFkHHU0Y6iqh8eFNyQqg5l8Bq2HBgyp
6ox2/C614R9Z3XR7TGjODkpocOenNJxM0oImqD+XcXT3jH2cRZlx78Hoq7Plg1DxyYjFbiij77oF
yNoWtw61lFChzqVjHTCTgY+UeLoc+gb2kRafRdEceraSmxxEEl05WJCVeI4DQM5E2xZsyWm0K+Oa
ZKGVfS8SV4eDlK+c3f/O3rk0t220WfivTM0eKVwbwGJmwasokiKpiyV5g5ItqXFH43759fNAyTex
nYw9WU7VbFJJxRZFEkB3n/ec5xziyvDw2q36mlaiqB1YcCUtBWxLwJL3xHYIW0DfLsbtGNnbQWMq
0qbNOakUYPtpqBkJyww2nbK/jL0GMqMSEJgIOZ5GXGzLtLLbz1ltoioSApdfzUDQRRAP/ITWAq5g
9PbXqmq1bdqW3onDIeSmQYzvld8gdqCIl4uiHqZ9orL+gPfwhNYYvdsViWyKAQBrSjYZWU0cnyKm
hjEbfU0Uod0apX9NugZygzTAJUxaZZ0o3qTUJfXOSQFwsxfTLca6S4KjS5O9e57wWe0clpJ9hC+M
PsgkMM9+hwoQOePX1ImHjaelnzOr7Y61K3aaSQEUKkOdcHZonbWLXL4fdESaUngY8xnk54M1LQmI
j/smcU+GZju3DSd848AxNfaX+DmMkm2tFuHhs5Os3TQZPZ64zHsJ2t9nq7uIO97sKlWMuecsJodj
NrdEM+yJXiCIpLHgDVOGcVsBDgBiZmV1t+oAFmEJE5OuL9uuRJlQOlv9NWmsUSLZhJFYukYRuNjY
A0JdMjao42UnGg6LnIynPGh2lDVXLYPjZhmaswMyTuxIPWrYIsF6abnXTKskA+iNyAoM1+xoeblx
wrhhkJaDI9gHZZj2G29wEKUkPdLeXYbvstglQJeKd0WJDXvEOPa5A+ow9ZfS1GL2Y+ynbMrAfA8B
wJc0fUvO38U2tAR0k8Ip52Q4W6twE2SaV78WQJSzZWF4frcyIJvMwDPatnRTjo8cqttrv4mDM6dB
b1zFgUEmXIxDWFwFZp8Sl+w0dovURAIn50QhnRXViHxYLqzJii1ty6/xkMQ6dwhnRKBME0pknGdY
IGTz1gdlYa8woPYloajISM6CWUq8mZCaPfZTuA5uwoQ+kj32nZBd8WA2c/9PlS514SHEUSmhyKy2
zDZ2oqya9Cv4ljba+G5SJkwnPCamdmdQb+i7ZDsYNd1Sr6avgcfwgq1KVg1IX96oCl20rQCb7aJE
0E1BqArNND8jzYQzK7156ekHs9E7h5LJVN3SvY7HfUcIYXrxsCRDY6MBTNT3BBbuwwb2dR4Pqzov
x2fP6cvNlITpxYoNHnuRFFge8uaOvWWx6Yj+POOAYdBiNfb02dCn1160ASpfm38KCEEqH2BFTYgt
q7pmL/i5SAYN0W2ExaHvskNTgfpk9xzwiXYjfZVC9hgPUk8rT2OVGmstHIJ2C4ugMefRQNWvzTxP
+z1P7U9dYw/uhsNOcxcD5baIM+NX2qSu662GthbETuYGprFqcMg4aeRPV3gOJNhiomp3qWuErxoQ
VGSiKKvDlQeV5r5CY+0+U+6JeIwWBoot7KIa/gu9C0aECTfphy9DGAfegtZFHCmeFNQ0SDUz2+p4
WQ11d26Agp9sDd9ORz3c0bPay4hPYReEIr54tJ9SMDvlD9qku/Rkp8NzPTjqojQd9bYbff++ntIR
9gMe9XNHScaXHAjlVcusfRd0mast+paJlggi46JRZL1wzcY/ocIicjdG7H2R2N4f0yjBIlTl1HNh
BW4ZZSAqeu9eOpUHhb3lPaAfsl3ibIEkXWslxZSQ6pDBLBEy1iz0GCo1c3G5BEun3yRdJ26LwhCP
GaP1bYRc5W4g2Ij0YOTlwFMBfLmW+9V9IUtF80zS52+m6xXvnav1T31ptmpV2iFtWU5WFZwiG8AU
0UClLJqxdZRprWXHNFH2PcTAMjuQ7QSJnRgFMDgZaV28pmzGo0eJM9IyringiVVQmNfCSOxXTOvd
RSSmd68XeYrfmv7ufdUE7kNaGc7nqWUFiUaeqguUHvkkOk2/mAP5PFwp6XAEp9StPMavV0EPIduQ
jrEPpdnsOttkpCNtjhtOi57MM6Jgnj9P2GgjgCAPNt6f6ochBHxMpzEN5oOswSYKUJHIJxrYibko
JudMiO16BKVEwWCrEzbHAEMDWc0ZydxMllU7F9Ke6VNWSy66QkqrW2ddF1hUXvhufO3nlcVUHONh
sNMiU6uu6JBk/cNqJ/IL+WttPEExCc2Lpo+cWMBckuYEikINY225yMuKwLlc9X0qkbHx4eBq8mjc
3cqK9q1DlGsMd7q87y6GGUTy2laTox96AHWUY/ia8pa4SW79YlCgRmJtbGHgQ9r4hIK0HDKHqp0U
1RUXsI4JjVveD0OfLLHojglQhm3flP494pS40OvV42gLeO6LoZwNjpN15TvesFJmZF6xnmUna6I5
13Nr3NI2GTpsHhC5tLieDtACZmdfbWn7yKr5FhRDb7Smuqu+Dp6g+G8YC7YPlg5QHjkqqoJbnRue
lFsUrBvBRLpGjXryjLbcgyuSD3FdQnype01f6EpIBiMylGt2NznfcDHsptEr1YG2Ycgtlm3DzBSE
gfhaVeMQGQQ/hzxhprj+atc6plpoPdg9XXtbKJ49ZSE4iIbZiQx8TsVxhhkrsB5Go4v4msfRlWt/
bNu7ASeU2hkjQS30L/nKMsfDMqh6ursIUVnyCtRcsDY4f8ADzfz9yNj5PNnFuXQNgm9RS6TOV8QM
8sk5FJXy4AU5+3IC0Zybzb0EKmQsqHLc95ozvbBgxMTjzPRVtapDYS+xoveWxtizIYyFic0tX6XE
X1gUTrCTqd5fpXCoIszsBD3xK1SxsdZry96UlqvPUDAWgm3/wW4n0QUXvuhxSvTDMJ0Sm47QshmL
r6oesVtp9Gc3RgQkstBNBzihNcOhDHjc8S9sUrMJ6s9j8F9PPD+kuayhpaqyaIYdzOqSpj8oQNd5
qsX3Pz9t/93LgBABIGKCtTSdH7TzbsryIgi0fucOxJSpu5fxEmSi7f7i7czi4vdvZ/5+DduydE6E
nOf4/9+c6g1fMxvPd9rd1ObtSzyv8KKZOBHIkSgWJW5J9JZ2U8i0scmIgPz8XZrfjwjmTxM3tmW5
to/Fycdr/f3LRxQ5aaqymp1NQcgmnDcCBHHFxp43B11fpxevtDCgFPb4nIwFlcXsJjod4D+7C/tj
m2FglJs3Hrlg3z8N58GlnVBYJRXJOrViaoHHABKP1kfpqSbqSUWsOwULFYdFBezsd5M+1nn5Vpx/
/+T+LW+zcxHlTf0f//7XN8RJmA46LOhIucL5QcydLDt006JVuwkIfYwcH0naZBCZkJFE57PGS8hb
v8N+/sGLWrrQmfaAJuHkr/9wTVbQM+2OthxeVE4Hy6XTMGvoAZfXkTuW/0gHmr8yXuyjF9jgJ9k/
6kDSt8w8RSPe9VOkrTGXvw6Jtsn0ofnFu/rrLWBxWToYs5mJY0uc//83l6aZ1YYCr5HvojYzm5Nt
KKqFmNQDa/v5VWj89UuzHN/mFMk20WRq9cOXJmE7x87kpLuGuMo+bNlSBO0QygPqh9WuEhM22Nan
KpxiBWbgp4RiBZuoiUNrB1u+9mP3pyCdrRqGXtPV8LE/rD72ij//Vf/ymRiGyaVFftzgY2Gm9v1n
goeZCUjhRbskDHV3R31Dcx6KgcPSP34dsPgOs7tZScIc/v3rCCzplIi1xNMDDgOryjVRsGdK9e/p
2H+k9/29kvdtWOU//3eS4P+tTiSia7Mw9z9Tqm5e5Ev6I6JK5/v/+Ht/6IPObyYDUAhQ5Kh53AgE
uj/yLjMv3hQ2HDjddxhgkjX5lz4oaD7iWc+zwrR1k3v4T33Q+Y0mXhBVgk25w490/4k+aH5cJ38u
Ly4jYHKPzCHRB0FKuCa/xLf38OTVpt4xi92NEeW9ufsi3chfRFGV3YT2GBxINTqrXMseCpWIFQwI
bVvqQ/oy2I57jL3aWAzs2GJHcMRUPRUvgKY5Dj+QxwMXVfk0CrW0Iy9HwIY9QchLx0QAR4BFoEO1
6V0dUmYZ+1A4vNB+Zga9NGtxJBAKwMVhqudSj9h0waXV4M5hcl4j04CuiYG6h4G3wfcz7++dQ0aj
7ws0GGi49IXXBdGQhLjlEQZvtmx6gB1wImYrbn2FB7ff9HXHzpWuxAn4LJWNLRzAMsNdOxAya2Wl
Mf3vL2VoUznkv/ZQF3qVHQiJrMfavKV5bc9+Sy7xSC/bwnx3jGi41sIgnnDQe9PWDKu7iM/2VJAh
3XSTprYMBh4GPVwIrT+0Dh+m3yiLulXecmQlN3bebEsNn2SuyiOaZb2EQpNto6H5qsxxugk+1b6F
jaJM/U1Ytte2EaZMUhtcmeMKHyoA59VYZna5hF3x3tjdRN1HvEESXrFHXuRjfF/6chcqGlPA4nIk
VmrBksVAeIqv2NtfNNPp1shVwwMBageCb7ZWrQltJynw8+BjBpoA2bOQ4R3J/dvQ6r4EDl0ksrYB
VRD3XMZFZp8crBiLlGEd4g4xEUSPeOs1dkBNiOfsTKzX91ZW3FoJJ0N6qOx2FWfhCHo6QG2pyVlu
Gy2Wp0EccUw/WHTcbKdY5Oe+0rRl03VHqdsnJEX4neJRpiOjNiowm3awtzHBSQn2QpuwbdMT08u+
2uO5HZ0x4quqb6qqeU/yOybwatVhsL9yXJWSVQetjqfBHqjR48hGl6elUQOP3KfM8mbsQB04jDVH
NsHQlDcFBYJDTWNA9olpNZVZYaatBjG/drwraTatUqU/gPSOlt7YOWRN8GzPKfJ6idHd2II1XOSO
8WJj6NtPNKcyLDxaybSwdaBPQXm2Go9jWbzC93lbTaHx3OEIpNS2AEuNRnXni3xDQTs+V3N0nSXR
U+2En9E54yUk3eOT9Mgtz8GzULb7BidBs6xHR5zT0lLXVlCPe8jM3gs2JET/Npd7zcAmAB243aUx
eOjYkpiZvbaODqEZ6rswltXV6FbyvnbxLXCp1jtsEuMzc95iOZZ9cQ6F1e1cN08/06NC6JdQ1TLV
E1pAVc6KLQp/r3BgbgwBu6ehkGDXatNwzDo7u5+aCLCCgvkc4499yCo8mWWHoWRRKb96obDQXZVG
2N3Yve8cfQfkVNJ5/YU0i3XjGFN73eiV8WzEaYs3G+P7UPhiTwonAXbgOye4YOGbZQ8oYnU2Vq8q
S7KejACfOtPu6BgrH3xvkDb7NIDvwHi1088eNcK3vdWVN0ZgGocMeugD3Tv+Eb2xOnCpuMTSe/2Q
2QUBa8WccNlmyt0aKZWgPm9wRdXieImpoM9/sR1i589T+c+nNrhD+As2NeM8uIVD6nkOinyz80qS
xi2sesIjJ2V6o+yq6HYch+ubcraPtoHOwdroYeSaWOSNnlFIj9eZsTs+K3gJD6KrtQ1lmkw/3XhO
r9QGjQG4WJDWKMnGRSvx07ewDqJCOmeR67Cu9OzGDYS9iEp/OithcCIMvPQ4Skw4XEkPDr5CzI6+
c1UzpF92Ru0swtG5ryqO823bZyfRSi9eIdMG96rvTTiIJGYmRKipzFchaDhc0X1Id5XAjAw0LQzo
bI6CbtjqcOloLscM+IwzvoxWZSeLtTMZ+YNF1O4ZYNY1LbHTRjOJXLszxrnJl6MlVgo0EgdRF2CY
ngoMAvlBs6R9NWaEqdrWulVDcwhVdRdULnpHoTckNh3Sb9FA2C8A24UGCEOPsbbbx+PSCGHbTHa3
D6ri4Ebc/lE04oAjy9BDcF/GLWzejDq5Bdq1/Bp2To8Hv7c3GmbVRe4KB5J3TB8eLsKNGybxrYIv
uAK8mt1Q1uvOuUkupcnlqpo4VBxIW7oH4K/1IXI0/9g6evgQ6tI8yEiUN4nj67dIdPo5TDhGEmtG
deW7HhDTRHTsdexyWNC43ulbql9pR+nsBceG8C1Li3w5wLPYVPOdQrGt2Hvz3WPO91E731Fp7WHp
ZuJ0k+BrvqgyKqmLgM0zhnWHXY2lMhdV/YJDFm9r69t4qec7GIQW/Pb5rg5oOL/v5judaajcqc7q
N+X8HIjmJ8I49WKv7CJZdmU+Xweld4dpMf0czU+TaX6uQD8vlvb8rHHmp04zP3+m+UkUzc8kNCqK
XzwjOuRosnMJRJU9Vt7U7uIk83eq6eU+bVrodI3wXuLUHPcq0Dh3Ero4h5nPg9HnT+/ZgIivpPXD
7QDtbNOpSJz509qpLSXIAGac6yjiXAezbGRmqgcVvL168tmhUEXM2/b8hLmH6bhxj5MGoWVVqkHM
4yirGq8ymyT/Te7G3lJ3SmYoE/j6aWX6A/W7xM5Iv+UUQqlHjq5Vxo9JGMPEOcSPq+JjPIPUJAFM
1tgsF23jQRG20nzsue0iPwe+ooFfInGP1uePQynX2eRMrNe4UXSiSnOxlMpjqgDKxgJk2JlHTw7O
ZdBcYzPX6Kyr2DZu66lyEvKy86CphKWUrjWGhdiaqGAk9aWoYOxE2a+YOzGoov8i1NbtxwCLWrQ2
Xbo8Np+mNGW6Rf6ZSRf7SqZeQ2WUxgEJwbxNsFuUKi8vbkDZ8BTHPXLSqAiI5Vf0L+jYdZqHpjuI
CbaSDPSj6/nqaDMBZbKrBdha4b4nVRQsdZcRjhHgR1O+HFYQIvuFZbsMuLv4s0r8fjPG/VcjtyCv
VRZZ1dE8Bxi1b4qGexS7/ZfI/UJO0L8eUT553lBV3zUsA1ZR0unDjNBlVkiq8zaeh4cDU0RY+sFV
mLkU72SY8OhKgrcjBnGF2StbRpF1HTCIJBHCmhdRdKux/q/1SX1N53El3xH+/HmEWYX9meX8YZon
mw55i13dTt2iZ4qzxxraLwZyfJ8MT2eCZZTju1+Q/V6ChgMQX3NujZeAil35u9Dz/+e8+1G9/ce/
v7xmEU/4uqmir823Xg53zrSZqFr/8zFvWyDA/Akh/u+/8fsBz7V/w9vhIJNxyhPfGkBcCzYBNhyy
gx+HuFkL+OOAZzi/eSA1fN9wuaUphWYB/8MAYti/efAMDB1DicGPoyv3n0CIv9souPb8i+nCRBRy
MAz/vpH4ZqNgunQKOWnfr9EnC66scNoEMekP6gDnmsB4+AVM6wcP0h+vxwtSP4YIMrthvt2YpBLI
PuCCfj3ZiGuTLd+7iUMVVoHhV8qkNUuPf26CPt4bzwSQKyhDSC3UA3/3Wq1wTMvCf4rxRE+4KR2H
khcZwsI0TXVMAtkd2wmfSwpOayXLyn8VadGd63xIoLPZPEBQpY1r2AkKun9bkzxPfFk92sT2MCqy
87oRQhrXrW7WmB2IKC5rgx0Q0RgPxEg2pQDJeqt402YTnPAS4z7DWdxtLDcqjX1jV/o5Ss2awVg0
0ZZLRdgbcJJiXXs9fkavTtv3Fj/OGzo9OP0cVbAI0unslyYeY2Inclt2EAzwNXSXmKDHvtR9Aqql
3dJ6hKGPX6V1g+DRw5QDVR+XP32aMuXZIAHx2vRxa+5WkUYtFhldZngt/Z5lpLYrs2AP0FXvWaxV
124tdq7kejA67DKamx8I/dwzREzUCghLcE0Kd9pHJqnnYUgPQ8hY2w70bikj9aRlIZ0munmhRjjf
5vNWZWix6/kQIEtVQbL1teoAfjYkv9GSkGTqvEgNP4WVKIBwRjSBrQ1tSK6hOj1FPsfMbKBndiwx
zwqXtmR22jcNOKZNWhNrDRO1tCjBWbMXYj+Yj9tEmhej4mRsardj2a3ATNULYQzhFsC3vUrZB5iU
HCwTZfHyM4xBN+Q7hAJCqm3Mv9AY6wL/u2L/6C+7lENeEdY6aU1e3BQZJZqefulbupxb6iiWRi5f
pJkcs1wmK1PILz1D4IVR4ySCFLlFSL4UCVHc+RNNrFmptMM7ZrRyqQ/mq9MGByNxd2URp8sUKqvO
zHOBzE48sbYuNG4NyyIzXmORbSys4susbbYcgt91Mq5rtI8nh//oAu+GyOI71sMDKc9rSdsaPLag
XHRheSdx81Nuu+DwuQ+DBPSndghTViPFUG3pDZ4J5wB3rjzElt3rq9gO6lPZODeRVjzlXayWPacl
sjjpXveHN9GqeAVLR2ySjC+vGtj7+GR0F11DYr612B5PXj4DEwgat7Z3Y44h2IBg+BIG9eMA4W1N
N81cCErfngi0+8CSh5E1dokYHywKjaYxkyzamDCEGoSkpSUptqIynxLd5w0wd9cDXi7tIwQHTvm4
nhepsNwlpyBQJUW3zHReGkqZtoMk2EGVdshVxCEApdFfApcEDJGmNZWo3Ki0fhAa1OpuEdTufa/z
TnM3O3Q534OtKzp9imL9sV78/+L6v1hckd5/uri2MaT/vyzJH3/rvxdYPJQo3CymiP8fzJ7fFVTh
oYU6TDvMP1ZYZNJ/Kaj2byy76OJImp5DLwC/xL8clvpv80jLI+JsYklke/5PFlhe4rtFiEWOTaiO
JusbrPTuD/MxTNUdRbO0JjUOz7jFRB3jY0jVyS/k/u8HIIjHHPVnmprAMoqe/LEWfrOO10IXcU8c
di1oj/zc6Zq3wZEqK+7BpNvKjHnuN9/C34zJjHn1/HZ1nV8Rgdn29HmGYng/jKz8bMKID9x+zagZ
Zr3KYC8vWy3kJMlKla8ykUV3XuvGV03AkbvHL8CZNps+56NlkIn04+sajMq1gZKzNsEgAG5I+2Mm
p+lgDIk6/uL3/XHnMf++805rHolgsvyRABdT/zb2A+WUSVBkrziLEs6TBv9M/NzH48lTpJcgJljY
i9eKcsDXdvD6T6OM1RY3q/0uqWV5yIuhuZbDVLz//Ncz/3qd8Osxw4VQxzTV9Lgev90YuX6pq5iA
Pt5b+MwRUblhCcjWWrl1H+6JL/MoyxmncVy1KGDQdHkFG5PgvXS9K7jD7qM5yuyEmW1vGGqHp/cC
MgApPejm2gZRdskzDmXME4FNyVdhFl9arJDbbCzV7c/fiz1v4n68NJgGWx77K5uujB82Xl40ISsA
E0QeTsMDkQpvyczflKtBeeF1X0UcgTJLd9ZaUfevueiBR9A47ifkXhqHKgNfu7TD0DwLuwOvYxg5
8prmPA3QdeoaoEJF9QMOYjA7qSZPOQ7MXVPgUKpk/KwcZM8ocJ58hzxRo9FYl48nmpU6gAUi22G3
EzdGlqNUaMGExh+Ca8HKZwBTpzOas53rrlvQcdRr9daxgrfxOluepoVB2m5P0nY6NnFGZV3I02hf
ZTqrR2xqwK0KSuyffv5Z/mUTy2XL6MdBzEOJtygx+f66UC7tPw7i7BpLdnYq9CTfFDGyIikkYvTG
uxb3w6klz4l2zLYzu2qrtH8XZVp9scnUHkuJpw7TrklGsEjTFTh7Yi557hpgZS11LsKivsK1J4e9
VNn46re9QS9jUOwxoWlPAC3lYRagSMIQ8F2MUh8OXtLGm6YV+i8uHJ6sf7lwPkbvFgcStuwf//+b
p5jydIXqzk1QJ2V3g494DpKYmr1TPNbP2ggMrWS+CmconS6EkOTeUo5ORRr0iyuDSc0DdbbjG410
+teffw9/83z15oesyTcgdLb2338NqRyzjkC2s+7piF2yY34Pu3Fng0BduUP3i0PS33wMHMjmMbFu
eZC+SR98+ywoWB96b2yc9TjW7pOOjXW+i+PTz9/S3zwQv3uVH+7S1IsjUUP9BaIURW96UReoiGBn
8Ink4+bnr/U3TwQkadZoVlSPI+8PHx+XZKwYlTjrnPn93tKy6XUSpTjYlaXfmkPNYxdoJhWs5GLz
s58H1ernv8DffKS+jUnF5eDJ4PQD8fzNlVVoPYGq0HEgY7ndJ6NHxBmCyf3FKjyDBr978jnQKRmZ
MjNl8qp7H40/37yMySPXG9NYrDunulWIzuw8x20cdZeBMIwfnYbcWlpD/zr0I9zflLGMkVIwOxXE
DKx+XPktg70mtOlCrlW/dSVJPme4rU2Fp3gM9bXiALfQmesreyDuD0S6WmV9+Uat4S/ivz9eHw4y
A7RUVkoDR4g+SxDfXoWTPSVlKyBtlSw7ZBcJOpChwC4uCu0X385fPjYm1vPCZ8zd5wZjvu9fKpwC
M3VbDmxuKuR1MNJ66epTt5dVTuiWymh8f8YvKbRIHD98XQKrCGN3IJMWJgm2Z9+/bk+fnwntL1h3
aX/PeRYigfQqFPahf7LKIhMLY6hvNRntKtk/u34OKgpMwEssTWPR6OGevQ9TP89dWIE410oBijGt
chtVapuC7iPUHj0HZv1cdOQ0OEMyHkxqhkwQ+EqsngsXVgeMeDjMbq2ffdGjUAAvIQKHgKDhjF9E
On1IlRE4R68IcE9V+kGZGpMBtBpyjCaENZVdQNr4ON1xKnE/jW5CQIWVzvbugN61p0m84Nx8zUEE
nPIpY17vOPIJ1bE9aSWdL30Mdj+YYmMBADxbVLWLKBIx1OG/0/h5nDRmxJBYGQZiZX41U7/a2qHt
cxRvLPt5iExv4+vZvVLdufK2Le8T9d34GgAyWDsBcclIk9ln8kwRRS6pU22cEghlHvmKkjcno9YF
O4FdxsnZALVGsWVcNnSX2Ky5VWu+gUX0jhmla5uI+AadfAkeSt/ogjXzATeDc2Yln+kZ7dcR4g1e
uxEHqLij8q1YNaWVSbqUWjtdTmU47isrtC/4nEtadSlJxJqKf/WqCHOG8ikxKHHfUocwDjYBG9N/
H3sqBPv2HqXlLWZ3+SkyKaS3pjxb+173mIXldZ0N9aZGhDkGCAnkMGPr0iUV4b9RFRk/K535u5MP
UqC8ZP70aZCtd+wS175qFIH5sJUalDRvYJKgNd2pgnyxNabUOTcMal6pPq1PbeXpNshAEAnI0Fva
pOsrnYThBVnBeMpLlT72kbWl2bhgwIsAdS6KTF3o3ENsgaMCdou4xbjCeD8+pHJqLlYwtg8kEn1Q
ndVIhDRQW1VoyY2mmOJPQwW/jI3WDbUl4TLWTZqryszllYW6CSatXeN6R+XGHfGCK6HaFaJwbsxK
lauQb+9qirPmErbpl6pzQcbM77AnQLylke+sS3s7FfdIpsbSg2dZBuMx0Nx6G+txD50jKb4GgRHe
4zeHWEivAhtwz1h5JWqcRj3OqmnKZjX5WAiohnIubtmHN0lZTCtdgaApxooqA51gMRCA8TpTVXbK
He8tLJ3nXEcqWDDNBFdamdHw6NZuQdtsT7R5xAoeWtCeW5jwOzS4fNFW8rFS9SMDYISnxjEq2NFG
80l6ibjK/DLb+rAD1iqggIyTT32oMjD6FdOiq7hS6abSyK04Fr8UKmz+ya5y7Yhv3Wb6GvCHk/yW
JyyRbNg+mGwtseZPyS2q7CGouzfLYTpVDJSNxkz0F5BWh2UchfwBDY9Fh+N43Q2dtkksjwqomuio
UWjendWOX2rPKW7TqhcnYu8KYYPaatuKul2aOedJ6dalxZRA5xMAmVVY97NfpO65qZpwE/rQBFrf
Wg5moQ4ufGSkGXJeckTKg8MWPjTWh3alpr2uM02CjFIvR4eno2PXIwtESXzGCOMXgiXtoZNOf4PA
mV4c0ILHxtGyNZZRqtEoaHPs6LkMs3ojRUzWXQPQ3Oh0onfkdwb055u51WgxaoP51epB2PReyejM
D3VcJ7I8m1rmy0XA0U5srMz+ZAWlwzNQxtAegOMabnLSGr29lcG4JxqzbC0slkl8HyRJzjtWycXS
B4OIXmS+6qSXb1UXs9P3ego745qowqKa8FmgbZ0qrForkjUTAXrrzoC24eRY/Uljd2AKW6bRqoWE
Y37Ju3IfGs6K6tMveQSINmKkuu0VPX+Vpt8xKFvV4dAdc6cLDn1bAMF36A1+aqbMWClgcAFZExO/
Osg9lzHViDdJTdW+MRr8RDichjqRjIJrj7kYoPGwtyCYuwX9LVpZtUt6mnLib3Vub4QPrbLog2u2
HcW2iONkXzDeO9OdV27o68ipWIau6ghc/LYoLyHcV2rqfO2FQWLxMlV6sjUCN/oU5J5NA6cdHaKg
sp74rVGpKYm7ybsIku+AoykUKnzxDS2+Lj28365g5azMkUrCTPlXXdS2S1pxOQ6mo7eimjzbKcvB
dTM6NGBUiX5M8XsBU+LhHUfVpTLeYWtZOXaosb73mM8jrofqTE5rvBUy8fb0vI/AaejW0m2saXba
BI/55I9PLYmRpW+mxu0gyxLN2WYtDMle2zQ1fZ6x6ktl1+WGkLz7pKSu76LQL64xtbDchnTNiyRc
DYklzyg7zZpS5eLQy9HZk+ByDoFFti8MOv3e1MPokkaNtaMtxzvYvqQkxo/lscs8/q32u5vSjXGT
lPE9yBN9GdFqfcUlui7b+ouXOeEmT9kvLtxqfroQjjCSRUqCYD25YtzVtrWm9ulatSdHj9ZZLXIo
DyTWJIowsAAlKH9rPfdolaK4babIeXWiMnvC6UlliGZ/GgPbWRVYAdgZNN0Wh1LlU/HTkOy1kUs1
5r7XTVIKnmF2tbFdbe5wiWt4OVV5pzmdrc+oNB/0A30su9Jy1UYfYX6lRlmsJjvjwg+aCrDmQBfS
LoYltSP+++jZjXv2+PvkuTTtkvtxepyi8lXUNELqSUX3EWid/C6v2ps5eOzW9nvuVdfAROQZHolY
DWOXrGQfxrvO4nPGcYhDw2KcjRx1ZAy+7mSwZKMWbKog6xUCATkjqkT8U2/4LcjbWj5wxBR45VJQ
+75NBfzCrbvqBr9+8MmtXOM2yxr9aDY9ficph+MwDPVr7UQ6wM8yDO/7nF9G023nzRp0/6sHG5JI
bxSvzZC/ZzDJXVUir0hPsOnbBE4Mi57nwvhi+lALs64etYW0Crq+fDe/VTmEprCMuzew/KIllamp
vQy9jkSEstTCNSLjQQvYk8QhQJYVJYrOskP+YTADgXVrE6dlqWzL4N5WRsuXn/psI/tMbsfSwi9Q
ByVox5KUyCKqzfRT4fjDExP4FPgDY4sKCxo6+TpurZDcWhH7N0mYANJNtH5lcRgaeNhozrMsWYLc
/+LuPJZjV84u+0INBWwiMQXKssiitxMEDw1sAglvnr5XXelXSIruwR/RPeie3AjpOLIIZH5m77V1
XL4Le0Bp4hkGscgT1MdpUsFNgK2GLx66gKKeyZ3tqIHZgGo21tu5YECJerrTtxr1x00+5g+Eo//B
qfw6KJdoy3Sxr1owI4dhWN+GldDmbsWrQ5hLexictd6CX0Q/d7luTPvCow7atbmMiOZNpeCb6VIO
1+hCSUCPh3Tno/G8UmyjEBepeD6OKd5nRJq5QgDJ7ZqhHVTwW7ulyuH4ZPqlwjc8xN+r6z/IyX5q
5fhp4a3GAvtBcORbCjiB4DdD3TcXbG9nVn6E4M6/LkdZ9JsSpeaGwD4s0PW6Bme4ou0Gg/8K7d0Y
LEZRRPfk0qsQoLX9o9EVBQ5U6WDZ1PZwLqosQV4mPO9zniqyd/gShrsm9pL7Mpgf41k5B5zB1Tuq
whWZFLT3A6Ol6WfM4/5xVRfa2FyTr621f6iMJZGhx7X3PQwYjLWyYhxpWKnjytF73uQLN7atSRjP
p8PIPuu9wp0fttYgtyQFkSMLUwpPsMYgx8AltAJwNWOX6aPvVdOL2WZcOlKO2K0hs6K3qld6VjOD
cD/EIvvlz1TbEmsb/r3FwOROGZO60bp2xhXstXxL/d/d+ggRSH1l1LptoaNe49uC14Gyx9+RXO/v
88AkvDBzawdIH2AnAGny0Zj9C1+FoeEzed81dE/fPDGiqPettANe7iHAn41Ywo3XewCH0Rio6rtn
6Libnd785B22twucuEMxyPXOGM1hCxa4pAwe2vqI9824MVMnZs03k+gC8i++bSk+th7eXJzDZb0f
YolJjPX7iRzAZwBmV1gZ6j/rkGR7qETpo0uq1yMuKrJ7NBo+XEsVTV0g7pHlmR+pVwYPQ2HbN7Zv
sr+yyuTrchR+4LhPH9G5NUBLrAIzYg6TUudG8Oyvff/kF0ERbIY+++JgKc9YMefnyVyyfJNhMdxZ
TVd9TAu8eYd000MKtf8a9GlyttakQTY911d1rp2jTgZwihYCs9qwk9dMD/GttnEr6pLZyyRkdlIU
bK+omxzUyENQ7ql5QMI0o2tsUYYFh2b0RzCeQ5rdMhkcXwqXyeBMSPBVDXMnCEU9dffYtH3GKSv6
pYp67STKXvxMFtAUvIBVdu/wqN43Moexh3fHto+eT3+clnSTh6JlKBteInB2TS6rQ1pN+WvXqfa9
yV3T2jomi4MQkLJJZnoy5c8D6oqNLRdEuCSpkqKqFI2NTJR53aRjejaEWW0tr9aHMW7h4TsWtqEl
be+4JvMdNskSDI0CepqSJvRiWBVW28woiVGXHpKjFSpEU/Xnwp/RHkmfh38shoPmWzBCLYlG43+6
IprY/bfbYpEIAAKjYdcxJ9J7MNIEKHCbU4XEduFGCKm7Z8imDExJaWpCfrn5KnU8b8d1tG+tkWwH
No4TnVRrjJ8euvD3yjOqdhsT0DVGNZy37AHtQr9Hkkuxa6wL1sTa7TgZkuWBb5QRum5JOZpM5ey5
1Bf040IdCscwnRcVx90vXF9oPDaTw+rKJv3GjWgMvOkULJmAlx1bPrrwBfv0hkraMG5NT/TyZOHe
nbYow94GNauDXqXzUK5OcMiMrFlCNda9DKnwcxKIV0/LLX3mdNs3U8NRsK4DOSxFFqQ7VSHE62vs
x8C6JMDHrl3sa8Z7sYn8yWNRJYFbhJjJjeMMB+CmcILuORs9YpUMU4RT49OnGXL+XYE7ghuw3ekK
76X641malD4NtQL9Zs3xb06jc618tb7i1+l+UfSKGygkxjffevM+xBM6Uxnr/oqrkGOAn41bbReI
5e3Zk8ly7mohdSiHleAvDy0307CE83xU5QSBu0RLGtf6NhsD81xDeP+gtaRd9KdG/skJhWK6zsH9
2uDsKrbSmU55n8o6miYDp2QwCf3eNQSugWyI31gp8V6NJcIvkdWPFXv667j1kgLOtfOnvCAxpy6N
3N5lecI8E+jeelUUE5TTlREY6RVG8oBpuXyaB9KmHVMnJ51K6xaVhMHgox1aIsrGqtst5EIeF9XY
W43QjIBWQjZfnVyMh5zr6wWsJjEYUuI+5zsBUNKuefFZUy6BPqr7A69qcmoAbt/pLjcI04BJiNTC
NmI09nMfowydl7jbeH7KLTmP602OTfFtohv+Y3uNPDJdJZponH86a/xpO+PZpAUIS7AIRwei4EbW
2ERd3KURsVbDC16J5AoxX3Cdu0n2M/oqyUJyuJczky1uBkVhHUrD9oewIfphi566i4gyNX4IcQY+
ym7tt7O9qfu6/BMoj8XUBw9z6qaAo+1LaOU6ZrT2gnUm2V7O4obaIlAYib0I6yWmBV9fvBb0QISl
/k9m6ArRqZz72zn278a09256zmCPbyveZP3cMdEpnOE0EpR+bCcX+jJsBED1qwhtA1kJjUmxF/0y
l5cjYt60y/ohB+ZwyT5Q7rsPePbWbHznreNbv5JcwyHzxR74JlNIpkvOC7dT5JJlt4Z5vHhnw5qn
iFomRwlYSPTu601aqeYUiBbZSt/ob1zrjNsUDpxY0+saM0INp5lI/EIG40fED/IeGJZ37ChpCUvg
sprCfuZK7ok5Q1CxGvva7P5itgCATQZbnxHNEGvgtv6x9u3EJFsvARwnUcMyysihpuTI4COiXo+r
1T2ouE3vLJu5YGB0+G7E4NzEaLT7nOcQUDA4finr5cBPnLyS1UYfTq/NE5sGp3oM3ibD8V/SVQhC
g1sdYZSxGM2qmaTBIbkacuHcoG0VKEyz5m20RH5CSK0iigO9tWfo0NnYoPiAv3Mzw7qG6W9C1g0c
rNIhlN/03l/oit0RxnjrB9lX0sI91WXcRo7HGg2rZ/WshFc84ZxbHwwj8V/Y19e0RFmsSL0ZGmcr
E7OOSpFbzsXnIF+kkQE016X92C+wQG2SwiJaIHzbK9n0GnNV1E5tHhGrCsncrXhUAndW2X6iltxz
TecYN9AXRQah0+kmSInWFQQXfnCMYk8W5BMEuwDj9BrGa9Yf2UIT17N0jVa7LvOHhx4p6KGkvK85
TWVDgMgl+TMMvMm4z/A0nZu6jq9kQ3gqhtkSt78nrme3ag5TYVU72VxCUMeOHgj82qaNc32XzfVd
pxznmRRgQiLsj6wWn0EZeFBRxAzuRRDxLNJVdQCiRUQq2Q2MD++QJKn5oKEkRSRdyysFq/km64qn
CrgcUL4x/W0s23r0W9d9Ggrig1HFrlujGR/hr5BBG4vpYVKTeRhKrzjP3KQYeattl+SQBTDtPIpV
qT0iTrGzFVNmBrrODVDUYe8J3e+ICYVPO3Hmy9Y8mUlp7OdYHcl68PeDy2NEqMpvT7fyDfoTnL0x
R8i122gGRRqObL6KTKujadfltmkrMOUpcbhl7Pc1T7iTkNuwpk/9MOxW9rFOU/EzZte1ha3w5XZq
PSXT5Nxi6Gw9TF5IhQhY6g8V86c9crhhVxcmGF+oJWQ0ebeN19CK9UQNRK0H5DdffKKre1bLeov/
6CRBqKza2AY5ITaZMbwr8nQGaSR7rG4W5GKMdL0sxT1K/KjuxLW9kmCu6e/qPnFPGC5umf3W7A7U
vk7z+9rwzD+pXieOJtphe1Iz4/xxOTEAey5g8Sba9CMWD8TVQvRJRizQTptB1gY12bdz+U12YBYV
Tvuxrsm1Ba4OHWFW12Du7YRIAC3BcPqGt9MXD87qZUffXjod1gG+ubCv2GRRevgnDzFf1K40yKLE
HVY7XrWVwNEZUtJOYAOYPyqMjyc41QQP1YKmnQzthDN3Y5KsMG7KzPtTq8p9FE1SASvCgtSGE1kl
O1Kc+kO5LNpl1lKnV56RFeLCQffe29Eykk8MVQWvZ6sFfW9gPSEJz+i1RqZtxTJuAf3iSKOX3q5S
LgFOKc0oo82W+9hw48dGO0ANhgDury/tI+Flm0Q29hWJGRkLzHGalsPor9ln7Mfcij6hI+GFD5g/
Gdmas3K0kPt9JlnMQYyR2Y/MJjXik8joT6KkENb0HgAYvA8ASjtH1tlIAKFmXQ64LL8uPVK51mIm
OqeB1b+QRhAOCfehIHH8cp4GqO4Rvz/k01g8Dr3Lacu5Ue2dHLxsOMVkR4awmf13XZXD51LbJOD5
8Kux5AxYLkG0hRAuIe3Wc7lbV1TAslms/pB7XPelyY+aZnCkW4w16hJptG8MitttThwPK8zev8K7
wgyflB/X7T1Oq/IszHqm/21uyaU+dkp/piZUZfZct5iJQtIbcRskoL1749EFwG2GUFWSe4+C5IYn
Ln2Pm5wcTMKSpi4xr/3F+m69edgki61BT4CV9+IF+n0e7EcVfIzJ+OA18xtyxRkFYEyZkeMUOM5Q
ZRKZ9Hu3autz4DhQRloedJUxbExQCSOysYYH7u6KG7JgSpaXWm1pA+hUe7jn+D/XUf2so0cMgesQ
ygR9vqoIgSLPmZ7JHU1UJoKtlA666REodP+cDBrwS+YwpC695pwjYMBlfgOkBGLH7Fsbi2QTVKlA
It7oF5QJx8NvgMmAdBlrp//IrLyDpgmf6rT2nQk4yCtyCt+MtXDTc+mqIeHISwlHgQifJ8FhMXFz
gXl0yPcqFKT5svIemymwKLSYn2amwXLEy987/CB7UnIYGC+c+1nttRBl5vVt8enaVMQqi8kG0czZ
rWjJSZ8s5x5AcZzsut4Btm5mxQFjx3TjBr14w6FlMfxirUdJtHpRnS+BeTOXhtmEvs/HgB4MiycO
oPjWYTT0RW9KF7Lm8TkboYmAW0bmQwRC6lvb2LPKZ1q4DHhuS/Y1wWXKMk/AztkXdGPxrPrm0A56
2nlqeumBvfAJJs8skPfakv6hZJe0Hda2i8yFtI+N13rMuHPj1klYKXKuZM89cCMUI5rOZORBQylq
tr/Vmp114xO7nC17n+zyCr8FeVBEs7gM8gH5Z0zgU71NbbBAHUqbIXRtneyCRdn0+KhhxMb1sj/2
YHt6P0B7Oyj6zzcT/NEO1Hdz9EiR+K4K5rFEc/OATGBoslA1wfhYehY5s43VAzci8Jfh2upfY1tT
z/aMF4VYHxrsyHSTla/LR8RbieQeoO+5vyTY4VTO8KMBIy1tVcIuCEq1ac2hJmVJTevDOmcV3EHo
fRs7lfZBEsFSorcYWCfgwHnLORW/Vqu1SLix7EcBpYE58ayzk7e6HGGeD76KsO9wtGMaudo2TiQI
4w6W8M6OrT26MNNIbjhP1DFX5MldcKkdPOwwTecFlxoxTFgITRvmYc9HHhn28FJ0uHkJ1pbbTIxA
YojHo6yzj8LXXIPEBO29jgoqpCm1b+jgSP4m3Zy056ZZ7yv93eWZ8VMXsxG1/mBcF5eKd1rtjNQZ
XZ9hCA/IpMv8Ll9XceBVcu4CxkEvbmoTHRYY3kZCkaff8wgDXDsCdQoyyYD/c25VdnGNzgkjoz9S
O8fNdOLEnQF3OXI3cErvCbdi71+3l81YE1uvJeOGK1Krhw3WopR8dUc8DASK3ICq8r7AfPoxfmOw
T/C3ZmczuJCUU5BZUZlCU2aG5GzM1IJFWxiwnrPUe7R4Pu9TbfEoJSRkTe5aP3hItUIU5iLi5ulQ
ZfceA6rRPZoNUcAhgVnZRhaeesyULvZDJ/rXJuasq02Hhf5UoWwLFzPnO1bGQHBGWZHqoROMhKC9
0i8XHe27N8rsdrE74NV8MQRaXFjEuUMylY99joAZwSdV1hfz2XJKDeBKnOIjP52pbuSnMRHvLpef
ZIR65AXOHQ8U03qmSZEq+/wuNSw1bIaciJMNcfBqPgcrq+u9pusd9jWHZxqlhEYceKwbykd8mOFE
TvjRukCZ/AYz2OUiGk3M9+UyRwafLJKBNbiuRivGrK3aLzvB6cXMPfad/rYx1HKszNmPisIYifya
cuQzKUHA9wnDokeeruy1qLT1BnGg3Ai/S7aJ4SW7uI7XW4J8y6jxB/rLmFTGTV9a5huqy/65WG0G
UxIUOnAaSx7T1m4iZGPJT5CscqNjkxw5sS6PpFHo60pVCnu3U26F38ICnU1NP2qONusX668ueYhm
h6BqaFblxk6AdHhLcglvDzB5codgmCvlsusw7Z8ZtPTkhxbGZ5Ek4sXpKLQrmqRDBwWaOayPRzHL
s53Vi21pz8O3gV/kmE026ADfnmBpp9gh43Wa73giS0pqt32vxZh/OcHFqJsm6yM8oxFzMP2OBkqo
LwqGDVNj+J45/y2YkjwtSRwMEcsNOeOJ77tHa1Yd2dh1451N2I9X/WJVaJeMadh69FqHJkvZoK+F
ebc4qaSTFMo64EQvt1r0aFQszVQvyP2neHTsc6oxn9qWz9CmtCfeZ149nXQsMeVaPqetQkJiIKFa
u/rGqI1nvzJ+HKSdT0qTYQXbMN7B6couVS3yfzfLXkxwcDBIE//JmYvxwQAftsnz+4lR68528+Gt
qEV351nO/GbEab/NEaKcnDqTER6a4Y1j5U0UpXOzGJf6YFLF2Slc+1SVnbkndVvdJX0GT88bi28Q
bRjUJwIMWzVmtCompwMCqwO9YZZEjbb7FPCM6x1Lv2v2I4bUd4UBaQn7ZbW/FGZi9hYaUEBJnXzK
My/ZVLjFcPZUatOJv4DZgx1h9EEaUQ3AAJxEH5UWzH1Ev28df7jSU1xHqbCsNy8o4WBKviocTZmy
7hm2ZqdxvaDheSv5W/15V2uzOCZD6dxpv+m2CmvaxkgreSJcGlFs9YvlYydm7owSss6eMhrI4OK4
5JKQOBhhcakO0G5pWGXyjtX0G5XSj2TaivHK35HvtZvBoxOqIvK9buqfQlzST8TFiN2WoVoKDr/F
3eCDhZKQXE9+/TIPHDvz6uOuZDFE8pDJ3jjd8spGBMEBNQWTWY76cemsA4qhyDfH9LDkVRl50Bsv
mZZUgdPMIkvi7NeqM8PENg6r2VyVjnsY8uXabZh+L5ZgI8RfeejknO/cPkGPrNeMZnIY8g+s5u3O
8JP8RvpZ8Wiz/3ryKjrGesUiJFRt7f/HWpvUjazut37RJ59Gmro3tMDmbiUjYV8RUPn8l57x/7Rj
5P8loI7gdf4XUefms//8h6vy/KmwaJ4+24r/r/g3s6X19z/1DyeI/Jvn2YzwAgE0BwU0er6/O0Ew
YRIM7Zko/UyINrCi/ukEsSTh0dgzTFfyBaBa55f+y2pp/Q2CjhUg+7VIlbaIuf5vWC3/UwMLSkyi
NSSEOuBvAs7072JD0XmG9jnRt2iUDwuadKLEfmGx7LBoELrR34918du4LGv/5VP6Xzg15F/Whn/V
45PPzVjFYw7EepHv5T+8BQlxG6uA/k6EXtD+kH1gYsNysYpP3ghowzYJ1qLYcXEV+pmxPsydnkte
rXRlj9TpX8K3uWzJmUGKVBVSvtVyqU9M5LEJNtniKjJKPOazXM/yzi2bGScc7+LO8WJkUS3Sk1WM
/pWR9KBiu4C+qAL9AmaTgSJYlNspYfCEB/YrN1lTMd/aXXJiIjoCpDVN9bAopQDpm1sgtiZV+Eyf
OLf5gzODkiRye3TOCJ+suxJDw9nvjMsMfM65NWQO9Fry78UEUO5nR6j7xau3hc5xtuXdTaH5KOZg
tYgkmM0FVEOR8YenhZOcHdn4RSa1+9z7Her6brASopWC9tqrwFtaGTF7tsg4qTWQlQgpaU56HAFl
GSKEB+GNhL+tKQlOLBQtdr33C87xTVz36RvRsE4SFYS07Za1cOrIGYn9nIyu/41nTP/U5gGM1STv
g+9eTx2z00mgJ2gDE0IQO1bOMZ6xTUyCx0NXNzHVvLuwvSRzMG9DhdFlL01S0WzHpHZlsXRtE80a
OYYnzjNhjLcm4S/p1i4W7w6Pqx8JtzOvs25GPaRnbJzJlBBlTWwfd37DJYzKssJKj85tX7vDfD3m
st8xu4DwSS23y7N+PVXzqJ+bSvoDN1xHlInvePWLPRu0HT0M7tAvJm3s2VcH9V1iO+DJUyDXDc8B
AFPiyxoVuZ0O4GtwfxOuYZJOinxlfVGljW6EAFjU0LQsZEgwtJXLLb9vaphkVdaPZ2AA3iasPpBe
9wG4mYnZnUlMmBcNrHcjD2nlcejGSzB4Ved4okazLsIOuhZa1gs1ok609+ItDHC2a76IeCPGioX6
3EuEz23H4L3mKjjGqsM/mhDQcTMMaf/REP14U5AR+cZgOP2JQRV+8clkD11RBbd+4VWwPJaSfXnm
DukbN3iGPwVsMhyNynFDYVrjHXIL/pXVTi30QUXQR0vpux+oProrAdxojmJ3RCeejSTlbFLHWrZo
F+0d5eLyaNer81BZsmg2k2WD4c4VwSnhGozzF4pNEmrzZNL3Y2wFH52s09c249PburKtUXSUBcLK
gEJy7NF++cNgzRfL5vypwNY8T0lAtq7NkPezyXJAqhob1cayWuFFglUooTXAG36MLrMe016rF/Z3
8b2YHf+tGkobDZtTxsbGnhxkPCDOaZqtkaDloaJNqUXjbrtlQPyfIF3GqgS8vNt0DqytXZbKHstm
W6I9FrNvh0kqBAnRJr4XUD9MbSlUyWLrGX4TXjqO+7RI2wdmeYCHg8QsT2tRzNZlt8MpUrBPmjA5
TyRB6oWxilXI4iVfDOjKRBLm7CQrv/4yySXF2Os56rA2BgUpcjZ/4SS0/SO5ZXw/YrhoSnQu8ztD
lemd3fveQDSlh+Z6hV5/nyH5eOFHyopfC8UMRWpBRp1oHxPENxtXuxOCUE/dlxZqolV3hE5qmLdv
TofTgMMMkslENtgHhzk/UVbPBtQr30LTRb9hoNYdE+gwyawBYxps64k5NqceeOrMV2qw5RwSsbAK
lHlA9iExyiQ2xLFXbwpjHYmTFNNLabY5o0R22Vhex4BZmmkH9nvWd6MXJYNH9pppGRXtOu3iDRGj
w53hSf0sl5lhZAduSW5jxu5vExPb7yZZ2Sqo9NImZbj8GOiAZkJjV6ZEQSDTWpKjReouCy6iUs/0
QmZ6V5vou7bUtM5VPYok3Xel0wPbMAZAMQvbfn3T1ipjptLkxucUtzN0jyRuO8C1VbzrKuZgDAV9
tjlOk7PU0GuCS8apyIjnwWmZEzAcQCRSk0yOBBIdAVtcMq3E4nX8FstjGDq3KIpQLCn+iFyvgnzU
kbZlfMOT1H74KMpujKL1X2hY1dXIPPq0UvzB6uhEeRDpwg1aVMPyqqTFoUdM13TGESSrrSo4qdeq
EJTIRdo0QGZd/7uuhHgkGggnNAktTFwpudF+DX77uwxjet8KAhqjDA33FkDqdJakOaGJYUHgIJd8
rUC9IJKTdUaaJ9dOIi7UZlGtJ2VXjAP9oTuhukQ0yFf+iczvPExpDAHA9JZwpZD6Qyp7eXbjoZu2
A90BPYhzQe/Z2vPNQ5ws5nQJU4s/zYRooXAQfbFc12IBXCPFmL4iPzb5Qcsyw9E/EwEcaYvvbY7T
5c0h4uGJ41ffzQwo9rjElvea+/la2Al5gxLo1bsa5oCEhg51I1HWYmWimfvEFdsD6QzotMgaImvK
bD+mwevv0COO53gmc8H0O2R4y0RQcJytzx4v0hedQ8xagi06MK9ybzO200SVsKEArta33yujRR15
DSGFxJbQ0V9+aPZ9BvDsEWI5WYamXZTXDbOJd29I09+1IOAaeFPDTMdiwcoHl6cr2IAe56J7XGcX
dV6dxPJtQVLyye2S3dNcpTPHFvKrGSV1S/5U3WsEx2HTke9gxlz5ET27O9PoVSgbDKd1GWxCTJyd
suMloO2ZOyP/bOwgPtdj/YoyhPkR0CVU9FZNEmW3pDsKAyhYQ2/442lJXUHP7qQTNOEL+F/Fbr7T
6YwOU/FJWCpe2u2gDYctrC2/Grt3TlUqJJg530oIia2D7oDeQ1wPrvVOnm3zXMyO+0cSYF1iu+Ex
2wZ2h87UsikSWHr6/a8UBjKWZvAhC7mZJx9MRyTxbhidZWFinqAEIP8s5+10BnJm2YMhjZSjAodo
yryg+0QAVZ+G0XVfoX7zRCkkOBRCpculz+zr0JZmh/oPUEARcsFbv23BRpNzukzesrZi9WEM7nwr
MvSNG3NRI3F+GF5D9AewdEj+Xa6yJjP+kEQ7wEtAVw6tA9NEpL2i/3AaFJlAHDPjIzFELSKnW3KE
eA6nQGArgm8sZEmPldRoAJNRU5u41jo9TwVO1mhBptqRp8DiIOQRYMxf5PmS3CyO6TyYVbnKXTmJ
qQyztWxaROZotHph+9/4fNgugja84J82baODyOktsUNbm74SjHjR8K1UbG2cWmGBxiwczQtuP55J
18MFB6Opt4yvxUr0u+mRBAlSnaB2O8yJugyTXqqdmyHRxGaEa2HV/GM6sW+JimU1J7x0o9DP4iNa
NorAz0NC/BuslVy697k2jO2kKrmzu7YkWyR2uXLH+G6JPaZ5PrNSiPbqi4Rv65Un0fmdsi7ftiSJ
8IaBPLrzh7a9ztN5wjmRl/7Dai1ZvTX7IH00FkvdEETN58dL8UJmNMdV6WCa2csuX17BtXdPXdtf
VPyrNy+bQSSdFVpAJH+Z6w1fbsqEO6xld8nycGITbyvdza8j0fACYEef6+ql5ortbJfhsLOEyAcx
JyQ2TyFb3KlKN9awTL+ZwQ5Ir416nFYOlVBXsR42DAVZ+8VVwt4w7vvZPgyuM0sAE/NyRQo5I+um
VCCXLhw2E1Avm3WXqRXXWNWUZ0U1rzbFmo/m0WvLdptYInvURQPdaVlZE5PaG6LYXKF5NfjnJhtI
Vh3kWJm9ZpjMsKwEMskyHrnvlwwRmZ+K4KmOx9XBSLZQCXJRlg1mL2LWNrXVEE2SsLRFK6nJPd0Y
7sJH67s1GjOldvhyC3zjhTZPOIfScdt3FZC+xOvK12WQRHpf5r0/hZ+wUm78mKoIYCsloiXAa4fJ
ZNcv5uCUT1Nnym8bleJhWpZZH7F8VW8VnXGNlrnNP3NWiuaONta7nZZLEq5jVCVIvsS0TkECoi0M
qmBBbFxJ6WzGKXY5HFxWG1zDdXOP5AWsTa94DFmLoqOB902b0104OPZfSJzyLzzO0rrmk1+15JEb
5U/1F0anYOPCcPIvvM6o4H8evAt6R7QTuLx+pIRMgY3Iq0xJ8ypukQ1wLHvFsc+99q5jOsZmp3BR
kLsebd44k7OSQWU6TjJB3mrU+TezXxNwLIjYE12yd48k9GRJEJ9TUx+Vba/nOS2QpAq16Wm+trUz
Mdhxy31Ws5uyrcQOJ1vcdrwAtxk0AfQuvUYVjIq+9ik/QDB2KWbBvsBdDr4cMQdhgkNJyPk4mXh4
2mxfNVZ1j5hI3amlxbtmUTWitV7amH9mccvrmlSqrcHSJvQXogAWaHS3TkAeLZPqA6YMK8qpLxOC
Nu4A75kvZqXsjgOWebtqu9cKRVwE4Ew8jHCltoRCLzuvmm/91Jinje0NAg3yHBzZXwNemVCNjpxQ
gbkJyHWAK1BAxWwzuW7NtqzOqNyCq3VE/RTVcYCCksP7h8CDfYNC7hcVeHGXjEwE+7EK3mtjlFc+
27M3uxHJt+QCjXw+IOzqNb/FHdgWalLGMD+MbWHcrcLxfabimr3YmHb6SbW9ebCbGKneFCys7lXK
HiquhnCE8nfwRTo+M7osPmKiNCZWFYvxOw5+1X1AklUwj9gb2FBRYSHtyWOfYBK4wGv7iykDQLku
vw2rh0SEyYTEFYKFLThOFjxeSy/FtCMYPSHrRwb3AENIAbZkQzCzN430OKZmyzKw6I9pM6kUNsXl
zkQ2mhGFpjGcIHJypmJDjdRd6b+OnZ4v7b0XLgstnJWxuZlng4diNO3VO3iKNgGbv4NO267hTkXa
H5AeOOTtfvTI9X60l9nxxrWDYtnITgbHYAzm4ICNDJoU8mCK6MkpxY9M2GpkTHJO3dRNZzASK6oD
M6UwHawcEZdycaG6SZMhYnbrQz84zoPbm6PaJtLkSIwlSokELR+WSt2xf8qUv3j7jEG2Jt2jGu1Q
jLZ5PbSajTz03YsoJW2XXW0AJmacLfv9/5XJ5/9/wHHHuzBW/vcYusNnu3xW/z4d/fuf+cd01P8b
KFjT9H0PtJwrXQad/5yOMttjoIL1muEkzcc/p6OO+Te2rkJAsbmMRh0fa/Z/cXL8v0HdMVkE2BYE
GH7lvzEcZeXzH15sVssM9WiUHdeUMO/+Y0hZWDa5YkVaIXllGIZte/J3CiHkroID+ZawI3qnBy2P
FfpkElwbLNTejEXKBBVxaEc7OOaYCh8Dl7/jQq0NXupBctpMlX9eV9N9zry4u2Ep4yCLdfI/dWY4
Z/yd87HivwehaIIAlWG9vizi3e9iXu0h7BrE9ADr7CfkPNTEGQFhvwiM7JtWivIJk9mFd2naV6z3
rLuucYrNQNDgpk9BjSSaOox1ev5CMBoSW1JeXkyd0lLnapct9AnSYKuKijPYEp4kwzzvGT/43HRe
Ie3IyR3C6ktyW73Ea9BRYN04o9qv9lmHtdmdKSqdZiDcXJK+nPWMLsc578//k7szW25cybLsr/QP
4BrgGBx4JcFZlChKooYXmCJCwjw65q/vhchbWZm3q7sszfKl6zHtpsJEinT42WfvtTusyBzZru9G
Nsu7GEgscm91xlCuHcdMtzBPLLRkNvfbHgfQU9/q7Rnb2LxJpFPc18JS1LsoY8N6qr9mRdQeSB2j
umYk+9LOvg84tikoHGmJGTvv3cAUw72MrV8ohbXRRJ0+0Hjf7O1lpmubarl7t/Mnzle8knFSbUsq
NnAjLCuvWWaboGntI4998RKk1TclIhUh9RZ66XqkCfldb8fw1vbh8DaBDHv2IA9/gftgB2O5M8XI
cQ3QZT0RG4oPjt4RJ41xzS+OOSvGA5HEeBVmOX4koKitbRpY8aVwSV/G6Ccnjz6xTVNB3PAtHmGx
X3ae59M0NuEi00zNXWto2iVl63Nxh/00/zbQQfZBbwjs/aVh7xt8h3fET7VNMNr1E6b6DN2CwB/+
zG+e0cXjHNHrpI2OeWaeCf1cK9pXnt008Lle9yr7JL6VNDf5ijukcJLqlPSD+Ca1ZK9yPeEClXR1
VyLkTeOjEMmvKHI/bFsG56qZYTyNMjgRXrf9bigYddukJFlNtVeX4sDBjtdDD7lGJRnqeFbTcaxn
+UAqc0fcG0x+YWC4kGF/19ei+Gygje4n3Pb7MHaju2aqUqwr2YY5PtjDYsM5vAz7j9y2yoehHSZW
js54BKxov0dm47ibdO61NzJ78S2sMgqw02H4IByjI+PQehRFhLRK5bqnwayVH3vkDxz7MR6N+mr2
Yw5wPOs/E7Oub/ZoRrum7Mz3qq9CCm4YN9k5BhjhS5yjZys34whuRl3dhwr65soyLZAwERtfEMDV
gz3G6hK7VfUakAlQqyjXO64QFAuudSwSW1Dm6F/6lKyD3DKuRL8MZHlOhwdhUpTdUgzI76tTV4n1
xRhuEK3kkVvWhIVSK88YQ6kPbBPxEFOTcK4Kpt02apuj6uUy/sqEfKtTVQ56Uhj3GwDixhd1f8aX
60ztF3zK+sxKaqTpIMdDtbZFn236oiBCXyjV4PNz9OElbqKi3rFR0rN1YXepBOELCwMkPd6LwEzo
czKpCPW7orfPopDdpsxYPFJ5zDlYyla3/YrCBXfh3VWbFnEo3s5wE+9b18BbTj7RfJcWoz5SN8Kh
n9pLYxlzjIYmnw0MTU2MekBAYIjuQDaXbzTkhPkax1kHIbgvfmF9XRTqIhQfFvY8m4YCFb2PCKEW
6f2U+VTiPQGqkAkuPTiwYdhGRNReDJqeyO0bw1vNvac4xh4rGi79JULmoNvFrs1d9kCdx1wPeJox
pLUr+dZFds7llWHholeQFMxyWg7tIZg4GEcin2utLcZtJ/qp27lCZ11UCE97d6IRMRufD6xROllp
4XPYa+j7OBZMzibm3Pshg3awAT0FYwvGBxBipQ1Js5sKF6PkIOzyCbsSvoYB0x2DL4LkD72Z2X11
GMCiE/kV0T5Vka6dZDPnW4jvbbORXRTCiKrz6UkPWT6taZDr3uOGER0PIsac1dANFqhoxB5onppD
RkTZQboKMiNh9DLJ0gqE+iODtnMwjBZlWqHRfzeaU7xi8lXYItSUreFTDNxSxzq7xqkMXrvBU+fM
s74J6TUk47yrhcCMb9oOLbkas9LZdnruHTu7Gz8myBIY47re+eA2Tro8ZJF00J0Q81IMmGUXGr28
BrjP3UuYBsRN2PwZWE6JL2+9hKj5ppEkltLMa1lryMkZ1sg7yQve6fGkgim86TT7IixmlvIrFrXD
amCA+2Jvyd3WG8aWZBCIG5CtNsJrryRzwZK3bPPOPmga7YxMgI77VqF7PU+tk56GXApt0ZL4AJZQ
c6bdHAT9LgAT8tKpLjqnCAch0reexJuCssk3zGz8zpL+oyNLL6ug/ZS77EqBtT/Cx6pfXSfJrUMs
YTGvA5kP0J48xLp1oyt0poI/nGZmJEw0XfEL2n2Y/aq1HrTfWCfzfaGxflq1AKpeMSJ0J85Q41M3
2ul10F33kLGnwz8r54Szl+0PIM2Muzof7u4dOub8qHoTox0hYEyetq29o0OMJzG5+ktetDz0QM/v
grjwbuE8kqmpvOwR6SJU/jDavR+1Zn6G/E0DSklN3BeHbvuQBOxcVh7e91vfWxPgjNgsP7S0rA4e
e28qrszKfLJZuNDJienrB2nxCQYCtshlOboo6iJwuSp4XZt9xljIq53W9+TgknaC2ZbEZVPvElwu
b23eIK8WevElI7YVr8YQYKNrpkFe2bdG4ULP4Z1ccOBkTsr04kUGNsA2cJYpNSScFrS5SQYYNCeN
95iqlTvQHUpnn5HM2Q/+VmNC7MetboNqeQr0eKAtlLpr2kSLf98sqYIP68VLlMIMe9Rkihwpak2/
VQl5nTVdrPKOxTbyO8EeCUQvbrzuToYCKn+KDtX6zKAt0RxUJJ6KCKFrkUbBW+CwEs8xzLO8y3hX
SaBWt06NzmM7xDTZMOu15K9orzaolDnP7GlZLbmWunZGVl0HF7sUHkhdbJ3GcPnGh3EOd2By7kjB
QiG3eMLxyaAvhbbDztgaiNTEd/o03iSz3nKjNWhJUKxbHxzDxssVuoX4nA18MhrxskXMUfq904y8
I16W1jRfjbxDlVXFe4ME0mcaZ+ZP6oL4tUIvaW8eeSLe32iKfGnJ8CftPyw1ss67xVi9dxELMA6/
Vtyns5mcs4n2Bh8i0bxLhsTe86TFY5g7Ro6FNdEnCV1CeXcBKIjTaLXMw7OQLcnVOFIfBJaQ0DIK
Gr+zysu/gi4xj3aghT/mVkxYsCHl3wlaBCLX1A8TBubpbx6If7dd5n/e0GjpC1Hw/zE0xvnnz+gz
+1+X5vPXl4r+EWTOILj88J/To/eHrruEEtgEwvxkM/f36dFmrmSc5MA2fxPJ+S9/UlZN8w9hY5nT
pUMgQjBH/n16ZLBEwKFXyuTjKn//p39hfBTmX1Fe+mLUMXTbosneNIT1F5SXAAvEFb51d/TeAHqX
ilyA8ugNrrSp/sknkuNKj7zbUNvuztGGfJVbQevLIQkOwqnBv0B62fPQoVOYrrou9/KdlbfJR9ak
clvOTiXIOKT1z7ol2OMpiDfZMIX3GlmDq+tF2rakKGcpBGb7hHRPHjdS8lppdjywta6sn0FG+xFG
DSfa9lq+nbzuHCdWdgI7aHBxd9pDTWGL42BaxDqpb+PKe9C7uN5XgEXenLD2fqWaA6AYkkIASibo
tghCxMuyJBt/hbEVfHR20B1nlRDEcUZqkVQZ7W3Lo6td6MVOjTXRCZGdieG4Dyzmh80kkhL2lW4Q
4++W0K3FdahT82WAgUL0aGQvkVO1vQuygrTujOrz0s9l+cWuxTmTrjOhvXTPs9K9V2zU7sWUxDNX
wu5j3tUy4CyPSzJArOQQwoNI8WCZctwXLgLzui1F+qa6ST8ywLbHIhU/AXqA0YK0cRdHuBlj6aqn
DEf4wQSFCLFy1lkppzL+gWVDexVB6J7qWFl3oauCHxUOlJCFmo3yh/p6zrnSvJU8mc78wXmdRKtX
QV2gjOvW/YAcUPgSTtJ64sG/CXT3G7B44XOP6+JV1vf5sU6X8lTOTUJpUMQw4XZMlmKpl3As3iit
eLJyAXl8Djw/cjv9rQ8BTddOVu89G4Np1aXGMnarfSUgLAz40nduyCqcvnB71WOkrdDfzYRQVHBz
uWL7NumIZ2pcccEonmIttU3vIzPYvhOEintL5g9xBoB+3bjRgPbWooqT5fJloDZDKgVeC6fZwJb5
Erwl3NyKyr43jD45dDV7hSyAH0dTz91Qzt4vu7LClxEPGGAlM79No8iObhQ44E+Kmof/6NVMvCBU
WVWLR9QNvcBzrVm+U1r0kFgEMX4pSz14VoPXANDUFhS4uJ/NKd8mgzPec+PuCB0JPrVYA7KXDFp/
7Y8UlG61nPfMSwzC7cj1HzPu9pPmutV1aUk6zXHlbqdhUeTH5FdtLcR2ghDVJOUtrUbI6TmX4obw
kN1MVAbZKbZnLkYv8HS8+4hX165trUepDgbG25qGqvsW08HFnLGOthHFAHzLZobZYmj0nTKp77ID
HUfxlCBM013806VaxsNqr9V7zW6sLWl7d0Mo9zJ35U9ljEc3DVjp6gjnYCy2DWyrvDervVuz1AB4
+BzVmh8ahYBeirFlLSLnv+MmLhWA/8Sb5NQTusU5jbvP4xD+i6cwkIkcSsVxwDABUB8jPguLqiKa
xMexqO644i8JGrExVfGWjZkZbcq6gYMzG2wMQ9TzUzv39H5j3/ApIMtOHlZi2kqElt7Rql28lZBk
t0oCl9s4kPPyTdtSTrIYldOr9/v7nP7+bpsRvb8H6oss56CWc2Gw6cKBQ2gStu8sLf34h8fUf+Fq
lItc+U+vndZbLJ2/ux0sh4fPX078SWsREtNQ3xl2+ETkBSZEaj5BDPjQWXisDJpWyGmF9Z1sOhmu
2eEOW5fND5+GBiDPCmtYY1ARFWG7YSFDdzj5cb9Jsv6Lm2L4HOXjdJD1sLe4+dXmXCPGd82Hq9pt
GXHjtQt1FJlwiRbEP+t6xMY3G/llJHx6QDCtgStk3dEzVHQUdZ5ba5WSmgV1ZR6KvjGdtZ7q7Yb3
UayDIU383ulxc3tjfunk4H2Ublp8UC3Xb/HsFz9Ebnb3djjV9xlrvG00LLHOdpBv1JwHByc3Wd3m
cX/lf8ptM3fxGwnl6MhuiZ4/r3U3M8Hm3UAobVc6g3nHTnI6gCACwMLCKSBfKcInfP4Ja885VGt+
7QEBMo22KS03O/Zs4P15yG4yM+1ankEd454KmlsrbMMPTa+6ccXHZcOI8+2QLycln6anDrYk0VA7
OTG0LTU1hPRvGtjNBzbY2pOpBrEnSUA+cXb18gusxHhztNK52bIsLlFQNxciLf1RB462Nw0rugtq
vdmjXB7yxvXbPnJ9WTbtunaXzJ/EvvYohmF4HBeHfj8UHfQNrFa7yEKVZbdMJHCqm6cOiOUa0YGL
bmmIH1ZlBixgrZI2AOIFbTJgqJrtAVwlkKIPDPzDeTZFezeztYYBo8ZTEbrOXe6m5paLc3wn7YlJ
tZGuSeI2wRsakltZ600PQQ8r/gM6ArAdRO16NxohEfjcyXzbMiFENUQkvH5OL/h1yrMzzkvUrWAY
C2njGx3pPUbLKUK0jeuKPGhEOBqSk5OInjKGinrIcog403lU2OkT0CQsASUCDUeVWs6s0OH0CpZz
zAyN6DGfNe0b+ljxs1/OOjo48Uc1YmX18VKintk7/LAcjN3vQ5KTwvK75eRsljOUVDLnDPGvmYMg
whsBk8W7n5aTd1zO4EZY47EYSs7cStTTGxtHLAbDxIlulPW1l3V5mokpftiIW36ZSclw3oht/vvB
kCzPCLk8LYwMEuEqXZ4hNe2+8GARiOI1NE8eQbpXIZF72tSiHRq1fJ700n4ACWIF/rg819DMTOgW
QHbsHTvt5qj1VbVVy3Oyw/rmJ7+foEUVuj+GikAUmaauBQ4h4upUsfnnDG3zel8G6bALIkDJwL6W
R/qsK/6w2EHw6NhxvzXyWjarWfEnYv/IrWFaLhAaN4l5uVIA2OVykTpDQo5d2n603Dt0ro+BF9Vr
J1/stUHGIjbQuvGUZ0blw94bDwEOYwLTRN0rrj4+ENDkkHSdIFZHCapv9B7B+LGEtcKkl55toZKD
CfjznIS5eI1Kx7pvFSadYjKIfDQqUlukdu+rnitxGdH0fvZZ119iNcUvWpe0TwFikvJDvZOHNow0
3OiNRmkWcg3Dpjfgp4kj897RzG7faHVKYpQf5dwQ7BF5Qtmsq6voWGGEum+7Hk9lNcjmx9j0bzr6
p++52iJsmbq9zSlQ3LlM0c8y5IUnTA0HEHKYMyPYJItbG59OpSioJ12jXey5NA+Y2qynPCmdC8RL
e41ljc9HHpfPFRHGeFWyjD6YWpy0uFwoIF9FPSWCoVF1FGGNuLwdVq4bpx+8PRdL/Qd+7+4n4BgM
p8SRICVMfNG2A/09+oo+H5xvocHbiEXE3qUJ7/iadvKYcHOF3tS42tGre8KdyTgeE4kAt/TeUyvN
VvsxDjX93QC+OhNXf4Zyl69hdrG7pyfwGEHIGHnTXOcRFFr6kZh4jGfiCpg+mrz9EaIlfVQdaTxd
WhlU2jTY8X/5oZMT3fAb2ZsWPv1JVB4ffk22GY9yPX7UapiZhZkt2UA2AgrXimNdYl5GkCbF2sb7
7GJFJcU3f+lCQ/tsS6pzOBNNza/0pNy6cVvjSRX6W6lSiwCn6s62ifwRYmvcDGQW+WE5E+ePiD0C
L6vB3LjsTJgBVpnnHD3d+s4H78c0liYwyDxjQArK4iBh4PJtH7iUF0kdXlH+px0nDxfrINVvyRj7
pIDym2FV4s2qjW7fd1n1Oth28hoovfmiD870PVJx+76lOMLTb6aTUehLTNM52FZ5BpT+kKBgc+lf
vOvj6GxSFvyYP7JI4UbqcRyiH5cOoH6kkIPrtDx3g9Q+oumZ+7mtko3R2NM7wJeK6DSBLgxNxDgj
J/gpmtjahY4LY0yWy7V+LnAXESia14BlIK9Fwc6zam3rGKCNaESOT9UkwukERb28OtToPUfML/Q4
UBrxhe2Z66KZKveuADVlrvrQTJ6KamAxMQ/QUhJaR7cysSpWHqxyvKSCgaoFtgNaCqAs/2off2Yx
sOhAVs1RxCCIE1fx2rGGH4bOTU4YkNu1ywvFEJVoGei1sH5IHRXtC2CAm8HL1K4K5pHByTRXOP/p
qYUCs4uxCq0wd8q3nJtgTHBh8s5AzXCHVGa5NY1OfkR1bOxEH8NpcLW0w0w98a1tJh3yahEleKtK
dUgy9c527jxL/btoY4ysRmB8tr0mH9jY8nisnnFGWkhyUauuImymfDfE8fwrYae0Ihd4y6lywurH
sx1CoOHDrFyyDLVaTaB5d3rnoCmxwry1IdQoch0cxXXTNxxJfeuHRLIfKxnk1Gyystb8rHDbZ+SJ
+dmpOtAOqY5r1ZD2Ha4u9oYlr/mSFaXA5IzXXwtC58wKSTx2Q9ziPW4bt9h50tOebB7VF9Mohm+o
rgHdjMVQkYYR4Rw5D5ozWfsmTrkWacU5R92z9BqUigJBAIIy2RETqTlF8I/b2D393P41OYSTwboU
7EK0KcPWR4urX7GTJKJKmfOQnlrR39t69+amH+V8BQiOvI+iVxci+U7s8D5Nc+gt9FM8Sjuo3/l8
8fBisfQwzBJucFRUb3rfsw+IM1QI8DJas6NvrnufbTW8OLlnvhNTtV8dFkk4aZV1UMjkR54E0Z2D
a3/tYkEF95flm0KDDZwk4aFtEuRFGS8Bmy56ZJPrXCd8rh82sjB29DA/NDN+RzIL1loWqZ3tXbex
Z56ncnxD9nPWyLKGSSZZRPvQsvNDFk/1xkLeZYEMCJHKB/pWtHLeLREIQoNlsrdKm0E24iY7ZcT7
+9gY99whgTpZJdTJVWPqwcXO4LFg7wUVknXWJhVG9AJ8I971RHNw6Hf13rUab0+6NiK7F2Nfw3fT
bfkdhF+H+bzp4dO+1f20bFBHCi+KOL+GBYcoiAFt3vbLA9d1IpZxRvqSaVN1TC1iy2lARXST0pwH
s46ZH+/Fs4cQvJm7CqosZwZcjSmrNnZcSrFuM23AtatSvoFpoXNgz4QW1k7HN4tfpVy3Xs5P9G2O
8RSc420qQF1pLLt/VmFh7qOUE4IuEIISrTPxVYnzfSFQuduiaFbEQBI6M0pOs2GoB6gitj9R03MS
RhCcC/YWcJB+2AgzSaofwpKfiIITAM10JbABb7qSeFLuWutIDvqGlu7piMJH5qTxrszlazzCA+9t
DmwYB3Z+jlLRrvOBAmZ0gnkTj3bEmERwftW4aXaKXFvyFgTGYWhK4xcbXJxrQhXfUTCMK1ou4oNr
ThoI8gBgnxmwJS+KJAUxX6bvwJOJhtapCK6W1nvngov2hVmlPWFB7g765KAssdc1b4lmYSykbu49
d0yYd1VGPG0xhIIcTPYVq5e9bsbZzuqb+q4wC7VX8bAm6bTWxwQahLC8maVoYuz4hpkvLePahZLx
CKaLbDZxjvYRYX8wyG2xXAeiLOzjqPaTy/vZYW7DJbJmceheRdF7COQyuTlYmw91mmV0ANOSiwxp
H4IhuYSmM3T/TcJP/FejsG39DjDqECa9v1R5QCoXQWCZ7k6jMWRjW4uzK+xBdtc2yAtAqsy/ZjaG
z6FT4K9uWC+VfhRV2iNemukHgeKq2WSWHW2gTZKqCRe9Ek3HBCbl6cBNjWi2KCf+rXDqTodD2B0R
CCfIeUcwtRZNB0yI2t8aKP7dqv3/VyFXzIECRfcfxI7/I+h6jD45Lj6LX/8kxjt//8m/CfKu/MOz
Ud15/HiLHk8P6J92Ltf8wzRRhSwWw799Wf8hxwv7D+HSRoFSZLp0ptn/KccL4w+Pm7qH/8qmwMRx
/qXSM2n8VY4nuOOagmJJ/jlrybz+c9hVx7USBto073LDmpt11umkqRHwEaAU22ZmbztwXhWZk4xA
hMNNoVIppvdwakLDV/i6GY2qun8a9IHQiLRbe8vJmZ/dsWu3xhC11xIW6qowSp5Mdk67QjVl8T6C
Z3/iF8p97IzDfvBIl50n2x3GO4dB4VTBHIph4nchXwsErdhfRsEIHJwkZpmgBV2hui2BmXxiMwW7
0hSbsYbisitlxB2lTFjYw12ymfbYU3KweIDcWRwEybXv7HrPql0SkRuLN5uyMHyhgdH94sXRv4gg
m62c0OyeqdSkgRCaIqE+ADfBbsDYwL2HFAEoDeh/kPSdPgRcWstyS5+WVQKdCeL7uDVYm5MpWkK3
sppB06Z0Qq44TltWsUiScp+QiND3FhDWAmOVFcsFuMSCnOFI+yi7wCPFAPH+rgxKkid5F98pREYd
W38p49MItHb23WyiHz03ZeNAZ2/YdJewKt/CoezeM5EOLPi7tvwSs2Z+R5bUNDwXVQVWIkaHGIDG
YtVgSbLqIEpNK7sa072hieGizVr/mDDv/Fz8u3SXshXONtiytDdVW5PmA9+C8mDBCbhowg4qX1hh
RgpV9eSFgrLPnksz60E4Yllr1hZ7mXK9dGB8OxXiwTrUjOydbnSTcAp7UW6Iy649pmrZXFPiDqgq
kfiTuNZo3skA3r01qqL3RaPqSzVp1SXqm2bPMF1fo8TV72ssWBqMjyQf/My2MTfZUKx01Y73ep+w
UJ5qGEVlJeknbVqxoX4P9vxY8XSOXcT9maD3rrXqclvaxrSNwpTKiYm+C5LO3l7Bnb6NVRm/Wlz3
FcYqd8CDSMI6D9r5ySjH8UJxOQjpdqSglFH8IeEJv8lSnEUWWYAzy2Vv2/Fv7WTGCB8Y8L6Ual0Y
MyQZQ8WvNMwNAWIIZGeNkujFGBAc8ZCUe5FH3rYwnWJHZXx+axjDgESaL45p5SvdwXVGVntV9yfi
j3zyvTyeVs0woPv24MniiFc6dLrrx26sTnXQ6H7QxtMLtxSA0V03Hs2W7oaIcOa61h3memdCazJy
i/efh3p4QdSeH03Rk7wokvGBz7q5o5FEVn4EFPTbRZh85Doo/KSzjac5HOabllOtkckFzjYkNdcM
c6yKG5dd8WqVSXVLITF9d1GT3CSgSy4Y3d6CufOQ6AFPfJW2zmUSef1eQ3R+LHB9fdKujkpDP5r3
JOIOjleUkUlLsJxw0+VMIaGFsLmBbDojczric5jxPfA8V9aLEHX4QDI3xaLQ5z/GMJEPLtLuRxJp
ahPldhAi66r+aroy2E8V8NOYkNYvqQKPogVcT4DxiOc8JJKYw8rTk+qbPZFxWz4Iz+Ys52/uYUPl
u4Oevcy1Lh+nfLxIvKvk3iPsFmvMvgOvE4Yi9CfXeDdNBJwdUamCETLLAmpggYGQXUqvwRiHXzkz
PMW5/Ti9pl7BmklxNO9NZ/FJ0OVrfqdNSexIeSY1eioV1OF4hSHWXRdzQ8/s8NrkYfGJpMi3H7Qw
fD9cuRcdW5SAfsYVtDHc8c4WYWusw3mhclctrBzSrAglEJCFy1IHHAE3xGaqt4xsegvL22qO7Pbg
zRCocQy/MHAh0hRh15tiirqLa5gZ4YOUL0nl4OoksSnUlWUmZUslPr1Vz9ryKUlAwjkOyDcSD84J
sSC4hpllvZMISY/0HwUf2qCe9Cof77CvDTChcf89Ml2n+b4cwMT1ahaoB2bYHWi0pWDL0CaB5Woy
75zUbc9ZnUaQ5R1CHqk9eveesHXiWLPW8UZk1vzIOB8OexG3qGp6nD1H1J98iEQbwCCFkkRJpMNY
S4ZjbHnOHRHp/BinXc5+osOeR2TZe8iLadr35Wgf06TRGr5kPXogpdmxRrSndTQUm5pKhMHx6jNf
BfHiIHY8snmEJUQW5jh5Qf45Qh3+1DKz29UeRRUs+Mzml9G2ksBkLJ57I2YnYNGH6XJxhbnSVD+B
8w+fhEJm8sWm3bLZ0KgAg5w7NHuHmyH5ozZDWDKK70CVDSMDt419pwGS6WtTm0iQKPvQBmN5lwwI
4yUmmlU/YdKEMWyX2xaY6iGK+hRfjqU5WKrcvNrGY8rz1q28+t6LOF5WNbWVBnysfvjEahVgwQSx
do3aqfs2e/i2D0YKEI3PnZWyrMhlcQ5iMpBFB6exwRe5XHhV81iUMvfWirgjamEirXWqeNQVMKF5
ePVOeq/UiCMpystjhP6B9c1MxC8cX4xkEMoGoDamGZ88exq8rRC9/uLILL7xzKammAw9Zjnplf0H
4G77lGVutfMc23vxIoioBjunAt0NXNI6Fd0CTGN1fYh7VTyTDqQUoG5VcsJjo1uniEbUV/g7zuiP
dnOIiYQz16iiPPZqqE8tU+N11F1xtLwo3SKMsWt1wVjNQPkvc6F4QzwO3UUTbF9tr6abELjZqz5Q
85y1dXFQs5tBQnSLKzkei32YKWilcpTz2oomwpY0mFyH8ATawYHaIuccR1F8nwV1+loSdTpzYaut
HZtzlim18rI7j1jZu4cZCziV86ZbWbWbHKoQqWrk4xxarJyQ254x/qUHjPAZQrVZKcwPUsmXBCt/
sanoBthFsMTei1AfboArJMR20VQnPGHeJmpRRldgtsa9AAR5hJbdHaaJbYZoaSwJAm0bk6evV1qS
UHETD/3HRNkMGJMUTHtmyvTdpQYKRaYz3X3Dcv/enLqISd/Q+6/AVt4GRMi64WK00atFUDbVZ8HS
eY8QnK66NrVPRus+W1g8dwOIPkP21WsDRWPXWw1Ld9mzViACaOs7CBcESMsszJ5iPiav9aiPaAv9
vI8HjSSNYRrxVSw8hmOnwUlZl13VhkRlhfXmqXb6UWGeYXfAqY6xNPM41ZM8UN1+VlUQraFwNGtg
tlKt+TPDlAQfiv+TxNJ7XDsDb6JHCGmid07ugkQY6znq0gvYfb6pHvgDv5w07eKU8XOmh/KyGEWe
Yx3pmmgl6npHOhN3XQnpt9JLjWhRrj+39Lrvk2zi0UvqfBvqlDsgPZrPg3UIeMu3iDwLUck+q1zX
73J9sEiTNmiRHrlCWUT5ITfY1JBSCy/KbStfc4x7mcfGvcNVmQ2sPjwGdRnfpXNmbFNY/NGa0Rt7
yBAIyO7sXaXfB6XY4sRJ7o1xbO7COh/SDcsXO9/nadiem5nL4qphnLnZoDmB2tMCa/piKjTnhE+n
vXUhhnTfHK3wBjsLbhbk3mslB5H4ZsctcWvURYYpRAMJuLKFx6cTN+898cfoAhgPNjgr1wmtdhrn
o9v09ZtyDOcF7O6ERiYhHlhF79yUU9qPHHaGtYK9Eb3zBda3JNYLrtAaAT6+M8WTnMfwXKV2w4mK
88X35spFxdWib8/pc3Z+VPlShcR981DgNsGCMi8xTksC/9xXeSu2pjKRcpHXzYJTczI0v8MmTDY0
E3W9nvWcv1IbhlDNOyXjDbtIW0DatbRP6oDUU0GOi7Umd3a/gsLwQPCiey+lM0Hu76fiTJcQSDEk
8jXId644E1jTBxfWwbtKRya0CDxi/qCKSCdsXAP89O3Iwt/paQHeQKypBKN1smfmfqwMi5smH2Vi
EsJ7DWTHoNPLgKLoVPJRpbW+ViQiMowBflVM7MSc2XhVSrPCXevoLi0Fw0DbmQjjFzrN8ukxL5sJ
tS6hiVk1VlhCEcvJmQV6u2T7JHhXPwv5cDy05uKxzbISa6uLv5SHXuYNPKumK98ZIqBoZ3iPImDD
+JVzeELkh8BMn0YM668cS/bVYXuHgh54p6Kf2qdxSlXKbWp+ZTUuNZqaEEk5fpN23UR6xpK4doCk
/Z75/93ix/88y6JjoBzYJnWj/3fb4vNX9lmEf027/edP/imRGH+YOAv/oRr+PyQSKf8gwiHRYvAM
GrS/E2v707NoeH/wTEMjIQq8CBhL6O7PxJth/8FXxluMNgSYF5XkX4m88S/+xcECjcuEu+FKw/L4
bIm/uHfilMHJpLZ9q/T26sC43OeE0aFM2N3W0/LhK3GRODTH88j25tNajpna9pFj7uGgm2wPkkLf
9M7idiGHZj8qSg+2xhwU6PT/m70z2ZGcybLzqzS0biZII81IAlIvfHaPeY7IDRFDJgfjYJyHp9fn
0Vml/gvdknrTgABtClWozIwID3fatXPP+Q6O4CTX07X/vdMIYnwDUcgIFkTyqxFRtSNWjYsM8FH3
0SKE09hkY/FcNecTXdHe99yZsr2qq6ZqNqyeU7Y3XPYu/GkJoEmOMJimGLLgIctI7up4hHvQI9Ou
6A+i+HNptmQmLgI9Dq+KYqc1tE0I9rwcVIAOM9WXPJjTHSx2A2qr8Zrj2FbZU1n4XEJLjrWFxMME
YtDyAqtclwCSb/TkeZBHPW7sm8QK5dW5p6fcT2hQT2VjD2+hHSzzavKh5Jswix5t4iqIu7aGjspR
mVyf206qVU8QC30icdObLs+H54ZdvsaYk5Kft5dyNYzztTM7A9jYdvys7KL4yRyKmNHmbXtD5bOV
bEaODSBNjnyObNw0netaj4n27VerAvG7Irw8HGf2xGCXYiwedIx9nYuB/XWspvM3nrs7o/ne+6Rc
ySpoDlUvqkubNjlm5Qm/j+oNRQ2JDWNmSG3BN0lokuKKpNprajFvRBFC3+JhOsMUO0NNAwtObMy2
cC+oViGc4TRHLyEEyBB5qgi3b0ETW8RJxuS+n1JsPzS2OaQWSLUVlAxE67RfxveYmrITfo3xijdU
zy4BgJG1V8XgbRlB/PMiYDNMLTghIEecYVzHfatInwkHkyyYrPrCsRDRLAsHShFM9Y0fBvG+KipW
FcyZN0mo2SsEBPhVXwB29mgBEBZtfAVo0J80yCwnGhCi24pL0tWc8UbFWOd/dJpEDwCa9qgrNkeA
Kx5r1htAy6kmzvrklpsTghpj5xMbS+xMfeC9pzAgLlK78dbgC6qdYnOMoNW+YMF4Y83J5c6fmJzq
4Zmuvp4ldd+VHiwMmT4U03hopuzWME+RNzops4v9BeWt5AShxQWSZm96iixQvfARCe3jWojTRz4H
/lXrFOo+1FKVB7ubslMOD+y19W3GSaJ5elO52HYhtQAzWZnp3E8LA3N+ELVdHzTvqWubl6/FbtyB
mANZTe7ApYeowNjxXELvuCb/5B6cps4B+hbAKiP8eb+plTG7BqZHBxcgIpeUF+BeegAQwBQc0tod
Ux9YELthsy/VfJt4aXLn1Vpt/Cyyce0Cq7w1Ux2Lzcwy5X6CgY/EMyfF1mVEeTOs+67TlB6e2S4J
bsVuCkLQHRb+JWgV+dA799g7/UOwEEk78xeGxyCcxFNf+ONBjdP8EeZpQXJHVFi4VOZ98P5Ofydq
YBcWSAeDaomr6d2Jctp66ykA+xklvn+TeTWNPTYeiJWbFW6907Rm7keQ3vQ90Jqxx2db3iQMrY9D
IWiQbqR4gKfiXmJXEXyTGCduk7R3ig1eb5g0TPDevrf7+GYZM+duIIrF2ibtLkF8F58Zb2F+q5Er
nom8d5e5bl2amRY2iPSgXjhZHlyXZUFyJW9mruY+iJILFRnnENYjjlTctpfIdLrlh0L1w6bqOI+w
98Z266vc2vL59a8BhRZ3QRPb956Y0IGMgxx9MsvoP8V5YWNbMHPzOXLJI6wIAcW3DYzTRmIc6oNT
dob/IEBXVIQQSqE4yqr0Pi1G2K2a3ObJtfME+bu8trMGj59jSaY+vLSrJOycw0ThAoQLSgMkH9xt
a9NH0vAfK2dcygdCSORygZaunTS8IZwaXwHYCT6paEqvxjjSOwfo3KluOiq6VSEOPsvYD72gR2Jp
ZmorI7pGCFSfU1/8DkWsSIbUepP3GVhuvy0vkDjY+FayH7d+UXw4LbT13LGQXilrfKH1ZqeC/iVT
3Cz56ENegXCS1CLZWJkevrwq/ZW1xt+qFgjw2d+3HiqLidmtT6nl4c3sJWZUJ73hRupvWDVYdwDN
/AOxxvJIsvFkx43EE6OoMGatML/OpkSlIDfW3Ak2aRQ7xJbZNp7YLGX+CMxl2mE4DnB+mtfcRhKi
pxMwXZN+ZNYw5ifhCVwoJuz1Zoy9MVzZ/TLtOrB9987gZVcT9SK7QJvuuhHiAtf5z34yB68sSHW3
XDjbqe3XxTw510ElLh2vg+9TgUleVqrh1g/yooIEAxYbpiNhzlVrlpnImTyDQRKb/9pXXrGv3ewE
NwkmPEEi2p6XxLbxiwXdXKzSaqQcrcnfizkn+5ar/s3NDQ5n8F3pFS2zw75MnBoB1LXq+7rjprvU
Y4D/3eNe4A9Tf1EgXxc7QXnZBiO/u1p6y/1VdPGQnrsbpd56hvpg9Ik4X5uxT+kgMi3nQCpagrRQ
xUs6m/JMfZYVooWvuvEm1QmKXpnj4oQCugpDPMP0F1xVVXDDj4VoGMs5e3Rbu3bXUdiNIKHYdTxH
UfIV8nbHzAA6dOyuJPb7nW7rDHBhVN+nePlWVScLd93gDeKHgobPTkrcZUO6vFlxDS0SyZzW14bL
AUM8/O6xmwn7NSOimpYfLZuVnzFfGB9UNwGNJ5taUDjJUsY0T5U/AFRS+TZvfSCNTdHfmiyKn8/7
gX2xjPI3tpP8dRw8s0M+l7CtctCPMDLi5jCWIcH8wTQm4IfHbshyt7zlDBj3lNcO14EERwdo2HtO
FzYLeEYIWIsgJu1f20dTSIicBhfLMuBdWSMeBEdUJ72SYbd8ilraB65D7caVC6i8AmLgpnAwswHV
Xzr9hFTDlUViK5JjvTYu5Q+t3Pg217dgKhH8gqLf9mPzy/XOrviKt6LGWCVsBSqkLjdFh4/Sw8yu
xHxnuTUIvwpdQJtZHtIiqt4lz7N16zFSSCr90m1AmsV0mM7Egocxa4LgToHbuoxB6+8K02JMGAm6
QlQVO4ONg4t/s5YELa7job8QYv7tYEdGSuSYonbZUxTh5O3WWyT8NMGodR3qytuV8Vktg1q6t2jE
sFsUT5RAZ3jsoqZ7gmaer6d0wk/tsLyJYT/5YUunDBVoG4LpuDzG2N0SbFXcfE24Q2uckrXrTm/8
peES8MnyAakbrCs15Tsy0OUlHHf3hdcbJo2nehrDjEl9YGza28rYtg44GJITXTD+nRk4y6MeRBN9
k/pGSD/HNbtEd7bjBOgnpSaVaGmxSlAIbvmEQoHF+9lccg8p7ohWy1+LPcVr7A90pkzCuZa9UKe+
yeWvMIlC+pdCbJpjkj64TV1fSFtBO8rqMn2Dud9d8djExL7ocdPW/iegvvBAKDvHMZX1153nBG+e
11GQwc6QPS0HPXORm5krM9cUX7E9S49VEdN6BlFi5ulBypAEarnLuTod8BeooyX9+T7KMrxRuulP
VepHm9IKy5M76fl5JIBwMxXJa6X86NaOjH7DlYEj2Tcp3C13D/5Ib+c4q3d+qpxt0UzxZk6c6roh
Rp+vTBRvDXPTlhJ0ChRChVumwLxkc5XhZQ6Km7rngcf8WL0mZSp/stvQJyfGRi0b8kEBoWl/tcQ9
On2bxskdqwMLFUL1W2GW6TNi0UP6mHMvCgRfeW7pGITLcDkREr2o/PpJwZ94CayIKbPAutwzEDVN
fFzgexdhRxVUkb9PQzXccqKSOCeJWm1s2RNEta2NbSOycM3ClGzGzzQd+0cdmuKUNePM23oYjq50
nJM/9YAWWg0OqNDRYUwCgiTnlUedZ0c//xrhQn7FgXGPGdCkgBEWAsWYN5+zlcwX+QBGjSVLrnFc
V7TAFVh4YDRVIFRGXj5v9G4sGZCRTnRzO/aoU4mqDAH2ur4mqDQcM4EdLWUDt+LqwzhRh9ah82eS
VKwQ1lOczg9RlLbMC1n+zjpy4Ucx+ZZy+eSTy5g4DkQqNvSJeECZuvrJspbxXg8L0i40dOcNxiot
qH7Y7+rUNgc5nfPDaUgolFBvwaUHJsFtE+B8igY2qAHm0PUQhnoXmBnGMq4VRcFxPaRr0/L7AjKj
X+dyGnlnjWpPonpclbgPXcREVZ+DAfSrql6Rm0qD35BdcFWFl1MJX5c6yPU0lAjVqVgzntonYJ32
lhbJX/U4HeDePgZn669yhvQ25Uhc6bycAcT78W72mvo4uFV3pJWle6vtanhfBqfZhn6kni1kxMtq
rqJPi5mJaElf9uuhkVQUqdjbhsVAY/eSm0vVecWbH0Q9s5GUx4qi0H3vEnOnJmuytk4uUhvLuYTz
VTrWdFnTMMRyJC3CvXATyYKkqlGN4SzsoiYLPu0Q4+8qalmmYJPzf4bKUqRcyMg8G0akrQlx6nfj
kr/CbUn3kFTSgxLu9K6Qazk7dAlBmzDeWdNc7mLLGk5aLtOd1cKOWtHvApIQD8k20niBF5SK+7AI
m/cY8/9eNaN5NZxvPOJbHNszQSGlx+aKNR3h/roDgttjXaBmqK7uOskSi4llaH7ZSzw8WlQn+SvY
zHi1KZjbjj3FnhRyieAtb916jzXjdwpN+eTRYo1fe07d2yB27PWYu+nz2Xh5Tuf3yQaTVX81+Ys4
NZEQO9xQxWsPSudTo3XelnzcwcTlFa2rg7zOG4CdGAuWmZJ0FFdAMaK91UDJbhiuM+xoMVWFTSZ4
1NQcovcx0akQH6LMj0YVwV47S/OQGWbYFSMcmjR5pU3ILeZSxIBESMK0T8omglqRhKWxT8fPXhak
exbwbkDHD5m8sVRgjNpxOcGgNCe6bcZXKIDDY8gUetcLGEiGou3nQkzpKRyc7CP2e86iaFyuJfWr
WAiNHV82XuZcle1A1gUUwgpcizzaZpho4q0XLIVVpuQ77b4Jxmxs+O/ktnWNeIATmB2aj9aSUb2y
8klU1ds4rPoLa4H+41YBt92a5r3d7GtzxTlu3pIpMs/kOAC1kR68YimKNzcQ1Q2Wo4AVmfYRyuW0
cvpBbmhlK65lPTNiZV1LsxEQpeGVWg+1kXaW3ETeJPYNRT8+GG+t3iiZshgaWP10JsgvqERk6kwz
v1pB/6y3fh1lt1mrYn61wTuxGp5gmbVfEK129swdnJ/DWQuK9QY0ZhWRcVrp0dIt6Ey0BweH9cGB
3rdprLx4cnOaICq2gsOWslT1YXncLyZ2OvEm1ORwVz4Nvx2aFXUua6oh1/zUjLeWmh7SiFL71MPx
JgUuwjOIKv0v1n/PQvNnxR2R06xr/+W//xGez26zv/yP7dmHPd/1v5r5/lfb593fYtjnP/l/+3/+
KWp4nA1FDe9fRUrEuu2a9LP7q4fNOxcv/Mey7sWv5j3/K8FMff+VPxl0/4cbwq5Cs0WAVb6DYPp3
ghmKLGotYXLxB1P2Nz1X/EBZcfzQ83FZKKqR/q7nBj8AotgEJx3Bv+Wf4+l/++H/JBB53XgZ41/V
v5NIFIpw/F8SiYjGKKMs/LlVKdfFQ/dP5vP9Pi3j9n/8N+efw541v9YOPK6oo2uBqZiHHOGwNev5
/pJxC/qu3YsLRdv9gd7mjpmq0ZRQF6HBSWt1LxzREAdLnNevyjSwR2y7rI555DB6h4EOfJKsXbkj
KsL1KOlUcByUGtNLZIHqk3m4v2hLwgKn3lYQ0vsq7QccFhEQCw+jut52wBwZdFOTkYPDk0HfSh5/
ERGWBQbeQLmbwGUmWXUkRevVPExTecHnx3/CJpHpLaQorB2LHV0sbc2Qh5lBvfDMEmx4RPDYJtZ4
Q/KWiOWw0FKgSjs+DU6gzsVXSRtwBerDk3D0ct2WYzmt6Igjc0Z/mDecBBBce0uVYGOd1JyIB7uE
A73TOkxz0ums+lCZnRByhrT9cgPmbYpuEh9a1VYmC9t20vUIfC1xuPGGhZrfXgrldS3wEmzEa1Np
kDc42lH8iINCrk+zwvzmsK8uRW8x1Njp3HBwZ7YkEU+Yda3cMyTcG7MZeiz5SwI1Ik12XTflHebw
jrTjGJL/xcds9KfGs26Os9Pn1YZnPV/AIzvyaoPNvdFo7wd+M94jNOThMEfRfA2NPLwV4xkmlIZZ
M23b1q6ehOtiLMRuNkV7FTf6RMk31X8Yl6dnbhv+ncZK9Wmzqkq3DK8SjEE/8dIEtMFDFEcw2bId
Fi91n/YvQSw9rjvgdgJcZYXds0z06wu8TeTWkwLpKAtqduZIGdZ49KYumSFhxbCnv9mP8psD2Z+R
kCBxqoM8YyLbb2IkJ5H6BI5J/qtOzvUXOqSliehsAggW5GTcO+qX982hjBZJHhrMPHzKNlrCozdY
GZP6N8GSpKvDnwNrWfs9hEsma1evxyWknFR9UzBHQprywEAEHXP+JmX239TMfoAlVX+zNGFRt6eW
m5neeN+0zfqbvGmbpv+tnDOPk3+iRN/+5nSCuOFWKwLwnRGW2wxVuYzuijPeU5gz6VN/Uz/HbwIo
7j1ooLEADFrnSn/137RQOPzIJJHsmw0lCGDdV5SZBXrFJ7p4CMM02LR+jxF/RS2XgNYM4TZ7NuyV
c7+ftuAGRx/CkwrNhS3qkLcjljYU9+xgM1g/l2K0aaqcl62festlHLY51G/YpfXE9LRO9Yg4P9MV
7dw5TVo9NyMZqYGtqyOHkUoul1ATVpGifIiTDHWrnYd9FoFdJzF7rpzVmbyy+wDttuNAH/kC5LpX
NiWA5sOF5XUpBhKGa214n5wsEXF7k14ADaae58GG/jZPSu+GniZPzF5DRtyvyHT6EVl1cs+tQn3o
fMTIBVu4To4j4ZYFmSd35rXDR4bNljTcnwDvTpDBiCa7wVERyVuoaASMe2VZVvbczR1djLXbsQnr
J3DHZCMS0cPG6WYe80y5SUALisYcG1h1/V5N5qJsg2wLCnkzgV1f0evhwv7uiaFIyU+7+mfJAGwj
2pPBLiZz24qh2zsGDNz/39t+jwj/h8MdjUCwKv2PD/erd3zt7y1ulb+c8H/+3p+Nrf0DWGZo8+bH
hs7WnlD/nxNe/OBsPcf8ZfAPjFIhfth46nHAu8INfWAAfz/h2dgyEbCyVd+LYCf4T9nawcmIfzji
v7mp+KddF/4VpVD/4GsX/QypRFjTdu6MGA4KyuFmGqhaXC2J9zvWHaV4HTdcdzMR6W54Lp+x2M43
IdvyLbQwP0NOKym0fC1mmsqv+SCd/0TZik+3hnMAopEL1OTho2m+Wd35N7cb101u7mSTpi+WJ9P4
wZ69sbqD2JgDUaSAh5YLr+TJ1pQqEhsvH5uGvmuDKtQtCnidGqDEY+IV8Mb/FXkPSZHqH5y28W3Z
xc5vTEDeNpuUCNe17kPSK2capU4sgTqwDMXGSUYP3TJ1wHuOjRkv7W9MujwT052yGU8dtMFg00i8
4tfRN2S9DPhE3tMt8JoNy+zsR8smQ1n7XKrWY6TY1qYJT6Jl4gpz6Q2uw6j+jX0njRQ3m2pARlzX
cZY8sgcu1K75psbPgjjjemQzkd20ro2Um7JmUjULH8t253i3tMGQH8ijjfrUTObMIIkx6UCl87jf
zvhxWK+dOfiiczRoY9vrweQDzO/O6HwCq+LGR9q6dKCs3JHXN28tHH7ZdGdr7KRhl+qwkFsVgiFb
Vb3iOufl6Qv/Gg1XQ9zcErcPqqPMzcgV87shANa6d69nai+uMOKgtcLa8sIV5jG6BXjaW9MOeYPi
gUjZcrnyOp9BKPYdQ2B1xMNzQELIXhAgx37fmzgCk9Ogn6CTnhsRgpEUdjlNzrhOA8A2l4HdUW80
hDkrsmpgNSW7kK4Fcts6PNpMT+aCnQ4lCQx9XIDY2pcHMQVdt3HcSlTbGKm223RsgqgXICcR7Wat
h5zUFdlvrM2g47aJb7i+erGZGP0SCy/A5Hof5lwpUSQVZR64Sr+qNoKVwrsOO479XU4xNIxQFH1X
gO4auz+TZjHU1bid8blZwVAQJIzUCWOB+2FCp58OdKMGxTaBc0evSyj4jRETqU7u2J3hr6bRl9xF
krsm9W8JHaqntu25lXVRbVFp6CSnYBx9e8Va1rwEZebc47Vtfy7oJbg7NVZbPIVnmS4QD2dlIMG5
lHbiMW1iXxH6otNy3dtmfkAHWr6KBLwbtr8GuiFpOeemoVOSFpRKi3ErysUMNAzGxRVERAprJ6+i
xcfOhuKts5b6Jsx8u940GMvNJrKRrdeWdL3Hek4MZzDKYs0iP3A7nMClvPS6MgHfGc8ELikrip2L
3uWZsGrjwrtqjNNT0ZNUM2vtrEh/dmElpi3aC+92J7aWtWOQUDYVJeMrkF7Rs7Xk0X6BxLkupqr8
Ihbas8FM0l3MPfwlHGhbqFsAEnunboq3OY/53NDJCuyukmQtvKK6KO18eGxjRTYOvAnPAiL2WJkJ
x9KBhFLlhW526IeKzGgKCG+V2YMoDiy2vSdu3+1FO4/xT6lFEm6XrsujO5xlPgUILt0T+5AcyI7+
kORjMlYNMZO24mF1xkXw9sjrx5Tp8Dgt/hnqS2qXDl1IJnjHWap+GZk0JxfzHmuiiaJf2trKzxo9
NtwNuTvF+4QTh4oUWhCA8o/Dlmz0eJ3UlXWMPEFZyhBX+fhgxpTdQ0JJAF2U4M2hFYZFTdGAiMxp
UCbv99PsOsx0C/vYjXY9yD4Lsre9lqSUX4Zs9m+goldUo1I24sSRXz4FGclaCI18UNBfwOmzrJXn
jQtn2mdh4S/MeejvZTPy9kxeltSyP7oeyQ5ZJdvSZNLAXkxqqCABullYnAG6aPTnGwZ4MOWdJT8M
+yGPfWyRJ+a0sHwEKckdhkwHwVavju6L2bIf41mfS6zQldA8pAOaLMfUd2f3ke+teltANwx86VkX
3iKyd4UBcwADbPf6ynOjZR3EPHLWgGWKrUGdVGwAm/42SnX8SFVCmW+GeHKIFLhpWG0cWfNODGWJ
6QQ9dXwKucQtPK8cvEQtr3x6VpDUXT7VllhTkFYw3BIoMBs1nznygkzxffpN6+XZQFsRYH6Syjh/
bHFMSdkhlNIQxUbA08RK/HS60FgcwMl4i0VdF82G01QZVsPMB+1BWHAUdl0twwOR7PRLTWH9wiwO
JBKKJDjIOl0+YU7ksDN9idNggv1QbfgSHSJ0ny1Hp/S0JrNzhq6kpJbndaEW4a1IOPMilNDC7VEX
2W2rl5kBoXHd96Cm5WEdwPR9nEG0XlWAZKBn6QlvgKd5tIYwykOckXFxPWHRJSiSDM/jTLGCnhnM
dzhBFm5fdoBnI+jb4UqHy/w4LEBNNmNGBwlDML0yhwlTwC9/9OZDAeSF/HhCRrOCepZTU6pHCBFj
vFTc8f2A9c6URDfenE3zwevBDNzOgcJCbI1+ckVFUfim5CzvMnq+WShj8va7AipXeHY+LF2yiVis
710ecpsoHqxDBg/z3O/zkRk8UanhmSls4s0/AQkHJLKwlbx0mLV/t8TbqfybqneqyJxkTcGiPtrT
meZ+PgDsNM4eZvZRgPX6jB1MU2TrYRLpvVWX/smpfVvsB5fbVhGr5Jzbo2nEic+lstF5Ab7QVcd+
MhGYhyWpHT9aTla9wEK1Y6HuPdKD+mfidPGlGvS4VlWyHCYuxSQHQ3b/iRlhDed80/ssrkbECsr0
9l0SjxcW1lxvbbNm3pZ+OvtbrHr+9VBbDSAVL/7yRpW8wcJ6tBwOVkTImICKP2A5SifjUY2mznt8
34eD0fAsOvfmLmI4EjRUHzWiLAirMhfWaciyo+NRr4AWEtzBZKbEFlPxY04x2E/poCJdu1k9/FaB
X47MBuSwb1SX0L6WZKNFrZBYwIzNgSnob4PBQ5mHnj5iEYdfo1emw3NFaxtifeVUX7V07eYOs7Xv
bwV+FMT1ghvbZRo6vIxxzCIeIlBkvtw4R1cO0UaHY0SoWXE6a4IxuVNBDi5Ld3io8d0Nm1Rb1OyE
LZ7yalLFcs8i8n6gRrw6yQaD8QrE73zH9Y2yMndJrliqp4cUbJK9TqaG1uKEI6vLu4LWFC8Bp0XZ
Bx8TBvHuFj9hciwQOU5lZqWHKETNJQELAY9ldLWlo6snHMgqKrTzmLOcGeQLJv30JEs/2aIyCJZB
NLTw4A2eLQs8I5gUO+iOQZmr8n0uu9DsedCGj8RcQHsQZwHM5zXlTU+K8bmfKNrKMHQ7J1fPOXnJ
ys/XeR07LyQnnWfFrHbddjLeh/kQY9QgpVbsZaHguNhiwhY/G1MD/yBWzQGZbziyAr2mFNN96aL2
XTQ1Rv9pyPESxwICPmVC9YuTSlxfTphg1QfsyMBhpXP5XMfAycZKs3QOVJAgJNjyYazzSWImCGvx
Slq0Xof1ko+frJjg01ikR50o3U7M5O/UpYPhmpOHDETC0WJ97oE7kG54qumsVQd7cYblUtOBNu+K
vOyza9AaLnb10fIz7JiUQx6EaRW4A5edOM88fwB05ZRBvEsxxbE2reE990vQPbZ1S29hKmLxkGba
STfC4yhPZm3um7mN73nvL4dlWISzAtvigKBb+h5ie+qtw9ZFHmH9sxMWU0Gae788pcAEm3MxUNIE
GfbIDGD2S1GbhNWUICsBv7hhIlxc27kyNCPceiPQ2oJdzkR+bYsFdDrBu662LnnE9dAOPzWkj3oH
8VJH+Ih89jus1iSxz7C7H8FN7mMh0lfDa3ssS+B/a+KSujqkUBAJxhYUi29tlaBZoWpZbyiyvXXK
LENZau8W/hPuOLSOEs8qlvdmoGEyD/xpFXHQXseYDDD5+C1F2G0I+iLFtpfvKtRAfoVyeSM3Nf4U
fBdqk40wOtcBr7fZeERp9p7bTD9rQnY21zHt3cBnsh8ZcHnCZsvAsN43ySlyq+lXEdXzTs1+fmwc
4rmHASfRFZeGIDrVmREfsCLcTe5wndkwZCz+OllCtONFT9PPSZx7ekXpeYLfYrQt8praFzZXC6g1
7epsy4cZnDaRmeGDj6+6bHXeGbZQNqc7um58iJIkx9CR5LvRJt8JMl0WN8JmGNpG4IucU4t9AbRc
2dqYrlIr41bF9UatueQu4HW0+Ck7DrD10vXcXynrgR4z94hxXJRCNT81UUtzNxm0MNulhBO+hrqR
xyHpnbdiKpHiEtkctOExvwhMBisJGXTf6K7aEg/SsFiCOFthX4ILOlNhV60KodqfnlVHN7E/yL1y
moQdY4BFKYZyRQALCPvd0nRVe6orQXVPG0YKc0dcqm1QTCjU/RjT0DSImLlGJvQrBQZC7DruUtBk
BOcf3DZ+SsIQuoXMFGnsErd2YRZ/R/2UvQ+g1JwoNR8pzyK9ZabU3PpDbW9Mo2B7cjbDFpvJO943
wC2BR/X+vEmhhHxm1I50u1CEXYMnr8zPV/buy4B4vJkaSiH42Wx0NVnFMYf0NNvvXjfam5zfA1wb
b7mHjI0BOU/VJV21ipa4mEQLrI6ralguYpyx3SrHyQ1tvyDz7qnPtmfg0VCzsA2UdA0n3JLwse7b
LGfiHZT7sizJF283ChIL2ix6lX7lA+jrFoTJJk8DXu+MCXly1LVXWOZUsP3DSlqZWzzCHKBdE/9k
pijYAKazevD0O6UBcotXSDLol+4mnWW5JW4ij9BUzAOLfXvfBPTE8eDcVFXr7p209DEMWc4hwgt8
dIGpLiUuD6wBYBcNAeJdRnbpoSHmeUFrm/0RNl55QaB1fO8bE228SFOzFnazPR1yXVHbwUNy/FwQ
4DEcQKCjE1UGJ+jADF01NLZ8PZDIfZdaBfN2UbW8nHvaUKqJmV7jDd9nmRkPhn5I3iZG345AUK6J
tcqGPXs+X47TwFQYjN3ya85ahGTNBInxqQgeZ6nU5SwoEVAtZmUAqxRZGRwjgkn+V25Nzb5Bdz0f
Jq912PYOORWW4q3iIdqprMowfEkZ7YsqBH7uzPs6D2io7xI2tq5B/NDKdE+Mu/hM87k16+n7zjGZ
eFMTV/8duEl4lGSE70ccnG8OUMf7soKruLKTrCVH7c3tqjwzQ1LJ4xLlZi+r/DiK2OxxIaibXgP7
wVAWWGshq5Jhxyq8ndtTnhX7nbwccu6nve/Vr2NjX/jODLDElr68p8egO5D5me5osEE4IrNOQrXU
rzV9F6+RXUDP65vmenRHZ4t+jpdMUnWXtyMJI8+hV2SWt0kt1Vb6aXoy5HZrMoEHd/KvKZcb117t
exezFA6DVLgQZnUJHws4vTm1h/TExtZ24DDeqdBmvFNxccmDKtvykQleSqs+Lwpw0mA1xHpIH9wj
ACNwvykQskcaUtodCQfKtuqwlzfkMQJKUDM1X43wgLY8ccmDu2W+w3ldn5YlNpDInMx0W9Q0qieT
9s2CR/AoVY2bF9N++7QMIdNerF0Ch5m9h35q81tdyIopfv9NGXdbv6WQ/FRPI2PImIybQUrJnLNo
/2Mq83fF+g1AHaxGgLzFL2IZ0Z7nQ3XPSm9kHIqsaxy1VEVH40t3toRhoC4pNE9MtZeTHCgAm6iV
yf1rI6PCWeEEJcGIXRU6UDTK9ILWbihwdhP8sjv31ooYuyFSLgxk0XyrvFltJwT9Ne5fa3UWTjJK
QvfJlHVHKJhoUzPc7WclCvkmtbW2W+rUh7hPL3wMJfuZ+wZdeAy21MTK+WMBcP9EDMD+PTY99pIl
lLf9ku7xPizdNRhwPV4lA7tJ/i0SBEv+WUtHtFvLbacDo/dMbDYrbnUrxYFe2HqLIZrFua0jSjHm
cjcEncMOCuIYkxQNGoJxGIcACAv4HDTcjv2d7UK4IwEDqj//L7YD/Fs3wL/8v0TMCbnN/O/XCl/J
/P5P/x6//l//6p/NgvgRgKLBNMB6ng3xv9kseD9sgCjs7IMAQoL4X1EwoX58uwyC0DtD2P2Qb+RP
FAxeju2jhIdK+a7kjh78Z6wDDknSf1wsOLYiOiqEPGvQ/5O981iOXEmz9Lv0Hm0ODSx6EwitSQaD
YgOjyIRWDo2nnw/RI26PzYxN73tTZlW38jIyCLj/4pzv6DOa55/agUgFfjYlU72eidnGUkhkrGot
wwvrMHEnkkJ9c6qAfloiZToiVKQXgfBMB9NHYAQNLbrQZNH7VP1ocOHSykyPrsan70F+n4MrvAdB
QeejzE0QvBqC3UtNWw6KzmxUpM/V3DDZZmFijmy7S5mLO+G0g4JEub/Ri2S3YMrz39a09QvvRrzV
WLfuLS74nQzQP2cJ/rSFbpv0bvWjj2PySEunjbgBHn1e3pBWTaGPt162zvjktj59YRxZacH+v3rO
H31j9+ghrXDKXspHZxlHsnvJHv3mZPQYKujy6EOdR0+qPfpTfW5VFcWhax2rHMyO/uhmGQO77r57
dLkjvFL5NNJ8/BrQK6JN4A5Jd1dU2uNimoZv7nR6Zk26FZRrm5o+eHTV0Vyo4V+eu23z0XlPitn9
bYh/KsgEzarPVGvVW8E5RS1G484VCGmZXh6nnq7sy0eHT4yb9Y1Yx0DqaaHaQVYlq2CRPmYD4Twm
sOaBgfqYHbCYZo7AuvJm1EX00c5DhnYeNwyits/ZYwZRO1UDUX+eTCA577kpGVfMmwXWS/MQg66d
S68xSabBu9a5KAdptsx59IGePTjqj3nINI9GsPUqbINFLoDYsMcGWQqn7jFPoUYh00DoTFnKlmwV
rnuipuYhjElprm3ivLf3ShkHRyNPftqMpwUJeQL9OStIW5lHOgCzgwV+Aa7xlL83AeP00o8BUDDP
gsTsPK/n+RC2F+fNeAyN1McAKZxnSQhMO4+9+beuFmJBzCwTp8FEojVPocRjINXMsymLIVX5GFfl
Mjya8wTLtk0XkW4anYI+qq1VOk7hpmps50dS5AMfEkr6jrKiZfmjmeCjrShAY20blKpMQ/MweWQr
EOMbpnG5r5GBbmzMTXgZ0qA+EmcWLRFMP0MIFauoUDGeGHGjLUrdvUEdQSBs2CDmyo7nHYquGXpd
B+Vq7RQ+/i3hZ9OXCXg9fAPBEkYeYzk7XZDVHYPeR5HR74SNOZlwqImUhyITUb5TNQdiLWTQ8L3u
IwR+RJY1wIUQwaMQHQOFHAK6pd6DF6GHayOxtHlk2quXWkYqJjVLWh+AZeD7spu0FR+VcGu8GToc
07Np1KFcs9IM2/VA6qO5NMjDGD0Ixrq57kcahmU88ItmwJeDLlroWpAPZ+qmoD0BeoZzrFaxIIrQ
5f/1HDpoRkm89VXKB54uZ4EjIhnWfsBuzEOrLrB6ji4iTFxPZI+GUXNDWGzuHNMNqpekLkZnBRPB
jf/03VhSGRZgSnXkA7gbJzWlKwtbzYP7k/xJ+8aV6K58iZOKvSXsIyT2GJgwdJLi6ChIgMhn87sl
F/9f6WKlAhWIKtqPy6Te8WSyliwjkhlUiv8nCr4ci5dp/lrKkGtbAwpbtG8p0L91N5V48ULWOiQF
oSaK+Edr/sbaa24Z6itkrglVdqIa6zQxyCkWZRV4oQM80TbhtngTIZjakjY4BoMUkgy44IAE7oA3
qkKqWc9dW1T6KI5DROSLdEiA6sSsVz+6LndOXWLmb4UdY+npTZyqba+BtpE6hgFZlsOKcyhQlkPt
YrlTm/7UuZV7BXCADM2JAT7F6BefzAGfjQE16TnrcqgBfWPGRN/lQbHzKw1iSpkO6k6txujQNPjw
TUVWNyDk+lvWWP1alZQ50AksIqJ7IqQzrsiMWk5AVw661NMVbYhZyiokSiJMajdibN1jWTSKB0oU
XBnC7pZRcF5elKZovzB2Dp9Rrxr3OlSTnQUmci1k5z9zW0bOplLt+lao8fBdEdf7i6e7v/Uy69ed
mb+4HEtQiSvbhbjUFS8x7COWtFM4y2lRx27QBgZbSN36Mqvp5wnYgxhiGqw2PRPxSrh20nlTX6fW
R8D2sFq2+JQOiTUiGYf5ucijguGv74pt3DTZp21nBDUWptD6rQBVvko7RgMpxMptlnVMFWTcn02y
Mij1i0aN16PKX7gRAam9ED6OrR/roaflgVoex0yHQlDLqXit0h43pz9k3F15Vxq70mi7A4GocA0K
G8beYhRN9GlCcnjq0Eef4ipxL7lMQLmQifbD1SyPYNvrD5gkICf6YSj3YNeCQwb9hs8yclCZDJ+f
MwT+JOkZnXvhszSfkJvFPVFrC7UiuRnPGirXHXPZkigsy2acF/+xHC1F2juBwfLZh5z57eUfYoIT
N5gNzHnZmJtCM0DzFuUvemIcoeD9z1Qu+K/dPHsfVbSPuAmicJcXbIXAO8lVAj2H980e9KUKP+pJ
lHPccta645PaYgx/AUav4Kwr5KfGeJFIYoN6fuEXVeYs4Yl2DEisuvm2qs74rJ2yexqgUes7Ri7J
e9EHQXAZjYblhIiN/LtgVf/jw45D/zgU7NZrzIkx32rM4KgLOpvo2LHOOV9Se186jYId0Cz4zzFk
l+/xb+MwE4ptd0R5R2h+SRWDUO835pMRs+8ze3wlC3656p2dft6smoaMQI8/ncH1DSrircmj3IxT
3/w1MWUwpe747zi6279m33Q7uOzlsbekvTeRYj0lBTOXRW2PZDuaaRe/pmCjN2GV1Yco9MVGWOzI
cd7wL0IGlr7FKmBbSH81lw3h4Wwu7aTjE3Yh/3AGDbto2bM6XpdsH74ql6Hkqhr08SsaFf+nqQfb
QILYgUoPGDuxxRhGArzxjUpmIjEqQY0/njP4Ic1kgboyv1REAT5TmCKajrDTLIzICcpl0aYTDyss
5Y3mxsWnC92K903P+zWtX6SiooSL15hV+ZEXjRV4yC7zr2Q0zYPh+/6X3rb1CgNYi3jGUPwDqnvV
ZNFDmLvNR1oFnJnsIEmLeGucoPqZRMGqWGdnd0aa37EfRXNLVzoOtOwle1CXrIeFlAVB8Q4pu0xL
IgQXZC3pKw2OyJVTf1xKabvTlmKnKBdC+MErCX7zudNzTNYaIb3wklUUOT5LpCVjmzzz9GGsPh3W
sMuAGN/pIrPKNJZlO7RfTVOYK5t5SOFlVZJc9EiTBgysTE28cDSQt6upPZwayQbfq3F5vgZT497c
qkwcj05gOkdjKLbwI2ETDoiB3gVxQuFLQtjula2qnq44YJzfhtqyIaZHjPj8uJmBBY7mPkwLoDBR
1jhbAD9Kg9A/RGoX8J1tRcRIwmwaAnVMVdpP0RQr9sLJe+3F4tZZllbQ3ploYCNDO3Al4Yq6LTSr
+illEtKtBYaUmpJEEWRjNh0CHtkF1ktnudEFhQ9TWfwm44XRSfKDklR/rkoO6q2lF2RjRXigV5B6
lF9OvHjN/WytWVfFf8AElUtKIfMVlWihzhZS61m0vQX5OrYjz4XVgKNHAznWj427x7ZkfyQ2zvNM
SOW7ICABPVQoo4NWN9kMbbH/Ak2NyiNRJvjjp9rMfnUErvepZ+mZTml3sEt2a0vDDgVpsDi98rUV
SmgKUc4ptK2qzNrCk1JerWBMO1yeDN0FxhVMsEAM7TESwqswYKzUkR24l2tpuhdJ1oeeAZ7ybXKQ
gBdhzKjUHu0KbkIWDetELcojuhwAoUoQyVWfBwA38ZjiHmvfB9GAnguKiITGseWDaNWnX4i5mbLK
/RAilIxkycljBMZT1NsNo2AtAB4wArVgJEY9poR3LVGdhSGhN/IUInSt3b8FuI3a0uVugPC2qpwm
XeMFGTYO4hHSJEf/j49R92JoBeffCG9/IQe6QwJ2ADeQd9JTIiCiHTrrjDmkuMIWDHcVwMq1Oir5
FkpGcqgwpvz0SVM+2croOwh+KY1S8N0wD0SAm7uvt7Ctgk/Kmdor3BDZPEdz3fJBx4mI0R5h6sLu
Cp+kGOxJpStBXQVtfUQQwk1NltOyj/ofuodmpxKOA32NkRd5uX3zm1QIWVdxn5KwiWjkM66Yvy3B
iDT7ngfEU5RRHmQFqho5Trx3SeL5mpzqdyoVaitiQ+brlG6sDHOydEYp96OiTRtaoADeSkhXG426
OIEGyhE9mbpXkfO5ALGsrUEaWk9NJkbHq4ZBHqwqafCFhkjBlbKKl44pxQWrTuCRrWMdYVPceOyf
LIKKsVQDeuyNq2EnrJvJVvTUJMGfqPbugl8nS60kgGZXTXF4Csm0TbyYzce90IfwTQSWSwxBhrbe
zXEnApr4ispkuCJJYP4oyCU+jZNlY/HCm1v4kII3YqghNYt4mD4sTVySspYXdljgxOtm26q6pALE
FUifprefVJ2+B8HdfK/Hovsup/qUhWl1YKSYzRQ1VpURWoNvzfXFd0C54aEBKFg8jQ5R4sp06CDv
zZLw9iUL+dm6U5nMDjW8f5DSKh5RiNjZlGlnLKH9rbGpzUcAnbClUgVXnU/mcKNq6FQyZEjNqNff
Th4F69S1h4Pp+v2LH5gpfU4j1r3hcLsBNV7rimohoqnwFRLvEnTLTiKWWFGNXFOexmrFogfZUsEk
c1UplUkGQNLmxNhoNikwvcrk1KJroxtW2Lk3GcUTrJm2+2unfmMTWjI4g6dqeU5n0mgwy7hNfqWm
kBeUENW6jaco/0S5yHii1TWgV7bCEuXKClLc/agrKL+T7FrEuvaphYp10eJU/QW3xW4mMdIMLT6/
h11Ld7OGNkgjgUcruieMcE327ohuXsqyzvPtEDCXZU3WlCsnrab3LgQXYzMB2g1ELNEvDHp+VZNU
s7bzgOQrMBV11WGDg8LZDVbn6WjLMq/JG+VFrbGRNn0HIXFoyxfWoM2XRsTPQqnVbKuZ0Se7o/Cg
w5XNV2kbJEvRM2ehr0tBIPiFeavwiOJvmDDuB3DJak/PJfmwWq1N9qbB6aKs9UEhI8KBxOHcoXRq
YlNya+oLkMhzyRgcwZyuo17GfBGIaCck3mKqF3Hnir8lmtGzA3LuTQyZjYsD5So59I0dv7P2kth8
3RwheFxhwtLKId2zqdazWz8zdJHJd9YxA5ZaH4pwAFI4hWO2inqlx5IHoLrR7Q8kXpnLethQNzrD
OagqUySIv1IRYtJ0StzE3FhkxLDBSgKyEGjNlFvp+M5Rsabao4RkJ42h8ZNXLpJnjnzLOFTsxi6q
rxs/adw6b0xmBKFjdUElXZqbPEnLs+mWhFPKAKxfhHHiOFRz9Ksbpr8skRV/W5E9BCs7lAmg/kkf
mO2ABzSp+BgYLPRSI/nKKnsSuGRU9icibuu5LWwD5hFpVaPuHMoGPUKds6kqidkhzbgubHFIw9k7
EoGJpRyOwxFQMtNufVvTicWkMY1OuunsTixlYja2Z8iyfdf9ai6VIX9y5wDMvCWMA+ctXNpewOKk
/K8ZuQdemPFgLrinE2tfmZnxBZaNkAZCsAcv6ceECocrarRNBatpmA373i1n04BavlmZ6rxPQOoH
dimhcsWAqI+gBAyn9nq9HtfOCDcTNUArd1Ti6bqDH5V6/tjWtHdkFsIziLEO4hZwgk+jGstNjgEY
lmXuEGOcZ46ybuwWJEjkmD8W8w9lGROtfUCpkeSc8przjliPpEHVanHKVJZ+zUyhb9OM1Q1PsJ4+
5wpRUL2vV+gEJb2Hp7kBLFBVWvlRjVVUJnWV8ZJkJBiVqw5uXbXxtUzpEBY3flbuEIb6ABYyNd5g
vjSQAwA5/cDIhabZH5363o42G3irHcD/9TaKYSKIm6mEVzAyQOsSquQ2DdWbY6MWWxmNY1EngOM5
gBpuM4gZXfylYYxibhENiroe8cpidu/IM9m7djsRTd3SdPF4AkdMgsE21YUBXeA9ipp6k+WABRiI
2NE6d/R8w7Q2/c2rTDvlOIhBjSUPp04NGvwStUFzB7Mdv1W96OBmjj5orX5yCgt4LCGsPGKtSroJ
j8q+AXiQL8hUqdgkdTiss0jSzSMyENBI8bb6Y49fq4WqrB05JyJ0SALYFxhigLA7YFIy3wSO2+mH
PuvaCdn7YP9IbDivqaWRjpxEZAuBlmakB6nWJliYdTh6EwCY8L2Q+hFkRPhI8AUizAZ0LpmVorZw
ziQR4bK3OT85sOOgSpEVKToggxy9wdLMG2QRaa4ysCHli0V8F3XlOYZripR+TIYPy4+JcrKr9oM3
SWpHKUS7Ccqgbo+sGTuTetnW3SWbpuDXR7kZrgetjSn2fPaGHtcS58qQD3hSY70z9pNbTNpCtGAF
vZ5r0pgZcCzkrKRcKRrWAZbGYjyOOeEfcxepBF4phypYTWmRxistjKanWTxVIiWocknL5NbLCiBQ
S3aK4Z/6YcYYyCaeVpWIMbAhW2T8lQiX4HZOVb0DATKslaIX7XHszbzy5pSpCZFmyRwtknDKvNq2
OAem0HXO9URqGGa+JKMFs8Z8iR4W76NDABaufCdAeC/6gGHRWPCBA2WA+FG3uemv00z92yWK8yyB
5DF5jC0LuVKBPJxtMkB7E/FIulDSUuarmmOTnX1TKU8BrYZz16JpJNyuQxztxCi4nV7tlDVtPUwp
eCrjZ0pBZq7iCAlhOjgkClC4oqLt7eg5SZ1xC3Y17NasK+17GbXlYRq74B5n4bzBdsr4mlbpe6no
/gqYhZ3sSMNl4g4Lj4TxpvOX7eDnXyx0lN8iKsdbjC5UgVxOphAIt7IByMBVKBeDk2ZnesjB2eJN
ZJYNNeCHYk5+i9jJXsF6SAi2JXAomrVwr6gsm7wGuGRFMHqrL/SH7ClEAKXOSiimFvp6YKBwYKRj
oEoz22sNkahF6AQgYzHZ/bTVeXCfm6ovn0l74g14iK/CWYclH5Is8ELNLXE0dYBHgmZresi3YE8h
5cqUmkmU+pB4+Q+5l/OQfoUPGZiPKCk+M2xAHjZNs1SsfMjG6oeEjGmmY2D2RFnWIDEjpgAY76CO
X+DXV/qsQyNxDBTOQ5zGQqaiE6i0d2qyAfUaYQDWCxJchhYPeVskreAmNdW5UYsGcLAeUjjxkMUh
q6/eLFsUf12NypnNC3MAz4Fk9QcBBuI6jKzpMrcGhv2YIdEPzTo84yHJyx/yvP+yff3/2L5UoRJC
6/6/nV/RVMiv7D9Ywf/nH/v39ayr/6tBtrhpMttnQ/g/XF+u9q8azmEdXyq0Wk3MAbj/3detGfwJ
C5OYEKA4VXJG/rmcdQ3LMuE9Oip/9j/n61b5Gf+0dTvAlxzSwiyN5THubnW2ff/D1j1gnUTkg+Ap
76DawskoN71ZZRtq1bMua3cH6/kDddUALLj9oyEGOwWAp/5dAPB/tZe7jzBfgjhIJNn9/tu/wATj
c2gItEzbZh/D7vA/fg7dDWgTCh/XWVKncFnUtaEnRJNTKRzD8GCQPWJdmc+eGcoz2DQJ4dAC/xSH
bLYqqd/ayuYcgip9n6KzLvKDHg8ldiEULj6JEb1lH0qVI7bvEKebzROt3Eb14V4+DJuife3r+Dia
PTrSfMUo8Uo1fekTf6/pJRs0CzR59mZkwYWWB+eHmdzaiNj1mguXDhcajt2CfbC6gR40kOVq4Act
W5CdBnFc73Vd3rCWrhN/3MaBfkVJzPs670H5Ymtdb95xe4ADQ+Gytimy0Bgf4eIj1iEZbYQYpkB4
BBLWOW9KMj2jwHuBDr2vAwjiur0n3NiLE1TmdvUyDOYHQxDK/CE5s/tvkRV2podXh4mZGTEtzc4Y
rfagOv9QZ28d8anU4tUO+PGNfZKmfLZ8wvDQEKqDsuwpWBaazcewXM0jbWvVjOl3kXa/UaVbW7Z3
5Bkk1l9ERf4OdQlK5knHFJO0RGHb06FR+xOb63ppB8hGesIWdJRuGPN3UjzjGvewvVhLNt8vFTRt
VdDlgtPg26LJBUqziqwlSxnUnPpr5jgVQ2oA9/VLlQ9/u8zZDbX4mCjAx1JguILTwjJ0PaLO0Sq2
ehmcJZhdLLzd10cXaq4FASALQ7Wz5dB0YBe7cwC/0i9p6S39mUEpF6ndvuITW6rqb5Fxu4nu0Hbw
1JH3LosBTqbamPpKahBK/XTpDg1plzTZYO0WrATebR7NKrReI+DhNB75L2QVpDVhRqdCWaQJZZXF
zY+YSQI+cY2obvaNla9s7G3MQd/iTL0Z2ZsNweUSJ33y1k3ZgezKJx9S18YZmZ9wdWBp12BbdsnB
zt2lVeWsGJN3q/X/4NVnOHIpzdeabd1CrWAHaqV40pqZNNJPO3RdbwZpf7OVadnF4XXy7SM8lWVg
mWyd9IsxPkmnPNmChAEJjKcwxuJoYDNpMR4tWyu8Noh5V0HcbHUDLDiON5OJHm4zJ7x2gXpE8om1
aMdOmYEevH+Og2sUtfg5/OGtnJrtlFjf6HWZauXpIlFUeapcdfYy0O9Elr4ahwZCUvRtps66Sq7G
jMMp1acsY30IDC0V0514hW03D78bhPLTZL0pke/hcNnwaNhUWFq204sWVpMKGsBnusdYZB9qGJi0
6TXqNHNZYbKPaEw8sOQrazI9YOhrtvwXW6s3mgZXb3LsAzO4VVCFP1ZnXFVorLxO2sVlfgv4x7zQ
2O6GxP1ktbaLWvO3SNRdXE1P46zkZeaYrUErQVLFip5WSrwu7MFZqjJ+nrkmeKvEJUAWC3viKi1q
gFrwzbOOCISyw+d/gkXSM4XQyXOT3doYcZMqlnk1Jab+NAZigfcmIsaxC30DTWKoLjhpvguTTJLR
ujPf4V2piRmKE2BmJsP9oWBQIF9xI178vPlox6ycDYihV9oO8+Pxxe77AHsvoKHmUARwzTN5E4p7
mfTqo0lJ+wDVjpzxyNLzoxqTt2S0s01T8vfAvTUqrAg7VKF2pD2PhvIMHnc3ZCqZqjYtUotzpE3A
4FdGAQzOljFVar+bE+w0TYd0U/7Vk2yDLP/LIV2Fcbi/y8tQOzEvw+RTlUynKucP46z7YLIHhXqx
QhG0rgjo9sC01qtMR1hXqzmUVvcLJPCwqOaYHxfZbGqFwiOr5FUrGEXURMnxhp2bUX1jXfQ92ozP
DDZ/8EjrrzixeTEQ/YUNi2nXv+aKc1N65yi65jxpgszD2B43tUxOWjFj0ow/VaCYC4RNKfvt+jjx
tQKOPyVdv5YJtB3yuqbFw/TDjtOhtw6IbRx8tPoJo9Jq16jERrSGckXij44cFiU+HOVkCDOHzsMU
rig39ZQ+C5AHfM3BU52SfWLzPEiHbzJZScs+tS7ulMnY9zXWN7m3wnk74kTbAuEiW5S9ZX60evLq
ZzXzPblJxpa1DVsvoqAXAq5wQ+YrMuxlWXyS0X3OXPutk+qOxeOySY0DO8Zt35VrX8+Xqssm3HGs
nYhQuCRMvxL7pfL7ZdUY2zE6sx1+G7Nw0ffp1uVJd1L1HTzPReuRVs8B3La7iRo/WZq1v52UkGVr
J2+W35Ae1z6MVMnekm+OK9kPtkBI9EXuagzZ26NqH4eJgYiBjoUJ95My6adx4OQqB2vhxrzy0Pqu
4A3/lOOB1eeKkdAlHP5m3XQWBL3H8bSQQkfjVFQrvY2XmBEP1G/ImqO/CL1/w8C46FZz1i25nd1/
YuxXggEPsD333ZnhMu3fxlQ9fK3Xia1hbUowUAMvYfHOK3IHsLW308/OSVhX55+BEi+ROR9bARY0
tjy9MDle/PBkcmjRZDxJwgLsfji3pGeMJbA/k1D2QEmXo2J8u3aFi15DXj2e7CDKMHHrjORUrHDM
T9T2q53a9zB25zjLbaLGP5PMvxFqHkLl5JT+Ih80pu+FSXNfIpSuPZK4mek5iz560bK9zqGAdhaH
bMnMIcQNaDQtliOSa/XTFDtom9OLcKM/ndOt9DRgqeRzfxbNhkAXxAFAuRJxKgJ2HKlbHQMjecKj
D+TEem4Bo4cBEpKs+QhPeXrU6tfYSMB8Kuuyjs9lXG9VZMMLvYvuzCyYAU/aCqyK18dXmxDa1t4w
hNgWWf1ruPRyUbIdKr5AZhDQzNSFNaQ7l0ykAIYIsoilZVt3Ochvt2r9VWMYyEu68G5WSu2ZjJi8
Ic5ekeIbT/0ESItYIdyCAv6MVaCXo//zekWSSpR6SaMVi9wwr2WIbCIefzS/fau7lARKJpC2Ie8y
KbdFH99jEjRNwu4srdswavKs6dahkWIAz/Lc8XQzY0fIKNqvN6PK1rRDFx6cut50vR7akOvyqPvY
afu/Kf7kNnpqKnffZ2haGlaO9R5bABQW2xuehylcF/U6tFhN+0W9VDQ5LJMw5P6IVopon1uuIpa3
7SLuN5P7GtjaW9CL56gVnAfOJgpuSZQwEDa3cF6uE0otEDLHAQBnp14znQcI09AUfSrIFIZKRSjX
sumOv6Hhg7cmArpkIqJUw57Bner1lfXXze8h7+ZYBPteDUCfFnjXaCTKCmfDMVJHFIDOzSICwDGa
L9ZLCyHcFmCxIF2Q+qFV7DdWIgWixjsb6xWBQTsAUgSqgy/iyDIoSQd0AGwrX9Ts1pkrmHVG77Ww
1iBw2+yIwNe/BgILWQ4ugfEfqnWbGxlg3gSaNE9OpWNlP4qJIzvHIrrzfV1SQ0q3eYf5V9wr3COL
icBVr0ubkVTnxrm6sXBOMtG73w4j2gr/rdgQ2k3vMFl+5/mt42mOiRbJNMWPlafhk6Nn1kFUAdm6
HPbZFrtWci9gw0N9ztznqdNnzUATfmZUw9sU/ROOd8VUVw2JjfvYdbTWCwltXqU6oY9DGu1Uewy2
tjTEH36k88OyZPqGECG2mYne1Iex/VJYkoQXO2guTjjKvcjj7ICCQ77Q71EfU5gNi46J9VOVJfrN
4RN7iltxt8Qh2ju1Lg9FZwS7lgiwtS2B0ueTMiz9UXV2AZ5lgD9d6m7aoqxOOQz+FXcNfgnTnXaK
W9YnLbf9fSrbeu+2jNIp4mi9BunyvRdWeWoMW2VvPJ4KXO7UMyhRXgqnse9CivGnLHLmz40Fyp4B
8MUYpuJj0GEIxeRHgbrQeX8cOADfTmy17+R8mSSbdGFMHF1j3kw3Dp9dXYxPNcP1s9pL8xkM9XCR
bF4Po3HvmDjCyCARegLk6KNdfFUMY+xQO43ah+koqDVwNCyNaUhRw9ntuQdFfBy5MD9DM7K3yDsd
/MADtl855dcWAd7VVJv6krZqvMuikdm+iVHaDWZvbQGcGSdHsAmo60lHKIF5oRYg8VdT4ZbE2cYN
MYgwouZUSUZInWHgawtAQmTP4sh709sATwvH0yc0WO1cYm7fGgRdHpQJNYg15QGB5NG1wLMWksWL
EsTrmnS8AA/mJi2zsXupeTJHPIg1meOMgfNlW00/ZhordLx1C2bB727Af18deEVscT+sKN0aBFSH
IJaNCXiw0URbxHOHKoIzVBIchSvFUwRYZkNx2cVz/wr7HePPrhsx57eq8Qtm29Nx0hsSuC3emy5I
1uzdgCMQ9MQO1AQ7jDfMOjuBITa5L98GrbhhuNtFJFalRrs01AnGoc4nbjddctaEvKsgDFfkD76j
vEaeFERUlJl164zu1VfUSzmCQVPmHU2YHAFn7QJnvKAa7XalWhlLU9FS8hO6ZEm61mV0wD1r0PaR
tKzcKjxVUV+vi5iivCadoNWMNbiOdV4r2rJc1e0bKXULrG+kdM2zc4ew7fwvQSGv/5Dw/x9Yero1
Z5/8r2GHA8PZQpMPplgHLqUK938bulhOTMUEMn9rpW+0+dFhGtrhMvQla0k1HffCyqvzUATTE+dT
+NxHlnlTY1hrkgRRgJxW3pGcTiij/XhVkvmtQfjkns35TQrndyqZ365qfs/Uxxs3v3sFPN+XHrES
pTOvZju/oywzytM4v7fp/Ab7j5d5CPR6D6wbRovPuz7Ob70zv//SLYJVlk0V0Nza3fSkDOKGCXxn
F4PSWuaq9K+abuJOms8WwNbMnefzBhi2vhCE55HB1Os3G8H8U6XW1OdBGDYvIi7qF1HU2QEMkyQn
QILlmOjG3Pmk03yTM28+/az5HDTnE1EJCvWPNp+ScmyiHaadBdvGENndfJhiXSJ/Cd3WKnscti0Z
SdsxccLPvKTOYL/gPhtxQhIbYXH3Tg9pGPqe41uEPeFaYx8+GUh1fnwXGFJWuZ5exlzyj0ugACa8
6eebAQxA9wsve5YEcG+wzBz/Mr9tWT5wqzDPKe7qfNMoj0uH32axQ2DOKna+k5z5dqrne8q303CG
ORyL+Q4L59tM5VqL/EgLFg4I11+GhAcHPiO6ek2t76hDxbsztnhRxyjV3kbTZqiVtdr40bsDy4pR
h/xWBgygEp7NFTTnYjFlFHBa5GoLfcjPeKfyc0gQHoBoLTyXHU+enlbI52DxWEo4R3MBaPoyMrMt
tgUiLpobBJ/rGveJXLJ/mn8iuSOZZ2cOAbqDr6AGJ5olDL26KNJrkccWhAhNO2Qxh8TG6llhg24x
qBTYPwEzZoucfOuifOr01PWZnWtmtQ59smMk3YKHJSBh4JWBH4obGMvCRP/bVUTX0m1ue8X4kDmj
nFYQSh5N1JUTj++YzitCABXEdt3iuLqlDQEfSh/L5aTk2bkXaBcdGvY/NDFviiPMk9667qoujdcu
ovTs8IyvRIZLr2sAVEdVkD47vaUcnWhIVlz0xNCKJLrZAiupxboWuZZ1i9T45lRRyE7VTba5TZnd
ZmIf6CpQhS4cwrU1dBQ9DWGqHQmqEdydraNGfwn9Q4ZfTSFVcQKtWx2PyLfFghUghygPhhfb3bvZ
qkTHs6ldM/JHyCALbVONqVyqnUv+2mRsnBBDQpr3UGNEZa4ZpjJWEf+NvTNbjls5s+6r/C8AB5CY
bwuoQlWRxXmSbhCUSGJGAokZT98L8unwsdpx3P6v+8InwqGQyBqQ+Q17rw2PdNDvqQvZtznI6ak+
nhs5v0gBP2/SGtoxr0wjaxhGb5cMhbwGegR8okhk1C9Ls5/I9ojMnHwYD90rksWRiCbBsyY95prE
ZNKBJYu7S+bu+0ScPITIInvL1hqgA9myld2oiDzbHoi4qaJ4LYE0qox8yAoEojK6bNc30MVYnRJQ
0DBf7HP2gWniV5QWjU47f2e3C95kk4ppwTu3S71YQnogssBf6FrjrR8g3+aJv2efEuStXLswVJ+B
ydRXsifzUTSImxuu3YuM3Q+j6aqnQmDT82YOFK2CFDSWX7npPCE3MoLZYOEmtMS6aSQ2VOywgsYm
/eiQR+1K6Ly7ou2qkKrAYDua/VgW8TaV33Q7v/QoIJxeZMFSu3erQQjeUtRfTrc+LIZ0KIUH4q5K
4KNoXSBN03QkN50SYwj2gohGzAEBEnguK2mpx9EQ+jMYKvZmrvFzlrq5t9v82VXl0VAcXJrpTXTG
jdo5iZFeJ655BWSRUFuT52tWXBJSoxxgIH0zxraIdwNa2mPWj/KUChyCCcSUt9zbmszEZNmFWYi/
B91gDfJ+XL+DvalCssdS3Cmw5C0cgbcuNsl35BTmKdEcWP+Tn5/K3upuY+n2dxDY6js71mY23SbV
05aVM28VFZEU7nW7VVnmVm9NvyqvrQYTWk9wFzD3MP5VnXHiWs/eVrJtFudo4B3/vzXW/3KNxUzM
/DdOQwJAB/XbGuuPv/bHGsv6G7sZLhsE+QJ6qAUC+O/8QjZZmAVxyGPjZl3mbTuu/95k2X/DMswS
jZOdm5+7/x+bLJPEOfgd/ItYAn2Ywv+JzZBsqH+qqlxPd7AuG+zZIMpvJMXfCMXoeOtG0wv/mKus
OqIxxuSWgX7pSXNpekgxgZ3MLIbzOiLW2kZAsc7PVYdIDLfVq0r89qK1qL6TuJqvXCZVD91o3Rug
m8hqxUdsTBZ0EJ7Fg111mBFTFb9YwqsufaGdOhX7bAi84YpApQeNnRqwijn9YbOvoXfJ60CM5V3u
5eTbIDJEDto5Cz1uO1gHzc2wZDc8rE+IYLxgjsnTYBjbXFRuzSjk20UPgM5xi+sxge+gco9a7Vv2
kSJsfuTOS9+ypvksuOPcMOk39c6c5d/xQvyYfKEfYZjd5DVKhYLYvKuJDIKwM60urC0qFu7F0Bq2
gtOenF2nxdUDkWvtxS9A0w7wcn4pu1VGA7kqWpaReAP+oeyNnYjD3Ux+A3O4nhfUTdAySE/XGXAz
Gtk05aRQHZSoDBQVgo3OBADnQZ/yj8nurJAJaRyY6fLLyjQxJOz075UxIxTkLBmjhdlqgH01eRxx
6fTmpD3CxS3vx9LRIgwFcR02Vqzf25Pr0ZCR/VYGnMujHhhq+zdBzcJHKmjl6bVSveb4w/IcixmZ
FEamHi+zGsNBQ19zLJs00U4w88urBgJyfohXQRKyNXcFPOg87pFSIOlD90mbQLBwrE4dG7gUrFs2
ntkEtAy0fTjO2NAXOHe2q49xQIxTybSsshgUtOb8gvSLzA7P72CFWG4LZGusKvqdRQOX3LtFAf6p
tQg2A+htI0RnUAV9CiDTW9856gJUDtGVQTeeYXOMrVtiWioj7LmmWYMgOGZGA7vEr8db2zI7434p
esxoPqIvZi+WW7r7yTJA7PnKmKaHnAovPSJPH9oz3zATFa+HWA++bytuNG2qvwCMVVcuDMCErV+j
mmgEQ8lnDrLvvBHvfRZ6aht/Tf59NyYnrwCbJuwpRqbFohDJdziS8bIjIiDZW+aNp1tvRArdzRtA
gyR6EXSZOqY9phmUxJeyWRNAAfJhNMcfcWM9wtvdL0CjbgCLHO2quFTT0BJuHodmIU9OenEq7BZA
wclZRULR410JLDHZYV8t1SnRC/MObbP2ydc5lF6980f9jrRHLaxn717X2+Ygp3lXcUQdYIc2IS/1
y1zvq35k+8TfMYzmrdJEft/p+qlx0gxnjkKcnRK4jRDDCWWhfWyZJI8+gsado3V3nrPQhCOyaSeS
pEYALEcmsyWC2fSpMsc0KgpIQ2Q7JMd227k6ToXld0GWblSyC5YVQS/8Fu3dstgDkXo81zLdryaS
o7HB61V7MM5baYauhaqbSTCLytio5UXPcue7vySPoqyyEITcEE3IT3lk8gPqW7ZOJirgARjez9Va
u70ylr3hzYDERT4zqyBlqS5jQk7cR46+S5LTDpntIs4krh16eKBLXiKtX4RD5rqKqsYbEG3pHxBc
wY06y2dSxLcmuR1MES3nAJb7SVtH43PqveIH/LKvv26ihYME4p+aaCYHBkIICiHT9TYJBX/+J+VC
3cyjNmaGf9SSRt+lFaJ+7Ja1ESZzY9+mlG5ZoK2D3VA5Fd1Fl3P2luSbe4Q9qjPuKmdKOSd7h6fO
kbF/l4tm8PfJXChUmTCEzJ0yClwG2QglWqra+DkuhPchhpwgnLrNlhZfVisLE8auSuxmdnTnwsDz
GqVsw9RJGTaHRd3EV8xMxvFg/zpNmHJzsrS/ThlWOuXVjICXySfwZ8FAfBqJoYTeQ2djaQeP3L+H
PtcosstWd0+qZUiqJidhJk0dLvrkwJB6uC5jEBw+HcKw0WjMfLzWrXS6shFCsPxD34xqbZ8Lyu5C
gI6pqsRHMeqTJTGYD2tlQEvnOLt2AH9HLdxdoNu9HRgy68KN1m7WtTibg9t/GvR4z9hi5L4105Lv
KnrQOuoKSKZRjip+YF6VsRqLV54WR89Bf/iWxylkNUZegIHCAHCF96TCfYzsOyVOaz/7DnDUVqtC
308YKrf+eocBzNoheALQpfIrRJ7W3UB0C8ZeWETfOBQ6+iZ3PdhykuDPVuBH8EXz27EZvI8EtPY+
q/N7VUpxdvAWh5LhnHGBZ1aw18pIVe5VjzkGJ/+aXVeMHa7SWWM5DP48Qihm0aCPWmRQsOMvpX6W
bpL8jAmo2ai+7fB9sTm9WIqIW1DpNFmjU8KtNH5Y5Bkc8SJU+07auC4IlLsrCaPcZbaISpJC4Y8a
Z31CO+cO2niFy8sLnVm1+yntVADtNlMIiNt+uW56+y1NyOTinXstE65/q8hIPE/8Za8hjmWrbzwR
zySDAoyswirMPddE/mx+IC2dEIxoP2Ec1jgS0X43aX823TxMjfy6FMZVV8WvcUImAoZI3IY/MgNm
i/Rv9HHccn1IJ5jXASAsqX1Fa35KK/EvxYCV33B1dfBmzTtKo3+3va47p54xBp1TpB+L70+gRL2O
SGuxnLrOXlFzZN6uqgovwiH+k2LRDmrb/Bit0j9oqNUCLPUeIW5ZdmXl2rc1rZKoWnTjBqfDhQEs
uXXFwGao1pbQdA15AAIfBy1O1h2RTCiEmgG4GvtIELHngkiDfe/BUimdg2y6/rI2hgqXdVki12rY
f83oBNEhXErDyE6iEvW1ZiwOxQeUJnY4xj0e5O4OcPTe9MfspPUb53Fi8bqLASSeHQzOEy0ikkXk
/cxUBqP5ontC4Vc48oCLU+LFJZvJrPB3iAw3f24WeUQYAy7kcpvSzL8GNs68iFf31xhn3CY6WNOR
G/eWzpQ4y/MvIowYAFUxs+EcJTJQAjF3TaRtWvM9mpLqKt7uaLXd1sWvi7v5dYk7vy5002VZd/R+
XfTjr0t//VUAAFemGJh/FQbWryLB2eqFdKsc/q/b+t90W6aDkO5Pl9kWNfNHhMzNe0WEzOtn1/+/
3ScR3+Wf260//t4fvZb+N91hU2Pprru1Wia32997Lc/+G8HeiANtH7AL/6XN+e9eawv+1pHl8Aj5
wnVN/ugfSBfb0gEouLrLrgfKw3/Sa228ln/Mr13LIdHbF7Rs9IEuCsTfrl7XImIS5IcXqXQoDsis
obwmDuOGDK9XXy+nP709/2Jgbmziv99+nmUYAqEk7wjZ5b/Ny3Mxx6av+7Cbi441iyjyT0SELZvL
GqXdMk6ovAhtocjyobWjdPZ8+Mr28LKquASlLmAnjbE3hv/m9/pNPLm9DzR4uocMQwjfdult/1yC
+F2XWbAKvIgt+fe+5vcwJs3D1mQfRW+dfX+VkSxNdYizkuCR5WIr1rF//UtsXe3v7w1eHaHrwjHI
lv/tdyi81ok3mm/UQMyIgIrGZyaL8umvf8q/+MQtXqrtIeV3fRKR//mVurzJeYoeIEK9cLSL6dWz
3Ow4ZdjNWuQm/+aN/RevyQZjafKJ28Lii/TPP00JZehz7vmRzyz1gCut3OVDI/7NT+Gh/P2d83ki
iLx3wBN54rdvFeEfRksX6UY2ph6iQxZ4d+XwMFbZz//4zWP84cBY4vV4zq9opT9Vqra28o5uX98Y
Y+2u0vIv9o2wtXCxmXlx8//xw9DPIjW27G248s/v3TxYEuym5UYStxcdHfq8dBQ4dlaHiNDcOf71
jxPbZ/Hb9485pGeaFicC59Rvn1VGLMWq3MSNWs0qMExL/3pyY/2hNFKHCKiU1gyv6gElFepcmUMB
ApT/w9lW3aQktQ954Snqy4o5aIHwlDl/2wSO6ZWhbcNa6EUD+85La789DXmdBWZVef1ONSsFkNxg
MBAgjXDAXQHBIHfuVVWp+79+jb+LpLfn3Ld9iFhC5yz+H99HuMI0lTS9UVKn4pSDTDgtUPIDEJrP
GvQ0wnFx3avkC9R7s7dEIZ5AF3n/5q3+V99XEkCExZBLt03rt3da5eDgyET2o7IcrNNsZTe1DmBz
SyoK/voF/8+f5JNP4pqI0z1Wlb9/pmmTsllHlxC5cVYF88DMilXP9y7Vxf6vf5LhMOX7/QsE0xzh
OWN5y3T//ud/ejrayjA1FJduZPmj2IN1yLZcwvlOsLN4cGC7hKLtnxICHfY5TVIRMmhvg9ipGxLr
JQIhnylLhICPhTyrbudxyEb73R5b7ziRAg6wpR2WR7/rreue+fdVgVs9AqMEY6Yxhnw+lHz4lJOQ
LvXKHU66v3jHJqWH9VW9RFrbkWmAv3pvov9C9UU2kIEYXsKZnHoAREllxJchze1boPPIhLsUGlMy
ziKER57dYj3M37eG52SNPkKyEhTD4tvaTo6teyra3n3LzNW6nWC4I1+nr9EgUe9sXzlnTxfxxSBQ
ykcnsy/jhoW9ndElwAtDIz40T1C/mjcBWB7FpM4SJ21rBlFLi7tZYrpxoQUcauJij5ne548auJ5b
T69QU85uM5FlOwOHmSezhQI8xheFjvSFMVYWjVXr/XQmYCJolM1vhZa/QvFGbYC62EG6oW7JkjZv
3CrFe5UhA9YqHAQGYGl6Q/Fg0Cbi2E8d70qnyLxdR2xwRCY5UdeqIuLlNIE34reLge6G3QpX4zzK
bNbR2IAI9dnJbbFqQzWEA+IrNxi0NovKdho/KZl4T9hiYwuoMTsjybhp+xiyjG2K4dRKq3s1unp8
YfWetyE7KCZWsdJ9pAWIZxj6+f0zriXrNLA7RMhE+JNirs2Kwqmoq/UYQzwxtHQYK1f/lstGSHBe
WlsuyoiaEuK4wjzI5y26kbdv1Dr7PXZIH074bDmERiPbW6TOfUsbAXPVF9Y3M20RjXpofG4xN+n2
zsPo2O28QSe9jMMDpqSyFsV2qZr8l6mz+/LFNEsaHF3Pf7b2tnhyY5tvvD/m3WNJG0tjjt4dQKeK
zxWdY2lY7hfcD7Av+kBqXwiVkmGxB02VFqwYlmtRVNA3nd6RYVbC/sDNyNwEi38kVgoccipE9QPJ
Ajg1UHpa6G9RsCREuISFFsNxJJ/6QrR1ku1ymkFEG9qWaQI9NvTq+IYeFB6UKQk3mGuAO6jxFdqu
1OudLIBIlvqw+bL1WkzqMIxGeyazQl0lCEYeUSSgVM2Ww9y46ZPQ/XlP9G6PG2x22PTK5OC3EF48
W6/4fOcKofrM96MEzIzovxycA/xzgz0+cm1zaT8l6Qz7bFAZ9WnbfvdjJkkUqGZ7QmnOxkzLBWOQ
EbuesdpTpHmOFbYlYyDYxMWFPZ0PtH1JGYghrs3Zfe3MLqveUfdiDquRcHmg8D4Kc7U36es03Y+5
Dp+Vj/gxdk1QSplW7qeFYZ82cwtTiqqfo13198CnlqM/adhrusHbg7g2Dp5uQtwSPrY3CsR5Nayr
WNDD4kKYdmrIUbA35wRL71UnoeIFFfjSz65LoFDk8XOyjHixlYEvhUjZK6V6/z3zHPNZrHa/LxNW
onBd1EBVruKj0G15TKsexifN5g4lVHLOyEYOnYbiuCKU4ippkJZ4qjt7kv0Jt94Com0Yjgp76wV1
qzcEjTWtoST+e5c4KscPqJWbOSKXBDtTeBPMftOZaDHG3F0fWQN2l2YlQm3OOHF1pqlkl0K3g181
33WjnAhmxoHRJHqyI4nJR/5lrftZLUxpF3e9JBDDB2DYEfKQOfDruAsSnEBl9aDrxH6TWOOcJmTN
oHfyMFmxSJQDRmhpOtMnuT+oMYumwAfhDZrxRiyGeUEofpmAzobYIJNgnvQF88ZiXJe9iWjf8cB5
qxKKiV3K6SAt9OMdoqRdbuBkWJUaH2LQO9lBWW63K3vMrHmtfc0OgojJtZ8oktZoaFN2AJJH2TEI
QDAce49kxLiQinDfZOqaqQyMAUNrgpUTPMIq+25IieeaV24CgsmAWaKS7zEHuV2I5dXaz0xlA3OY
zJt2GuKHGsLe3o2T5Sr3rIslR0Z2ngZVxHTIWmJM/j32UaC67J4DZ2GeZrfeAbsFm2Fnnpw3ogPm
PYDj5UDuLEILT09ihue1RsqWxFbwTF0234s6wx7umHGksqkMyASOb/C1NJurxH/EbGp/U/40qhA6
puLdcCpkwd3aMlE2CBByQxdxuY58TBXj3pG8I7vOX9270q7RcbGAU69jqrofBAnGIGdcX5GYlC+z
d3BqlNV9t34tIqt3SQZ8Z3KHdwB3JE8t4FN6ZteHHNhlYNh+y8wdxqeELcrhc8ND2EZr3sWBwEf0
jQlyexbgYXbGgIzBWKY2LMokPWRZsWyAMR7jCYbKGuP9KNEPigzuka89m+XUBCaX/J2jkUTdkYVT
gEcwamBmDgjDHK9asLpW+0ie6qObde0R1QCUph5SMQuS/DwvnXWs2mE4gSNLOeVZtEVkwenRiDYm
IpbHATNpaPtYdcg+GlFeL30l7oamzMJaT+tv0rO6fWvZ+1hb8itYeEAoO19+cSHhn6nR16+OPj7j
gseKnrHD+1QwqnCd6ez1ctWtmGNQsJalvRxgiMqjV8rqBDLySwohz/MUG4+m4bcHZGJ3mRqL87La
NtZVE9e0YWjjy1gUyZe9Fmqf8tnctt6in1y7jQ/sINXDapfJgWHiB2jR4caoNSgmmV+fEbnhxSjy
AdX2qM8wQ+USDAg29gBl7tsVFwTRW+KweuN8WGObEWliJfU5Rx8ceLPQD4Y5wH8S+XpgdF9c4X5h
GdlXGAAD5lfogO1Y/sRhX16RT1Og4+t5R3wnL6O49o2TlUoyI1LnqrCGt0XN8jLL+WYGefEBU3S4
bhuzCROjJIzTEzeDKbu9H3fdu9k5dlTp0EYQ20aF1F5I1CBjblgb+EJ1XJ9lXEHGbjCXJYODpryb
+xvfnWSkb4NYaOLneqnUs9WkHsRLT4StP6qPtp5Wbm6Kgp3IWFTJIQHeLTibN+r6jdvUyb0BwC/o
dBSkHuGaxc7UCVxlkDHezal6bYjyQNeBIZJdclBhS5Ap5/baY50vhzlUciYLcpRrRHT7GJQCn8ra
uBexsokVWZbdU9jbClhWzEA0RtFcm57YkSTwAqUlOzRuDUZF/1k72XGYjP5EYjpj6hRfJQiyZM+U
l1vYnK1jn9lrVDJIHHwgetJ2D4tDcvmuaTTv7EvE+MJER2uWTxj4IeqgmQu3vVzdIoSllEdKlfjJ
3knzOEpHn8Qdfv5OVfZPMoziN7dCFdToPM0TGO01X49smZ+hY3i7bsQtpw0vXi7GuxRuEm/tN79H
52qm2k+PyFBhFpc6cx4TcACYD4xb0Dgspz7V5I1Riw1tRxjPE2EW4PhaMIK2e53ZxgUmEhIqd+iu
QWBeK75B13CTiyieTO+nnN38kIgq4JYiw68ZI9Npq9fV/GAUVx480SLlnbalRoulf7AXjQ+wy54I
Ke44xdiYYOlnPcH/2veiib/P0r5OjfKbJaBuETtLnnGp8kNdpc+p8Nl1Qnjx8m9Qsk5Nj4LVxo9j
OgW/u0DM5zTjtB9GBPb9xiIQGi4Wy2Z+kbaCKI+pPUxO+ZDzVG3IqB+MHU7OtIQalCJgsLDMQYCH
bZ7GR9Zr423tJ/bt0rjdZ1+WPkMz4gZgwZ3RPDmHkTj2qJriH4Xp0pjT7j+xPcfZQ5O/8Q5s52e6
Gs2h6qwA5YR9UL5enpeixG1FUtNWSjlYq0xydFM0UGE314CjAJGCdqovwlJz0NUztUqDgMIkSS/S
iAaOAMAWdPUaNQwvOGeJxVGAMwhVSh2uks+bvlXuMO8/eg4ScnMCoibU97FaDx0Jq7saLNuuKgiu
smPOfObeAT6xhxS3kJnHr/2CwcnBy1Kz5ggSjRVi7pbqlKYrW2GrftZ7C40aZixon81bbuCVNNyc
UDj5w9WsV6fUe/QQ3NlL0/GhqeKlEeZwB0+tepkZhuJRtsujmhLjSN6Y3JPgsuwaIujes3GAGW2l
FUeKzM9urROa5LZa2FYTta2rvkOQHFmuOrxSPScGKGehbwACTCtTsgsuhy93Sc3bTM5Ud44JWF/X
5QHIdo/mTL/U9CwHFHHeeQL5NQ0OAEeh7lRPg2E3XvuWNhqMnjQeIkYsj+1AFkXctLhPE8ICqv62
a7VhP3N27C3iPy6SVEKK/pm+OTNUuzng6p1CEHkgaaal+levbDgg37PrPwgIGvsk7uHITc78JDRw
ym7dUEuqST8k0pWAnvPp7Cq3ZPHFRyqMoTkCjBoi7lv9BhmvfkpkUZ+r9kh2ZL53aiku+tJiOe2G
/FIgUHrp0NS9eHiYY2C+oRDoRVKiEl5R8/VHaCYaLKlR/Zj4bt9BZXEuS2Y2ACWgHDdwh6Nt6RrA
bOtu7IFlncUYJ3TTlMiflmjETcC+ZYkbnfusS8KMWMCQVwbdBHshM76gNLtK36EXH05dhfICLsa3
paVUTJh4/WRnU++zllTgVFEK9bTIkZ9jGp4XlKhFrg9HHLs2fGXHIQS7X74N64IPS4Fx5vE96J0x
kNyXm/spt6dQARu8y9AYUi0Wzdl10zGsO+f+F7tzJBrhsrJ3O4rRNsBQung3cnI0peiyizUrdcr1
cl/703xgvYo4lJiJK5lnI/AQRV1pm+Q5TkTI5HhZcEoZUziucXpq1k2EN7Pvr8revuLnLPuBqPNo
tQmHJe7AO8ceBqZukG2I73K+owF7nDphglfLMVjN/cfsm9ObUSTfa3ctLy3RbK+kAX7QjqsHf2rB
dydKG4JMG8DtFWq80vTuWQgbpwD29hoPMctt0J0p5XBnLUugYkZu7MEQkeqtSrEMaMyGatWZ+2rQ
mQVVmsHUMXOCBFAakEnZ4KGXcXKg6bNeh0QZEGdlQ5Yh13RcSLBd9TBi2Jb0Vkvu1PfMKurnRpt8
1O4pgkdwWA+gNVGOtK25T5GhLjt23OqOTfoPMmL9B+ZxTgBLBVaw1UiiX9c86H0XUG0zuNdFB7y2
lm2xd/y5OI1zzUi0jZ19q8kq0jS8+02HOIXVZnZe0mWlMVMS7IshpyCv1+9TZ+nHZE2Wt1SqGfVY
rphwOD/cWbLOtf0lsFB97rvKbG5LEztZMS4ZOXB0Wh6BXCe+fvcgJRpEQnXSQlczEYyOdb5f0aBe
iXGERaQVTFSvynkAHAAWZbxfct36GPOpFWdtLZZonFw43aazum9GPev4oiZ3tvcsI7MvyZfMRSNP
aMU1SN/lacU6ClRI11S897QZSJdVqPJtcljLa8tEp7f265MuEitqxpLbcSmskK3JI3YfzkxfwdeM
2/SQe8YcejNxSnqNprroGvs5LmqiEMcbrzLUuXRhB0u23nwNjXK91ArUWQ5tg1fhrh0Y5hraa++W
8oUfpJ7J/JJvxXZ2Aty/gRtbHHIsAdcYxIxDaUxwx3Kvr78h/jXPvV2JPVtTuYSWbOOjgfPgeWqX
9bGIx/YpIx/zQuCWjkza0nc662lcXjlT9g6uz9Fo/BnSnpsNITl92IGwGnMmVjr3rwYwv9oRBD8S
CzNp+wxxLjqxVNsECQO+DRcjJba4Ig6JSjWw6Q4DPDHEV+UBulHz7hBJD+15cosnl/PnZqi84VPV
trZhl+I6GnirvWvubyKdMqEeYrvj9CoeHM/HjYQiPcASGu+QRicXiGp3VgIPnUkOW3ys8rt11G4Y
uLu7DJRSN25ef/YIB82e8BsXTYtCIgmbLG+CwSHNTNPwI84F6cnwuIuLnaD0Ryb9AvopT0G2Q8jr
qsZ5d2iljv7oiUApCKKTj4PBXfvhgZYy5vmv8qiCG7jHnMVv1adv08LtJ2xy5TVjC4BZp4+1E9ap
nqEHy3V6GRZoplM/RUxqEWR7sX7Xibpjc48Yux42cX0GH5RohhJYcdGeTS97cPp62MtxPMeWPmsB
3xZIf0yF90x1hovb5eLHLF2UFlUOIpEafIHzp3RIV7He9FcWKrHIBfAmObx078MB4xcNi2heGX80
9yQ89w/J5PVvnu/lqEM6+mJGdwdjVO4ttRxyuTbxDhVPX6iP4pMURnX0V2OGpJms8U73y/gHM1gq
fOblRL+bCXJQlIjILscOIdRhKGqYX1PSolAvpN/3X4WlG/NeJwNND50JE1BU2XXKmWk2WEGhQKK0
AVgFOm4ZaIMLGav11PsLEiKkB6xUsSaQpeSiZbWL/LlwxnhvpF57TRruhONh27jERL4uDR7AMsOp
uKlRu2HqHuypsVCDGfotYxGXf7rzGV90TPRs150ZolPLkrk9txiJm4JjOhXIR9lZBrWqQ7uxxtu4
LEOsFN1uMnOYp3UcoDX8Glb1XPez/1zPE1T+LllynAY16nvXWN+qen5dO+x3Vl+IQ0pYgdaBU/EQ
+gZyIQIpkcyEWOiQwJxpL92kZaGPk34buxdBlq6EJMUzQqjUOvSSrgv7Zg4MxaeZHS0CBLpUmScq
WJDamapIBNR7bsWdhMUNXlhOfh0oD9Wr1U0DPh0tBevIVkW7IZVrkQcdZUuBfs9PH03XtK8o+uRJ
5A4wkixtHp1xIfXL7R0DHH2FkCRg4EHQ2gqB666DcAW0zsWUoCdNe1RFQhMJgrmRoRlb6qyZQsc2
oW9EGQ8lUZsw1tQn13njda2Hfqmw6LaDLV/MdezNrWMp72I9gf9srK35sYiWohcIox82RE2IgMli
8+wt22FZjNsIuTBj88tyChQok+dBQWeHwPXGvOTVngv3DQCWe81GSl7QErkPLD7dkyNM81m3EzjZ
jq2lOVW1NXU7iAX+t3HxJIUMfgtCttceObMFwZhpP0M7YI08W4jH6jYkZNT4tGrLfB54hF9wuiKu
cWsElL3fVbdAEAUrBnIYgEiQn/fRarZ+iudlPupsRh6zyo4TbNFax70jne+La7m3dpOXP0p3jZmY
gk0H5Gq9DZo50h0PSfWe4247N5XF/68nnzFEqdEwBTORhoHfSPvRl4QrE1FhGe8d4enHSfXEeHde
6twVoL+IR2q75E5bLWa7qXYQCHde9M7vv2Qt5AtLpPi1Sir5TePZ32sd73zO20kSAJXkcamz9ZWs
tPStTgSP5pLF/TehNOedKbD1vQRUEYwY4qAuZBBFOkr41QRqUPMVIX3FsrhSyFEGajl/EUZLjCZz
m4DYYNRznUcoOokx5otmV+nJBKV9Qbvof8sNUQS6i/cetC+SJsbMKAG1vjk0UsXvK0MWHgBZtt+8
uo/PmFkciuq1hBlBAbjru6pLiYK3n7i86s+xHuSdUys9YtmgmTvbVsmeMo/AjEL7TsIwiib28GBY
OebD0UigbyZFfoOOg/x2jn0wDLKp7liXQcWbE+ZddlZSlNSiah6XbiK4kmBS4tvgM+FURXl7Ef1U
nqxp8U5zjLAts2Dz5xRpMNeM3kQXa+CZ3pEnUj4RFqHrYV9U8sKBgTLMyvjkBDE1MqJNnpHxiZYu
WlZ2vplXy4I623HFTyNX0z0D6+kOaHr7aI+u/LTbobzUel2c1yHGAm/Z3iXumwbygath7jdG88se
evlJdMEEiYKMhW810pO3XClscqXpIhf1EBASyDhZFlygGooSX1WiTViQPnV2S4CcJ23wJxaU2AdN
9dZL4lbVR53gjvWZitYdFQmZIeQjI/LC5m0icL1bh2l5rwicdIlHq+qBegrBv8vofT12PWM92x87
gv6mmTd5wJ9ZgJJpVv2cp4jhQT8YsBJBkmQ3wHdsGdpsXTkjkto7mMBqrtKc+yssmFccprXlq4PN
tiqxwnPZiK5gEQ3zVr+MLdjVHV8JcaMPLgM7F9F9YDtu8r7FDRZhoro3y1jIF6+2LAb4MvIh5YPy
DnBQreeOBeGCA691PyiNrHHnI7n8mSf1xHClbNz82LjQCgI2xsty4Nucd1GMxZYDQnWzE6B+d74P
0ndId6fkv0qA5zw7/Xaz+c4UJavG1F6rDZ+I4eUHau7/Yu+8diw30mz9Ko25p4ZBT2CmL7Y36X3W
DZGVmaK3wWCQfPr5WJJOl0pzqk9fHqAbQkOCVGn23gyz/rW+Na+YHC8ucLvmOeGMxG/AMEFYHh3O
bLno2CNzHP81hqz+0cU6QrLEG5t4E1YRIS5ceIMDe4HTeXvIZk6y8VGwLQyfHQMPm3/xIPphoIFl
grq0bWK7ZNIh/LrfOkmKdCahdkTSKY6+g0l0XcS9KTa+aabbsoja927yJ3ZdGEirgdHNRG+GARpa
994LeQO2jyzm8lZ2UZkfuiK3P7KiN88TLY9ccOdJ7KcBh66dD9AKs566VEouGeYF1VHHikGZzzDt
xguRM5lBKnYTGcn3OWtAPTWW0T1nPugqDdxkVScAegYRnl3DCU8ZbqsbPdtEDfm15WnqZHc5TWAi
mdVyx5/yHf5wYwVgWuy529QkC23Z/NoGBG5XITXlN0ngXlOHme6tuI0J4IHvwVdvQJouBfBK5vYJ
6Wznza3N6c7wMufdWEIzojJpiaTnWbl29mj7+JAPlOyEiL80K1IHgaWTfPBV0dTGHT2l/8yI8VfL
S0hagsASE1EHcN1in/jOsQDxxG+apA2WOz3DU27MNz6N29e0w1IBwWzWvB6EkT1ipWUr/blhwvnf
7BJYUJiCWr6F8eYHf89sGV5AIU+wnzzYD6HXdIehk0wRTMb2th5NCBUJW2ttZsOHntlSOqXKXTPk
YqV4ZwGju5B7SsTOhobEomLARDWZvdMc45k3W4KiBW0jy5QeMRV21PnQeU590k42X/YyBbMH70G7
aIM2Tq1irQDgsq5wAmavJyxIQtral2NuUCQvMDcD+lqpDi6Pqd0HWmiZjOlJ3LSp955RmLI2/IHu
S4MFP6srGGVcxrBKjfjvf/7SWX+1EYYhmq1j27aFOuj/YGIr+Sjx8jmc1vFQcm8wbxxnnGrKiaZj
JbAs6QlvBh1I7EqTms6pVNMupHe74cPUYmDaRGkc+kSxCGquVOltiV8MR4Lr9L2Pxnk0Ac8ERc4B
2M6yQwVG6p8YcxYj6Q9uqzB0GWg5Af+PP2dxzn330UvZS5oh7MK92TXkhKtwmOEwzWNyno3+TtBi
sBnYnEGZyeQE3UZ9MvFSAFEWtx6CmysA7VtSEyuq8G38/AX+q22PH84h/kdsMMSZ+sPrGy/Qd0GX
yD4XCFWMIuPwwoyq7p98G/FD0A87Fv9zcDzyCLC0ix++T8PA2JFRE+4Zf0LcHizfOGjdqc04Ft5X
iws8a2RO/5YgIhapwbtLOYSOG4Rx0m+9FV4XU5Bjm+FhadyqvO5tZU4Qe2Zj66TmQ9Pn8unnL434
8bVhvTYFuUSsk/D6WTj+/MYthGEECT57S+lYRl0zcHGftoIV4AQiTFxDnsL8ujbT+rWYUc+Y/1Ad
PxTJaQLltsHMMH24WThefPu5/vNP5E359//6viHzh3/8+0Nd8td/LX/mvebYk7Kd//lP/P0yfe9q
Wf/a//S/+v+peRMvNJFYPln/+e1XjT/rv/i0Lz/j5K14m96+d2kzRv39D/5u1LZ+8V28a8xsybea
fDb/j1E7/CUQrkdCKcQ1+9u/+cOo7eHu5ruHIU24tk9k4B9GbfcX3HCuQL+B8SqWWs4/fsCb32yX
v719/MC///PfKkWpQlr18r//w1pCvt8vGIRisSzarkkqly3L/9E0qDgdB27pe4uqRmGb1eYeGRqS
2DD36Qf7GHO6XXqPQq2ja3vqnqNZwGBOC8aucRjZjy0Fiseq9zxUSy8fOCilBvEnWp2wG5dGYj8u
ccbLSGvzujQMt7+xGe7ba38Mwa84jpOFB4gQQb7nrtE2F6ZRj0c4WpAh3ZgkA10yMcdepkncQIol
oSaMh1AAqA+Ur14aB/NvhRd4K8wip5skuDMJ+4BRMK+miXRWiB5VrXI5dO88ZA2SKdJ8u+aXjS/M
jGsYpxoxo/DhEtxoB6iMVEVAT3BRHiDRg1uzUusQucFIq95sA6+b8Hg5QD8Q9ChMLIvJu9UJrYdB
jSNSi1xfNkERUldSDisbDhG6Ef7hQqEIWFgxrcGxmqehDrSCPYSlacVp+U6ERrOUWWOC2db4Lk1y
d+wmTGj0cNsSVgHozmYYX7RpD8ELszqjp1EXRASpQGHULAluMq82bLYeaDsEUmNBxwOMs9AQtzN7
xnTdxWAPboVjMh6bTUo4D3mGBntMmkDMR2XSkX2KBh3amzqLxLBVynPnHanE4mUorNa9DcoOvqOY
g4CUcmI57BXKwiNhz3JQuwgE/97vzeTDrJuYfbBhra86JZ7cSEPqYzgag9eRv4bg2pSh2xuLKvKL
upuaZZRtHIwxGF5Aq49gKqIbPTIa8pDvGGOOZXhpd/j4pza9FWlu7jyzKHH3RSyRrWvqvXQq+WGX
g3+oARgwiQJWJjZFbeLlwL704PoZtYIT9KlpQ41bcF8IY6LGMp1J8abwSWVf3Pf5RAUeO/yKUyJZ
zNiuT6aPUcKQjKPNNDipbiKPO4v5IapSsRva2j153tKAkRn7pT7pOsYChcol7yeHrr1EePLaII27
07mOyxVbCUpugaINjj/xyxX4LR3va0MXFwQIOA5lNnGksigvupaj4kpkTvrAp1WdgTwI6pqsmkHu
FKbZcYpzzUEuUptSkc4qmhh3zKDza4TO4bXnvSVoW0fw/GIKzbge63FxUFKuuem6pFqVpf80pml5
207kEHRWbNsQcirjxPTDpdZlC5i+uS9VLPd+ojJe92zae1QEvPrA8o8AgdRl00+ftVIwj5vJKqFm
RP0BN2i28zrfyF+Yk3j3uob7sRZJ7n9pph5mhQmJ/KgLgPXjOFL2ZFEl5RmW2uLKVTsGN7hzMExA
wKTkBv8vdFJavmGDxMWhCI0TbR0eK0yJ39A1FfXnEv6jjIubOMTJI5usOgFfDGHftTBq9BD1v52z
/r0tPkwNCaS3D8Cxyye+S9/773c3rjMhp+b/+554/ZHK5E8b4u9/5LfdMPB/4U6HuBR4JhGh7xAR
gfjFwZrrYG1yUO6+7ZN/7IbWL8DE3IUgQf6SUxLnOVmrPvnv/xA+e6gl2MNCsZzb3fBf2Q197y+B
HRIsZBVgSgekHzA3/PkURkqzDYBXzrumqPH9Ivlw1u/o9ryERptsO1+GO9WIaBuWhEK2RKmjCwHj
bxcVY3vOs0xso5H8AttPyrAXC41aWRalK8RStd/tOdV1lzBkmCOHNZCauO8DOHhU/5zoF2lfQA0W
OJrr4pjaRXIAA9Ed4GT220EqJhltXF2nju+ANI/7IdwQAqArBRMDplrQhxhC8Ut01RFsj3NOxzQK
UXKQyyJlG5dAjvKWblbOd6syHI3PSLK9LcUR4dc07Cj6NTWoKhfIVK3CpYwyn+uLgF3/WZqBhRvQ
hPqKW5LeAab7HfgoDA1k2LMKmkNfvOrZTC/TLn1geDDD0iiHI6mL7s3zZgDtVpvcRV3v3XuzUyxp
dGtPQJu1wEekT6cKqWcyDAqazGNPYS1OgGrehrx0WxFnCR0cQLJpJdZ3XUWVGRyvy6Aei7MV98AO
ZP5hxY27wsqQ3lGelXFfawoYdcP0hWmHd5G4FHay5xkMevAKEmHNiKyc8jrNZgxVNldQqZpkZEdx
g7PRx9yQedEWtZccKPWVI+4dim/94FHEs3njTXK8g3FbhEeKuSymzSyL17k9YojiaC7faj/R7VGj
7529OLaQ32sdXVPWR9kV3nnE5LLLmN6ArS6oz5oIFKwM31GMWZo4xPgaW/YaXcoJdhW5jpMcZbaO
mqKE1QTtOMVaVqbpznPo/rH0opaG0rpKByP7YgzKAkevq32VcZjiVxrwPsZh8Nj00t26fTAydC6H
6x4RlLcS3W9ifhS4lPHqbrhnsJzQcpna1rNytfdUE5AlRqM7cbukYK49yxnKDYzp+qDoGT6UoYMN
UuM3eu6Z2X5t3RQiQprYlF4kcYuNYJqouOJXGnawdOutC5uKAILnpXeJr4IDZAvYbXTx7KiwQTOk
JLM+tI2/DA+KHiH53upSxYI/7HxK/kj1jOs6n4Yr1fMa48HIXqmRUTdujSTvOlhrg6667kkm29Mk
Npju5tu8LZaeO1xsJO9r4FIlBJMCb8O+cN2ep3oa6frrsLEiuRrMbRq0CywrIQFjJiEAzB3D1J8c
Il7pQeouYDJVl7oNx2PcUHe+ymjAOSicWheUb0LjmmWAf98SEZhWScE4F/PqrFJOWztLixQR1kz9
W9Rk+YSxARLzSPXYpQxF9zJaDicO0XHNXPnw985uE6nxqANLKro78Q5tTawU0xfH5E26l0GrN9Kt
6g8odjgFYWB7XnMR8NnHRCXo/xDPRpyM4zHJfFessngIWupWHJx8thdF4TfzQbZxJzvlraiRJ7Ty
g/KUGnz5tSmG6TEJkBzRrctnYY1OeUrqtN2nZr5I4WTpKaVSLNMk+eFVb31XFc9gBvRehRT4rFns
n1Qb6gth9/LKgLH2WHQuJpmY0glauorR/PD9zN9LqPGXnVXn9A4a0W7os8hb4fCxr+mXmL5WMhKv
RTcWa7/rXVi/wcAK24CPBTLzoFOLgw7kd3ca14XT1h/x0Ne3s+NFn5mBrz6n/Omj0yOlepbJFxZR
iiuiIFsz7vE8uPIhZboUrLFtB/G6xx063k2y9YetL1GOd7AUZwf3MdPgxSyvtymGGO8QWSNj+FLp
EuG/9BvrWCpblVvXSjUG2TyeH2BOWyi9idMvpQ6LAszkBTXYIkQ+ECwP88vRrQ22lxi6HcpmxZyP
XJ7VRPV+og9pbYY1b2URXxdM8y+6oIvXhsPZaWU4tKdhruJ51bI5KS+bJaZLlOxpHMvLOO/0owul
juLNRfKeuXp8Ud+E8C7nkVhJDQxj46vWPse4f2esBYt6Xn5T0vNvqjoRr+ndhDYy0b41hV+T1sAu
2mSpBt/p45fDiGBW4Z4GL9viaDdhw0GodhBMkrq4YyIt4SwWyMTnyLMX6oNSMcWOLPDptV+b3VmT
VKmP2Uzxs24sR1/iXdaUUXg8BdIoz/VUoE5FhPBoIaNrMSMOhFiY9Hf+qIiBFJ351vbzncOEyMbn
H6l7c8ypPIoNSRl6D8hmWDOOQNm3aBZ468DNFpscHvhzp1wVrjG/ZPEBBvSQbFXrYcYgysZ8yOQe
tQbvDbxEhOajK3p931N4lm/qYervgXiG55ZneDUalnMnZOs8c1EoYcxWzkkuDgA3g/Ki9XQ5hwV+
QeVRRhC4OWXV88nqeWC/+VI+ygIOLBsOFiZ+RAzGdEmVktoy3kraInBkTTvZMUzbO4Vj/8rBaVI7
vLTldGvHZvLoJvawfHUzOOei9OJ9yrTiMRsX165vej114PgAui0z4v7aANkWMXqywuemCMuDoA0Z
9JNjtkB0DAGXKIK8NG68hPMalwRa8ACUS95o0sxZeS1JokBJHGRBUSVadpcZ/cR8RNGs2GGO4gwR
chWl754KgBL5TFmzAZYimm2apF15L2fHeAtQJaw15jrqDQAIsdCYiFx4QC2wNVbhcPEuu/YUJVi+
Dl5jgnjKEyU/Jagm6O4A6oIV/jKH+97Uc+ftFEL/OmC2QAmfmbBge7MA7Z31pb70R7OZ1/h5iDfE
rmg+RGC5+Zr4W32SSYvzz9HtO307xaFBiHtXDrdHXOYRrOneMlywEG45b5u6Jc+SZWb8yhy5u3DR
0OmVKGh2MyemjoOoHwPdkpUq6MMWW8wY7rnsJGiVcsjUJgEnaDrWoo5E3cuM+wxgS857PihPXY15
E6bcfCFP0WiH94DIDI1zHp3Cu4q+FAii88wjH/XwnAqb1BBQlla9pirHJB4jhIpdDHziZUpKii9y
aO8xIBDKVqkUiB8VtL1PGPs2uPFBF/W2VvUs1tAY+eiNcdliFO9wecaWkhaaBO1VvrAZPEYWxuUB
MtDTQAndCq5Lt+8gGeJWLZq1UU7zdp6SPQfSQ27mTJy6jEJhVEkyfCZ5slU+9jXOGo0dt6ycrSl9
lsC0zOWzTkOcYnE/rtn3WU9yPpWnOLCjQx8XDcTTWD9Q7qCxPUXwBoUzvoatV2Ch6sz2a9yVQbqG
A2y/j+Xiqxu2OPbm1yTyPocUthcYwvggI2sQq2CCertypsD91pFN9W8EQ4TWvGTeT1NigUzBw/Mi
HHaj56StcUrNo+3e2IMXHOdU0uhpdwXlh3HfkO/UoaL3Bkkn/9rE7kjDFgsE8lENX5SEkEFndh02
BxJh9rpnDziOROHv6jDVTxHCGBOOwkKzwC+sMPidkagTA6gL9MSDIctgxIpX4Q+srFA/UPdLUa/b
evXe9nOgvoJDgpXmjrsBRGp8doQrOXVaHl97DLpbViDYM8q0G2xWKBE3ZqNDzOoiNjaL5nmTZ1V3
bxI6wr3uYY5baZwdX7zUJ5CxXJ7FhgPa9BrQn/muYp+nw+9hrZx58DgYphiH3kJPyQeXafaFcmzr
pqQn6pGwMEED6pBqNrvYm9hnaeReD6kR7qk6GQ98enSyKxNTfTg9CsahntPwjADKwNOsCTjAiNcB
1PbJpvo7g7xHG46VHArSmLDlpR+/MPPy1hMfFdBKquAN7Gu7x5hZGeItDKQ6CXjyl9oqayA1wXIE
G/qY80A5W0QgTVwrK86EMCDCSV7Q10hQqGVUbiC4R2a4Tyqn/GSRyN6I7fmXRWBmNqUobbXlNaOM
mnznCPkVKWMzplUUbQS4UYnD68zDSsNKqg3cGLY4CRvMUkAJJgQjhauD4MYm8fHWb1I/xFUukHmS
NQzj+BGYXvgRhw2Pdpd4+deRrPpF10DwWPlpMJaYujrx1VYUlI8mPUupgaGpmbg3age8RW2N544A
Ck3JebYNgS5d2xlQ8tr3iDEORuytQ1mwsDR1dtTMYNfE+tq3sDB9MK3K/YJjY/46Fm1ZMKGf4ssp
rLKvjVVjLh+L+F7R2/5iRaV5n+qY+5/PHnI1NE2k95aoJBWsvtXnax4s09r1Jn0kfdp1Z4vHYjuW
0L3I9B10wKGgqu6BUBfkj/m9b0NfBNDPGxvEHsI0CKeqoOJgJNkqEzs5jCRTkk0H0jnBsCCTD89G
JQzqiFyk69MC09lzDGmxIpNIZ+6NJ/AkF7wBD7TFo+RFJXUTNr8GJyNktCHHXt9rNlxQP8ODpY2T
xxsacf169TNW23EBCbb1/Pid/PG/KOw/6OvoGGBQQH8AuYTg4H1DfX83kKMGssV328/7vBPZbaPn
/spJPLGZK+Gf0rmAWVKBcPz5N/3rANo3GWL6OAh59cWPZWlWKmo6m3JCVUlcXHDK6G/iCA6WbWbJ
A2YhteNK5h2l1u3nz7/zMlr7bezwraaNX5fjBEd908Y5tUxT/yygNK7LFLGU874NGpujjo9DY6w9
49xNNlYKQM7Vx7fv+G8p7p9IcQhhJszWn6pxm7eP7u1vb9XH367e4rfub4e34bNIvxf0/vFVfhPo
fBtEEMWCgjQ4Sl34D66QD8NVOA6jSZ9kSGAFaGd/CHTmL4v0xkjXZursWd9Nq8AUMUtH8TOZWZCj
FP+KPvfjh4tOQ8/nSYKFIvhBfkSXZFlvjTZ9wVvdcOHOxj1XqR2UeNKlzv7nn2Pxl+fWdD0OTDw/
HHJwv//wQY5LA4835UNbLta7wR/uJtImMvd3Ve3u5rB9hQq57vVzaINnna/jcmYca78U8KCtdDyP
RUNE1fpnk21eyT8/XstPhamEszF/4/0IvomalGtc2UbbJpm2PZ1ihYeRVlv+TsTddubE5Rvl2uu8
XUCjc0gF/BTRcxORqnN7nHHN7c9fJmbqf/2JAstmkAmeCvSSuSxF361vKGK4RMkGb/EtJnsr44Zc
uc4dem10PSaJuWpcA2NvMShAEt58SuuleX126aHJB+c4J9UXo6vc26gXxdlWQXR2nPRI0nDXjKrb
EP3/4o/vBemboac8o64uPYiLuaZZdkCpcVcW7trQM7a2JFAGRIBauDXL+KZNwMhZ7iXcwE3YwLsn
FwalAWyt2mGAOXnGnbbqu5lzJTmDjUOXtRtwCjTVRuOXqkwOol60V219IQHApiUn3+5lKo2jkXDc
G74a1dnjJrVytH1qmLNZziEPnwY1PA+KkX2Hw2LdjP7R6Z8irY7BROJy4AjX9ZtSFqR+YsSJU+pn
V0XgrpEn14E7YdSMTm7Sb3K8f2FE2tfV9+VQnVjtd6O0F5mMXbLsd20WENjVBDctf2PRdWNwtVRO
dzkk3k7av46+3gQO3xNTaVMPO7vFkO0+4/A/ZSXeAgymokAxpaFHpAwLAaFkGL86Ct7jQvLy8G1C
hySKvqs795b3k04a+6B6j5MxEErfHVcWaSXRfk38a6tqLyqSKWAx19qgTswMT43DkzkEW5Prg5He
57o+GN0VOcKdFyZvQxZtHedrO9ZfpHyHtLuKwY7kcXgtCfiGS9aY1gW4gWXg71Ki/TF69ZUZus09
xWBfsDwal1PLO+er/Nqgf+HOmse6X8d8tKweXGdUOvX7MgFaYqe8aKBgs4U9UXxK1OZba445xpJC
hQhPLgLogLdKlzMErsJ7XyjrEXfzwB4Zq1dM3jW38zDecypkOEi4L34qm7yiFBonFDaSmRLMXCAX
Q3ss77mxUfmCf3fTdzOO10ovunDTeOMbpr/iULklU8CxHeLLZGjSC1vZ1y4mrdtuHvy73irb3b83
yf8X1h6fe/OnO+SNqrK3r9/viL//kd+3Q+8XTm+olsumKDxGQn+4N9goA/a7kA6733ZKDD2/b4c2
8yohcIX6iwnrT9th+IvrcDhaNkrOgp75L1H2GIv9sPgSHvZcy4Y75cBBY1v+8+IbxzHdgZVFnkcN
8gCNVr2RbCZkyA36xi4MedatOW0KuqfP1RBAUS6r+NiNQXYOzYoODVTYp6Ca3I+wM4k44FHe4ahy
mChk49nIK8jCjuGtUGujk1MyOIrH+Y3E3Q35wI0NqxJYRHk2gF1uNC6Xlc8wmoECDbsTFw00lCer
dj4o0l7bAE5OBLTavUXDHJqlmY+7lvwb9bVBipbqi8fCTaHjtUDIT0it1SWtDPM15+Tyne4Jkxi+
532dUi6EfD993UBF3lkLanDVeE78ZJHAWXfGgJYzqXTThVH+heesAPrBd41Km+l7zi38YzAx5SEQ
x89OKfXRqBZasgflpK1K6Bt5/UYCrD9lAka07oLxWhlBsK9B0TJklkvVMVgpdZPQsH4w8qVHIsbK
QaYCAjp7Po1PfWY9ToikcTeO92lmU+SQOAznItZ/o/RvEPiHx55t87Mt0u4l9bRzSxssHnNzaUIN
aPIdu7rZkvhI7ymatI6hNUFMH9obUgzi3s5b90jLpjr3ZZReDElQPWkGj0jyJq4QSQ0fH41117bZ
m6ZPgSqXgN2hTYUIgaL5w70TZiVIgeQzcqCAzGmu1lJ57YuXThHS8tS8e3P065RNwbzxw/E5sZpD
nrgnhd2D/ichbqkvNLcpTUU3ma/DF8cbmwts287ZLgnGKIUZmgkDGQrqSEhDgFu8wstObmxuuJYz
0HXfG1e1+yaIy6McuZ3lSadPpelEV7ogmwlpg5OCCMQRaAQdn5P/GXVnYb3AxDPJMoXhPeJwfSpc
KTcz7FXOAlAAtwQhY2w5RlPRqCnK8ib2apqOk1nuQ2OeIN8U4hqQX7eOie2RlJynq2KiYSY2h8U3
3A6bGOlxbfvwGpXgDeK2boULW7yDVwQzlixJZG9UNfRkQbxflXaCqx74McCeNtx5PeOphGv5seds
d8WN6TF20hZGF9b4NPXhhEyd/xCidTFmLos3LzFovpEp5mbXw7IREc/eZh1CWguVdjdXBAfGSdVr
Y8LM4qna3DozmII4nehZ8uoJ19bShZiBPypnGMUj+G0b9pUfzM1lFET0XmXB2u0JWk9js58pXWwo
LeiyaD2h13J+rL+6CeRhp0jPqFlgMZSZ36KPw3wwJKkOBEG8KM7OE8vYIkoripjM4DVP4T6iPFYD
3hAOCjDXXh2v/FrR1ufO8oL+5ncqLj0ahPPg0Bids2PwFrH4LF+x7AI6FQWRjWa+09K5g0uJjlxw
QGrbaLqPw7Rf2ZqDLCOIlsaC8sN266suBXmM/FitheIQV4P3fU5qzVxU5POegj2TqQK6PZQacWYs
259IXDlb6pD8T1jj0c6rPfsSuZiHyfQZ2KPI3Nu+xas6OrSdTSHEgWEgKeLW847PcQXYYkKcZEAx
PsclJHQ4yUTccil3NJbDSPGNdO3ng9wPNVbhvHbxygspuWGT2NtHKppvKKx1d2hpchXZsU+lzYSf
rOPdnnKXVPVcAeozkn6fh8TYjQibczMpZ28pl2CM49lfm0ww2JzyerpAqBTr0uzHk0lS7xnxa14P
dd5c9LB2TmY7Vqeq0AEkJ5prtVv1Z02ojrBvbt7xkNMrjQGBQk7dgt4aLW0/emnt064zFc02r0by
zpGTBFcyZuHbJpDOd9mA8E3ZYvwxhuWjDRVt20zp3igEJ99cHpjY+Bs2DPdlqIxbJfXVlPKbRxke
1ZQk3DBByZoDL3vpuCoxDgoyDHJ9v6vrLNhEXRFOQBxcF5E1kTCAFM9/j3goU1BQfeWS2/SLbW5y
3k5AkxtVNKyy0L9QGX1asPNjaJnOOZtr2tvD4L6ah/Hs1uzd8Nyc/h7jcbrM6D5yNLmDhga2iaLh
MqnSW6p9HCL3BpCZYOjWqaRivKeNd2+rqNnbLiu4i9mR0g273apyHj4ZAN0mg/+YeQ3Yp4EvQJCp
mV6ajGVjBeMicw8D6Ig1c45obfbmRhZRt+8p88KBEE1f0iJ070yvGM58dRCcpOWHGL8Wq36RPnDS
v7JKEM4GR3GK0CGF94a5covIgJUhk4vOMAEHUW58pC4W0iG/+bNLg9KrtDO9SdsgXyiAB5JZzX1c
GN1+ovAUWPswaJwfQPFextmPzy1RiWu/nCh6NAC3M8WHOeiOyzYIqaXIy4o2L+R/bMnhnfRILpSj
2nr4rZQ1XEXUSSqdzVeijC/rLrHYZotqHTFjAULXprW5iTIW1VGYJwPjykrb8gJ7xBq+NmRy4kQr
+AXQb7N9J4iu9DS4N8TMy3wj5v7YldzwxqC54C5M50ORfQoJFZE7NYMopitWd2/Hur1ogk9/tPWv
qT9FV+0IXlhTZ3R2QTrQeq3Tng6GWvdvM9vQZzabwaYBxXAj8qTh+kjpFdtbNswPZRX0Dzl6CJfF
KS8t0A9pezsNJsSMBs8Oza70rPRl565SazKfWHqyTUtCdC/bimCqNem9aaGczwFVCkp3VPUCOL03
8mQ8lsE0l3svniJ6vBL50KD1j7INrgPDVc2qDIwn4KHzugFCz2rafBbNOD40pV+sEb29nXIKdm/b
LsNb3ElPoz9QnzaQRauSK8TWnafoN8FY+CL6DpJMCVmxyu1bLJ/1Anfkmgj/4bKKSvrcmHz6L5kr
C/Js1pEajvcscaD2xrAl03MPlIe4NFdgtOV4MzsEE3my6hJgJQsGg6yaS+JOmICsiIVPhnmXm8k7
G9oTzpEP6Tr7dtTuVRPHLf5TJ1x7GeQUF8Mk+y6nsChBUPH8TebN02UDuIDq29LZ2JPTXkVusiuY
qyUbPRI6CRNHXcWmQwCLSyiheKYlmwwH/QPLb3AxzRJAXz8YDqJ3WB2htV/ZTnIFjiM9G6M0Numg
7UM7S/OWU9x0X2fFvHMG7d4IwvVumX3Q1M5+MzrqrHij122hLr2MsmUjqQ3uyi7ISGnJjdnY4Smy
0p6KDDEebIMGmboz3jImXAeoI8UF8jZbNN2LW/wTxG0llLN6TtwLCT3rhuN3e8KOYR2aWsenNsrO
pTG2r7BF/achYv2z6JajhGYyaL3DEXbXoZ5ehxHlalCx3oKi4ucNO/rW2H0gc3pHfCx0ULT9S4u/
qh1q7KtW76zQqPYevs9TZArj2U3L4KUqF35AmxiPldNtSm9xpIGqJd3DS/c50uZDmFLgYMajA/63
MpmPMbE8eW1eHPoWTwv5iINNmowXtYwvIlA4N36wsFbqYmMTlX+mOaC9AEDYvdZpjd3GxYQNdqY1
WHgYcuBOAt4RtR2fnTRaw1WN1hp62g7zR7gGRebum0FFj9WUtLdmjAUWOF50Z3eNfeWlcXPkDIYG
YRUVHUyd/MYAosLbne4sA8bKQHbjoy4FgOHUq34NmUzsRzLnpG45QRMIdC4oqyIgTPlR+ZZaaXLh
DnPmrgSGGjy1U3ofQ/miqc5r0ydpUuBBbxreNoLwV6IwzT2BPPNK+PTMKSCRFGVLeYzoxDjgDIZc
4sxiFTGX2mjUmA+nVeGVETTu0ySEscKhhIfZVvI1lG18lzM/vqdTxjqRmgbYkyG98NIz02KWSlO1
cODDymVzRaGQmbODtQRQJZbySSWRw2xw1NDrGNF7uq2uHNnLM0Kkv52j6BOreCewj6H/VMXE0Q2x
dJfPXvAqxg5/R1Xad3r25HbsRXuOZeZx/vSIGPeu+4Ura7udqf34bPrI2oRcAI8JoexralLSq0Ek
6cF1qP/unao91eCq2TUcoJRVyyDKSm9yugaY43MyJ30m8A4JJkFWmF1Zc3ddmomFh9slP+b35SmY
8x5RxgqPPeLrhau7/Fd+0XYbhY1/zv3E6QAn1hGUnelX6EzvPWwZ6Ki4XhpN46zoRrHiuxCBHWLW
z6KKzlESXwGi4+QowkurAQMMIR9cRe6mz6kBIlfPxWsdDPM6jTP/slE4ZtwZohaGlXVN4um8yOFk
l6vPVqOWBmVIPyBNGlH3P9ydSXOc2pq1/8s35wRs2BsYfJNMslWql9VNCFm26fueX18Ptm9dScfX
rhtRURFVE59GTgEJ7OZ913pWiAseQO99GApqOfaI8THknSPenN62qkLCdLsaGhhLsHUFaehTwAKe
RBC9vw+o5xKKrd/GU+BvLX/rDD6Q+io5+ll/HQ/Ks4OBwWViSa7rW3Ti08WSdrgljgzf7jRexlbz
eYHQLXil+KIrIJqBN2y8qq1s9tzK2tWzASs70fNyLTE9GKmPyryO1WWXhoRl6BcB4+cmxVWyrA2i
LcJWbdOXmtiwz/P3TpyhhbGi+rpfmIJoPKt9D4Rxo2F33jNTxEejpzVb9ZlzCYbI2jVI3UjoIKcc
W8sSlKJDCR07Y6AGytBOIo0QnlH4DbgCVzwIweJp0VVVabzq0yIFwFBC3mDhuw+LU+I41C2RrZ8y
hkI6fNrY3zYyzp8yHO4U50LDf62psGkrP7Qxe+hhhS9L7+PrrDa0m9GCnJodaouMSqcN4R7M3PiL
Ikvyi7iNjWdmwPqi1FK2uWHNicdJ5ZDpbeDdMDT3sTNn/14YUISqnn3LCgct+1PwEXj+aqJc8au1
O7sMFMLTEfhhqzoAk4W8MUfL2nW9qF+hnNL8V2EXPRXIbBAjwBNtSoA6M0lCe74a98yvjOLQcpKk
fw8IPhTeiahoWo9fYBHWqw+UjqPstq0G6yKxRbEDI1nMK6XXlyb39FpkgpPBWnwfiOFrmcZiw05o
CYTtjcvJ4N+6cYmYM82euoFctF00xS+ZbY0N8AJwMX6YrQgUPWmxDngxtYKtzcJi5RqVtqhc3ZjO
haTGM8e8tnrp2rd2OmpInQXUgLzIgNnoG0SRKIUDyYjVEyCiJpzjkJ7rNTkzd6NKXupyOJ+nSIMx
FX1JEis+2FV9nvU1Ch866eXKHB8aNj8O77BtGtN5507PRZVrR2Aw4Y/+xH93c/B/kTGNicT6bUXz
5iV+adrwJX9X1PzxqZ9FTecvYSvCBngWkPPbNJmGr037//+fcv+is4SCQurEEfwIcPxHTVP/C/8a
LT4Xde93FPt/avCF+ReCftp/0iRvxNCl/Hd6fDiVPxQ1DUF6nY5LFPebif/tQ+et0MtRQ4ELkChT
WbrT/LHxz0UqWe3BNVWH3KGgs0KEhqnZjRe+YaXEnHsZmwcCU128TZkIHMBVCaZlczRPitRdGNMk
1CEdHQBZrWd2xUAgukx0Jzcbt50dm/0qqeyh3U21SSWuB6qxQa2mwRGNLADu9VATbJzl6kD6cVlv
ui7Lyp2a4uRpjsaRaA9zAVE5rNgIFSyyvlnruR+c6FOpzyY6rU0ARwDNu+tczRhgzyvN0TYZ/IW1
S3lzUwLBvOlFWb32QMtepnxMs0966qvPGRgMzKgBuX+T6BYZuvRD+BpWE1DLtMl+crK2WoE+AZNS
wnyCy99n422DvXcXTbIWJx159BOJvcQoz9P4ZDrWOKyGXC8vIgq1updBxCOSOm9nG/K1CEnfazVz
xowUMJCQeIH4vq8NyDZBbpaXDLwVA4rRuZCwDDN40XMHqVpUEFe8GRKAgcCJ6/pCWYZ8clojzpFe
hCTPWi7vedOYsGL6rO9mT7PdnvDqfmoICUMPB5zNyGvS5llXdl1L0UG0bcMFMF6R8TzWGY0v9Clm
2yGijK3yivqc9SU0jPGT20kdPRXzJ9ERaHaOZTLHxcosh3Hjp0N5nzU5aJEZSTVyvo6Mr3yq0Anp
cyfvQwh+91VVJgE4LjdCnzpbuPIUrKoNZzDe90ObXuXAB68TAzXY1p9AjodR2+xMfQweY6KhEFcL
SYHPi/JuJDkLwfEDZae+PipjMLQ1miDN2CL4msRes/r4ReKay3CC4DM7M9A/ofKiDs89M3qY3ziG
75qqR3nmO2oCzUOiX88msQH3RBgcBUySCFgYKpS34EGH8SlWrXMiZ9yFEO0Cq9r0yGBKHtgJzSEM
joEiUx3l5m7ICjxW/sCee9NWWZB4eqGBlIzd7sR+TCwVHOdTEjfsBhIWO4z/TZatXeiZV36MAP5m
DOgndi4dyahS5pURzu3Z2OthvUsb2luQgZ38KRddcmbbGrB4o6jVa9nqtkdgKvxt6m9gWfwJPpg+
mrBdZT5s3LxQT24QE3BG3BeBC0VHeJ/H9sAd4MeJdKsqUR9AzJLASdEBr1ihdzTAabKxisMpeIOD
H/R7Fcbuoz5E1QNsQ+ez6h3rzB56cDK6xi+PB2zhVuE8dH20JCqboFgwplkvtowoH8IZLhQ1KtyV
K3dMu8sqn8GjJl1nHeseF9pqTtm3gTcou0dZhM3nMA7YU6bsEdJdzTgQb0Uyd+Ye5vokwaDrHNlH
tN/BhWZ9e1aVwQBDObKx7ISmS5dzVG4ZrkfZBVTVEyyqVOuZSacZsIcnSlG3a9ehPYndz+E1Z50z
kT2guwl9RR7Yl8LSopcEZBMUdzdMv1DzgfHpBuYp5w1nD6034WutVHFh26XcjTpGv9Dt4JAK37Re
6y6LL53JVtbZOKuovghYaj5rc26CfSRzwtDJbSFpNPjEEwWhPXN5KvN6LrZMJtNT0k3pBdQyHc+e
ThuJJk4gduilc3cx4bzGNSJ7giArKGsYXPNwRHHVxUbH9qU1enUKUjXfMthI0rdxL744seZckKSA
+EKxfjg2QZk8ktVJe8lpSXtc4f7UHip97C6A/OvU4Knvr5y4hLLF0hhKIe/3Sccs+QXcj8vmuooE
ACKD0fHeGrV4yU/MAM/ROAPfZuU1r9lAYA443hwd+3ltT+3e9gt55/hGanjG0FErYIPjWU3T5psm
LkhNlNFz0BoZIOOIDY4ouxcQieVtN/RLACjyRDlK7dZiOMtQ61XI0GFh4HkI3FRsumnuX5BKm2of
jWZ+RUcAn1CPPI2ORysPNkyAxxbk8JLpOjgbozSLHNB+a0W3upXBdoXDGd1TbZgX1KiTwlJzzUMy
ChJyE2tm/SkG3fhCHdO+RDJvPmtan10JkO+oAcbuPg3gQV9lIU0kTp41HZ3wIX+O02zcY20YTdAd
ZfRFoVpfh1FdOBttxvGyJgFwsO8CwC2oDCKBFyjLqmdZWzZAw6apwwWkRZQ73ZkW5Lgv6RHAjtuk
PYJhwo7xedMe8K+6uifNFJIeOhWnJaV1ZWkGbjOlLCbuxN/rM5sikblAnVx/uE1cezwDBS/2QdeH
MAtANJeG08POdSSwzrZ7Aoe1pMtmhQb5zYIGTzQzPi5MJnbOvr82L9tK3UCxHD0IzQ8FnEvUMZR7
whilYhFJ/ywygbBTn7O+jGEMHi50nbWQCKPbvoT0OEXgS9m++pX9VY7R5zawyIGM4HC3fgA1paNk
HZP/MloPbcKGa1OUjMTIQBsX+0GBWuRgobw115S84vIwWD61PawCgE5MTUmaT2gKUGGjnp+3I1aP
cTWGzpeiqIpwJYzWuMetDci/1NtI7ockdcYLlMr5Fx+fHSLofoklDlMinNnKFSerjWkhuXq8T4JY
2wjSmXlWKD2jtHQ8mxeiAbuDmbggIHgTxrF9k0gj3Uqojp7fu5A2nUh8cxbsWOqYjTfOU/NZq0ww
orOySLzVsWOsLOmrCyA3+HXcITfoIkCpWOl1nqjTFBea9gmWUVqt4OVFxdpBzZ57osKjfVEt/rlN
xgMTeBkKjWmBA5vGpq+D8VBGGnkGxiLGT8GFoFk3OhMRMHvMgzubzVen8mkkqXTg2QFid8iyxjXX
jAi9vYVn5lzOc2pOqxlU7Pkwl/BGWoEUtTW68HNWNuZR1jUcdR9Hw+dStIqFiltMz7ogzN6bMOy4
RMuQOc8O1Z/tHZupjKKj3rEODZCm7rJJ4pRI+JbPjRqhFBEV8BxgQqtjAnJpjY6W7W2hRHPPIgqX
YULk2GtTTfVjV7ThMc2kE3q5cESECjsZL4LapV2a0o+HPAlR1Fg1uL4vO9uATABlooWyoIWzZyRt
rU5swbKDrA0H8wiD3XYY6mX2Y4MOAWqE+LPCojqfy5TXdA1wgRhNmVLsI3ju3kR4baN5ioqDo9kU
hYeqA0pDl+l6gd8WnoNtcUH68itP9Iem6LI2/OB8jJuafj6UtRfaA9W1KDNF5EVt43cVqqUD0s+U
8rNO8Jz0EuVxApFa3/ZN7NXUPxByhbjsNBam1zKQwxmgNNGs/dCYoYaHs7zH1T4zRhbhVNLRzpNq
44SWkz1AYCy+ijoT0U2Cfpy/Miyrozgs55IuW5u+sFDwb6Yes/vJKUsSE6D2TnDeDJc2SpJFdo5Z
Kaa0wgA9tXQowvY+8S2Dhhdz9GVXTP4ZuN9+wytQf806adwMSU8UiFG66XU4j9onUREVJPpR7kTv
ul87s9c/TZoznDlSak+T7mu0ZKp4vh6KGOWQbrBcsKpWWAiZGgCmZKoTmZLpzkHPg+mhiCaMRh1z
zAPyk7KFhGulUL5TPU52BfV40J6uSVp5QKppykpZp++j03cDdY8CvSauAauesntMqmTrmIeoESrd
VjqFL0oSzG5wY8Nq2vk0yaLjTJzxmeysibQ0ywDmFcUpAjli3N1vPT2F16amMLlOhy4Xm4a91D0B
hmG4xrc01sZOx/inrXl6Q5Rr2CBJHNFixHVyHgZ4FFQsXO2lgGS3n2KROoVH4jJm3DCPZzwec892
x0NkUziPtAkM50YWrEt2Lk9aaWETMaQN76Z7kTl4wSlQ8XZo4dq2I8nkgbAKjbRrSx1M3icezBn/
0ynE3ITzybR68wLnLAtWogjQnDvyTme+mY+JP/nXicua4IooqDmHbjq7gTilFr32XUhXP91kTtBt
UK/qcEnMrAdBuEpxatMGywkIqs7DuWB5VBZRhzTGgAV50cZmjlDPaPrw0iF4BFds5PvDPm5oE4y9
zK8xtVYa9mnWJHcT1bd551aTNLfNSPLxgZZiFD9S3a6zPU5a2vxl4kzNczZP+gtsB8KGyokAi+dE
BblP0TEwbBZJRDYF3PcBPyy2gIZlZj1W0doQYCFDL5iE/myqHlF+3dZDt658QhH9SE7uiem7GvaJ
Y3RHa8qMeiNkY+wLXSS7Fv8N2glfjbdh3mbZYYpUrG9DCvDkU1hdEJ8Xlj3Ya2reQOnaRDTbSgt7
zWuDQe0mDIP+0azRxBB05zB3EcKDijEHz1aBuWsF7CRmhizZaJpKm6dxIR+W1Thl56mJehFvN/Zs
fDOYBcoj8MTJ3fuOu+j1IdOE90xSqjlYY5uzzNGH4URfB4IAWsOmzz7B2bPiz2BB++I66NrJy1WJ
o5wWAr48vVH9VVy5IC1Z3FmIMlEBeA2XY3kFyKR5bwR0Zs5CjQ4BqBlpW/QJ7HZri7qCpOnU2hlG
pScXlAYrclICrkLigl4zyy+fIWlSMMZxehU3wU3cV0hH64gEUoZv7D2r2ezjXTKqErOTD69G4ERL
eKI0/xuCG00cyAtgZ0SJAft+m4bT6xTUponk0KDNgHamOVZV3912GHrXnQLLzfYSTVJvVpq1Gqz0
BjIHY1PuNslZMPLGsmrxUZr4zkR9LtCC/nNjOx25PDocIGahmqwuIsoH4t6aGmNIQ0TEfROYAffD
WXoiKa61y4nEAHGOQAyIM58mxQG5kk78QFy4OW3DcDTWFH0X12xuf6kY+smLqkTzqUFAwusVl/VL
pqn8oDXQ3lJl+ye7TJtuTZb2gikJZJ16cybRPKaBeUOv2NpFJRShmM7q/Nk0+DrUoJbwr7G945t3
95Yb6Hy+IN15M8zNodTz8SVoUGGSKtI+oANt450BtvTYm4Z9IKFrQt3m4O0Ikp5YigSnGHGMBdmS
oAplqZM0Emvphdt1iHVmk2r/VuPC7qsgcc8cmpPZakzoHK9ywA0V9f/W9ZraV5XXygjj3RzFeo9Q
GDoR0mFXbf5n9ZpLgfT1H6wugFA/C6YLwurdf2y+iyivYX9PN1/hGv3gev2EXf1Xf/gzvPju9+gQ
UFWLXP1fo0NOLwnokC/D16/l29Llz8/9LF1afy0ULTRTyoTT8T3c+EftEnuCjiNioVnJf5BFftYu
DeMvW6c+SamT/FFaIpzGT34IlVC11DVNUvYokdLh+Xdql7gZ3srzF6MPriXb1g2lBB4Kl0LtWzG8
BPEAFTq3PDWQjpIxsw1Oegqy+hku4rCybB0W0aIkghDuM+espa3f41bUT0XTP5pD/NSVVM2INN+N
Yd/Rf22vQJvaa64i8iiGRGgOyFGpZfrYOvTw2f8/DsBY3X46QpYTMM3xAAwlpNkhvnxzN37hZHrv
vvh+cSAxDBrs1IgNIqffXxyFlLCdJyK0aER5huy2if8tr8srPBvrf+9IFndSord1kSN+t5y8P1Kg
1QYFTGQBhHjACs9JOdCIvSJgpQz+4JRaiG7vHRWWsq2l2q1MyT8W78rbWzapaMggUREmp/pXm00d
vOT8gfQXSPaERKHYJJRd9RTIKlV6dt9R1lWYmuygCgHLDu1+7sqdFdlP/K27PM/ONSno0cn6MdCG
s0LZLyL0LFkqT6ricz3SbizNkCA2FPOTFUCGkNEAvVk/4qBuDiYjOjvNZNwAwB680J9eVD8/VVX0
bOLNR5eD7+T3X7ex3Ll3pi2YjFg3pFAKPTH19/ffAbNe2E8msO8CnWtIsdbIcLTS1gf37O/c4pEV
/osGxFaEiMAiBPUAQL6kWvj19yfy/UDvTwTvqilMrD2WcBzjw4kQnYEPOZBo69olfLGqJgyM9qMT
NDVCovQ1pZzIenQVpelZ3c13hZyuKcTZO5P+HlAbcW129W08Rt4oq50V2C9zHDxnk7FlGXrzh5P9
KL5GwA3537GwN2HjZgh5/63BnHO0pB3DDaW0GHVlcbT14Q5+zW2lKbhY0R3JJ4fYVfuZCM2o0u+1
EKoeftlViOOvnmNY1xTmWsNczySrhErdDWVtrX5/nn+7u5ynK/FrKVh69Gjs5Q1449CRQWUrZKea
R47HbUnm6XbIUFdVw3g5yO4Mmi/Krhjip6WQkCT1/Myy+ZaAsk3HUub3J/PRVfXhXL4L2t+ci66w
W6Z26nt+jhUDZRDbYXg2YDEcsSO08g+H+z4mvX2gluPhPqM/xZ1CwvnhgbJNdKd4LF2EKiwwu4A8
A6etvS4beCqsW1DjYutA2vd6CkbrKrOjKxVOB0sPn+3JpPZJ9uomAO1BWSN/9DsJasjdZnFzR/5C
ciZC0jw63x23voyusV13wCaAVJjzyWkJ9ouJMViVBq2muherSRQGEp7ujMjxmIq6JFbIqk7svwK6
CSmFXLdp9qQXT5tCVjMSJXoqog7MTWvOV7+/Ee8Hc7yZyxcjdCwIBrnjQG/fPxSTqacNFR/fm4mO
nGkFx+UFiepekp3//kDfU9Lf3wKaeVQSdMfiQKb8MG3ImZJ9jrRrY8Y2KQfJ11xix6VY06yJPe88
twkf4nG4tSoSJ7rpxpzEk084Gvsb/7lGnJ7LBtT3jCNr4VeLu7YFoVWkfzD8WX9/NN+fJ36Ot6+J
7rs2u1BSeMhiOU3GsMXsB20vzh59Jmjq50SiIRoE0KChUE3H/Lwey2ntlNVjMEOrRDKq0fBqtM04
VubejKP+HLc1GYsIoPaSdeQuqJR1nFWd3CMZL5D8tBfkm/Yrq+zAdLewM7VlH5y7HFjpPYlP85RS
aLTEShvgWsO2WOCQbbfLreKBHsiLH5Ys+sthep5kdy8Q2GLaDvtvGWk2CNIC2lRdFZzlCiUztor7
39/bvz9ErHaktXBKDf6UHzq1Seuy3DBzFzCmf9GifpGkCkYmcOZSbH9/qO/M3g+P0bLmsIGCmHQN
jQ/zNPi/qmvMwvV6MZvYEOaHOSrNs7JmBxMOwHLSChF9Pp03wbfAJnShgCW+IpG6Xg1tUXuAzpGx
xbK+MtzpDye3HPvDudFJ563F683b9HHZl8a9QRkPChBSmuOErEJqZ3P16Q/fwMeVCi174kUYxPCi
2IZY2vZvH9BaJFS9VRpsEIKvnNEe95MkA8+X7W6OwsKbmu5mCMryJa3kJzpc15LQq1inrmxbBNpU
MxDSiu4fOKPxykFXdko1CFO1b1t/WFD86kwXnCx8WuAPGDHenym1EXB4koAch3bTGEfZFg/LShIb
j7qV7HIV2lsiE/AQtH8Y8BfD07s7geVKLD4gWzIry4+DTU8jfC5AXlJJtnFdUrJw4eO5ON9zcdNP
JInhe/jDffnVMbG8k9uLooIB7sN9ccGIWHYiXc+t/F0mYLOIqBxxP9qQ2SKW9ln3Gib9pyq0XuJI
vYhZ0CDRPgNfDNYhhf8LZ8y/xbZ5MAp7HcV3vz+/75b7d9+JAyoYEM4yCKOqMJbzfzPnjhrKI120
GtApUJsxacLS3/qQY7Bxhni7kjk9s3iIUCV+i2V47Gb13BAktm2V/1RXc7mKlXUjhv4b+pxtNhLS
1xcVUu3oalDJrgwHpqoiWkFBf1XMtxu7C7Z9oLmHgh/PpTUc48SsENo2oDS6apvI5uuU6XfdZD0Z
TeBhx9z2NWkAMAo2/RJv/PtvwH6/LWOyg33CtgUcguTdcT+ub/MIGbhjhBR+evtOZPIaCcAe9o+G
JROaWLqQkRoZnhNxQK2ErJ20kGAfp7TZtEFz09bDjQXTZq0TFbCOEgvPRM0EbwNJz/RHu1J0Ltxm
WBlmfQoabMouthqvGoJtPShUTllyIrALab5PY1NCpFCBc9ub7pMhonNqPYQNi0MdMxvE+JwHXVFf
gFVGokYJDLK6qLGz9Zwo1YvLNB1PYxyfkjSROEjlS9+2nmaaAX3aYde26rzQkh0IIpKi3cSmJEs0
kZVD5hoReBaabkDOor7ZZqMHlXXchnR3zVGRw6AbR/pcr0MdXBbpoz27m6j9+odb8fH9BAKg2KTb
bO100/o4MnSKeFy7MlmPiXU176W9X0h/FI6Ln0u/n4WMqx8P+AdS+Yf//K+Ay/8XKb8QV0kWLf+6
gHIbJUmUva2d/PzIj9qJ4/zlCmexiir9O4WfgepH7YSfLKUTlsdMLM4ysfysnAiHcgv/AwwEc64U
C23iZ+VE2H9xFzF5UVRZ9GCAIv4NDvkHZD8bFAvoqmSuYJvCSlF+WKjTnNAJY6eza/WhdpzrIVkH
BfGUviDPchxs6rkzyTx0NDdDGYyfoiEhRdnANVXpbegZCFFQffUOboYGb09b2jc5IUWHQivb88we
wz+MKe8H/b+f78dVrTapNnImY+9G6bAnuAUiHg0EViA+fgFkSKJy9XN2BP4f1qm8JO/eob8f+sNC
Fa9rVlKan/akqEVAqtr4ApSfs52x0m/iTis8WHMozw3grsTxXI49LWQkcJnn2m6wjrGz7KcZcgLM
aQjaboVttw4vMRl3B1Hy7SlzXHIiA4KLumlN9iBwuDrX980c3ZR9vKnTCGmQjsinrbSSbQsOpsck
0qbZmyqg3kWYoV5ts44xTg9AjdKPSdIx2qSlyI4EIhbnsnOj8xpVzVPYDfgqgG2cIgNNxJQhfq7L
lkDH16kn6DXNgx04To1VMammwWDon6wBQrzdM9ylZgoEbgyibWx3iEzchrG3EFDhI6kDc9Li7VwQ
xo6wJNrUoYRyLeJPUvmX3TRc036vKbZ7Q6o9Wk3unrVpnB2n2H1oZqHtpFue1ZOle1OoxCmeg/Ms
o/kL2BxpFzmtKxSJO3Mgz7l37Jc2Q5mNuSRnzRkfUejDruqnS4hNcttUSbvp2ObCaED1VPYjG8YO
lb2fRhcFWDz6/DqssOIORuDRnye8qHXp9eyPhYZaOq4QkPnoiIit38aJNXrwDJptNIt+h33O2ogB
1BeK5QQ+ul5suDAo9lHZ0hpW+vMQkLelgqHF/220E7bA6BrEhXnkrVkRrXrmT2617MDxo4bj3dhr
/TXxt/SxCGHDW90hNRxKTK/aHawiuJc1+MaalghmWFJt3I4dam+a6QnHzkYmMJAbR/lwcZW+I8zO
P1gWaHtHFOGmwq25ZhEk0TyWy6RmzndYYY7IhTYakYvrPswOs1mbXopcgPmHp3mUyHQoaSI3c8A3
mWiNzoYgJIEtaqOd3mefLTu/axOaXkvoZYW62w2dO12nYq9QIoqU71LS/lnB/d2TMTmsk8q017kN
YTcVzpLgVHoDSbVd78q95G6S0+rvlLzP8wYXtYnSKpSkA9DGjj3EbM7aT2OPAh5WH9uJdxX+FDKH
9DMtsHjVBsSgIx3UVVG2cK2KMrkFGqp5k23vRuASiz/USxyiJbMJQErSxReKQPvVFGIiaQFfr9tY
Z3bWxE4b6p0U6PUtFdx0AmcuRj8susmhypybyKFKVk3jXTtGQGKjdduGFz1dKsxZszdALh2b+zmt
Lu0KNKqtdzch2hE62Em0ZRuzyfXuJYmQBqqgPq8TAXY+v2s0eoOju63C7FUnj6qlV+WlNhI1Wjzh
GivthTupcGfMcFji6jrCv0DB9nK0g2Ps5wJHcqWJFS1Nexv4RDOvCrNoPlN1lHzvuX47NrAsRSpu
NPo3W/LxvsfUjMhegxHCcw1fBMyP+xKmINR0Luswzo3kVrnWBGW4g/BZlSgBJ5Ic05DuFtttZFFl
BPc6EazpKFt5dZaQVuALTGt9Mp8vu8d9CgX3aDIuotfQP0FPJtfQrYazSR+6u5owzu3c4oE0A00H
nGVgakU2Qa8+t/WTYY/6wa26+qbys+5q6MxyHxXCRtAS8xcRg0E7wOzUwiJFb+xfltN0rIU5baRK
7qY8bmlEt8wPiXWP7guUeGkTPjoFhO4KAknZ+NcXoiI6QHfo5BIDmlD6GcAcJTO5kU0THYLF/BBr
xOhpWHI2FCQgxBSNJOpSO9r+zHgHgi6bHUQcZMOD+lMkMw1UTjSj+GYH+R7FULuTirWXhlVm37jR
k4kne2NF/rUdmRiqQx8kPx4jUh7DfjNosXFAk5Nf4M65ebM0+bk8e5s8Yoq/T2OOMpj3KTjDSbU/
bEucIh/ivJlxUfVQc4EECwSyXQO7ObWxEtcULKPKSG7buSRRINfwBy5vV4i2B1e3X51BNatXhNLA
LIjr64QoeYId62WPaeT5hSTPcZ8YeuTFfRrskS/lezGOzYbmCgNDrh/rSnf2GDu+4Udk9ds2xTqr
s2vOQ4PLnr78/nqXXeA/d2HfZ+13l/thTxxbaQrYWBp7YKL+TVMjrptQ73poYec/bL/fl2V+Hspe
UPn8AWl/+fmbDZ8x0KtuEVPso87+RrYxrnFpPcPfzL1alo+/v66/9by4g0Cy/nm0pa725mhahJOJ
oGmxl1FPyKA0H8ws7A7xEHwxIvw2lUraKxRn4dFpxbxvNZTRIoHV7pBPdu7G3T7mTnroJnapqsZt
3HTtEb8yrNixy7wo4hYmctA9qBrSE1ORX0GxAz2c1HinR4Pfhq8QlZR2GpeJulqmbIu5+/fX+av7
R21BGnhSbBa9H2pdhmaFhpYskgm3uC6iTO2zGN1OFMo/HMh431f4cfveHunDUpiWQh6CUTf3fdDJ
veW7X4256dEZiGKNnO6zIjRlNUoSYN1lpVDagP1+f63vS6Hfz4AVP/xP8kYcbu3y6r65pUk2KF1j
HtmrSmKsV/CYMlMkLN2UdgViHrhsVxG28/uj/urC3x32w5patAWDW4FnV7PkgnCXX+zEYGaufeTs
6OGO+TRe+PAorgB/Fhu8GskfLvyXp8BNplNtwE6EFPD+ylPdGJsyi4y9GaU1innhRbI5p6cME7mV
2KRKdSkdnfWmqZ4Z9X9ymt6lbb0dFX/x6rpvj/9hlOgGF75MHlj7Nu2ezSYaL9rcN49ZpXiJteBH
uNe/PNqyU/gwJnGluuQeG4L+34erDQdw9G3h6HtpNvHJIKBmFTUEb//+vv7izXl3lA/X1Ji62RMp
ae2zFsvXwAXiTLM2LV7kP9y+Xx1puRRYg5Ld6t8GvtLt8nlWhD2SNkUusfGQKvfAe/uHK/rlY/L2
QB/GPPYfXeuntcXbCVQkGtrLWNjWzkUOQpRFZ94mQYuyPliWx9WyUBZlW/6hsfKLLTN9clvwiuoY
s9i7v39W/XAcKrTTINnsuCTfsu7vSmEZB8j75r40x09F6RKn2kMbiXrgc1UAtw5hKL2MTHvRgP3C
hdOYHVhdEIgXZA+qNkEjROI+rnFY/f4pMP/+sEEYRoBOdNVyxvLDYwABN/GzuebU6ICBnCLzN9Sj
XTGnkJ20+Xx01biBO7PvGmI4goEADjah2jYCi007PU83fcbUUff5gWWqv4mxmmcle5pGg0HCJuJb
WQ7BQa8ylnCwQJAQVKRT2mzPJge3oha1m3ImZLQt/Qof6ldqswaRSFVGQ7+3Tk3T/Fji/HeXoP7P
ZedR4lO8mv+6UHX3kkUpSNIv3bti1Y+P/SxWgRTFT0jllt41I/EbDqn6C4KaAH65VLdou3Oofwh9
zL8sVwe0q6N1Ye6STFz/KfShHSD4lGXRrMeerv6dctXyrP5z4FzItiaVNP4gNw/f9MeCcl2ZTqdG
VW8QcF4ZLIAAl1fPmWUG6xqtOG2Vo4XOk0eZNOw339Qv1s3onD4cHAq9TfQfNlDkB1zRh8EHC5ke
DwjqNgYBXHu/JfFDa8NpXbNwXy0YKtxJsTghjgx3HRGuRD8Y+iuiyoCg0pHUorC1KFa7sOQveonX
eZxHeYaXB/60jMxjVaPyi+rGPTejBuZBPVGj9aGnT3tfL2H1lPY1i3CZnJcLfr1CtmDiYVrTPuUX
2jMh8jPi3kurgJ7gdao5R6SeREA7YTIRhrxNITm3QBYa88K2ZooKeoVKuczM+ZpunjgJp9HubGI5
IL4V7uVgBksGs2mRZrGY4zRt+hRHFX5t20+JRxvnVZiqbod4UJ65uIF2kiHwMC/NGjBqmoYIHrp6
srfsSpxsOOoNQfNRB/mtkoV5VqHYRsGDVmAXRKjVgTKpZI343HkGnQW/PRGluMGkFZTrBjM4Wk2N
b62hAjf1cXNqwTjhw2C/fA1jrv+a+ZP+hGeqwf8gtXxa64iOyzW27+FxCIKQXG1nyG5zs3noKk1u
eh9knCvaMye3ztw8L/dBXDf7vnaiHYE1z6rT3XO9s0blETW9cM+bTgB2/w/2zmy5dWPN0q9SV30H
B+Yh+o4ASZEUNVDj3jcIaWsL85iJBJBP3x993F3HXVF1ou7L4XDYDsuSSDCH9a/1rXIqTn5JFO5G
N8tyNxED482qqpMCGr6vQYnv7fBaRlcOYXfb4n87gKwjq6Ty+Zliu3JPpiZLCow0OyHIouqJt1vQ
TvxRI91sgXmJNI6CZtlXRnTfoO3dkqPNdhXy49lhysD9F73Lm3HqBoYIbywJIOaqQXvJIifrdi3m
vI9pTqDtppxT2uMNECz12FAHPFH2kQWA7mG7RTsqEQmbykm8+ZkVvgVVZZ77sueZzrxTaA2A967P
ObVMdYz/3j076xg9K9qeNnkzyYRThdg6JhMm9BHuFpizuCpyv3oOwL1FG+xY1RM2oshK1NUC1cVr
ZED0qbrBmoD6FfPPMpwca9f7gM14ic2W2kChmLfn1uwxm9K6IR41267aoRzou7ANnM/WTeXFdFr8
xgENWPu1hTMzO2nwW5OdeApmEb0QHrU5vOWT8bMs7OW2mBr32YFSZiVLtwwBOPAqIhK3KKbUqaIp
cWcZxrDnmM7IaTaLLMOKSlvKgR6B+bNfF9BvCsTCbTlao/UTyP2614G3xpFnQVCNtF9+imWsH+am
hIeRTfWzKGzvpu2Gg2jJDIX1/K2vvvpmXOZd1TrON/Gs/qugYupmzbziPFRTftAj52sr7UnTZoOj
ANnl/cn0Csyz02LJF3+2o19l6qQH6ulJ8nqYfVuQ4mDtReNRBTGUQ1KAQTtri+40mP7jG4NhUBTT
bIHp0d5HqlW7m+au+L7aNLcATNpLa6gQREpkfTSZ9h+sSeOVzNmy1yUULyQ2un2thHkrsYq956U3
vHal47ww/HMPuSDh2mPWTROvUhXR7ama970QtLiRSFpEjHnNGn+R1muzU+6MGaSHsg7dFxt0zbz1
+Mr3Uaf7lNDDd5o6fnDjruaktxbisb6BGq9dCBElDh2/wzmUky2K8K6HSTmNUCkycyBg4C0rDTLA
JXCtlar44Elb1k2b5isLUhAVZmIUrMZ0fkE0yUG4lbsAD0ebOA7FQVMwBNGt7NfmqJ3VwmvvVgzs
QoaPhxTayk/P8CKyc1odBjNI34Rjj1gPDDUbCTPAwtiCNuNjQ+9C+oE7nixkChjuRBfD/DqVrQwO
KfmBFD93pR8tiDTEOx3knjQrlo+2XPo7CYTNPuYNrarKWH+sFM8gDma8MK2qjacW9es3hD7ouByo
tnNgq2lrThP3UgafEkYhJ7R3Hn4wgADTAG0QbYqcPQoYjqbJGwhGDrPywZsFgxTxhM8VS9DcWz+W
XjkJAaHKuvZEtO7Gnwb5w2hn4W6DqnffGrc334ciK2Jz0PavYpJ27Lia6bvU486sM3E/k6X9Eo7u
7kDhRSUMN2niaQRoqeNaXyuVMhIaMf9ZcSIrSmgu6wPnGSIfDUmzy4d+07lyIMIy8gPQglddsWma
XCGttxK6alVyxqxE1QObpNrJ3ODTKeo9lWQt1S2ZNzUYdqnQBcKNbr0H0RhyBbjuO1iau1e2njRL
VqJ2U9wtqn+pCqlPFRCRHW8ZOMYylDuXicktgDE2PFKw0cYcAnlUnaKBoc4dQ8ZN17QPmO8xEbt8
HCCqBGDoVu9BpAR2oHYEzn0JfuQOUz6oS0xYt806ElMiZnVq0D33eUW2awOBoWxjxnJwjSOcqRcD
U67PFFqLaxvfbF4/6PDKtBztbWZG4RfFtjy300rL/Ia2MPE9rn8G7eCEQbtbjB26LichCg7zd8gj
bhKanXw0KtjX0l8ecOtEF03p6aslvXLT2WsQp6NJEL7P0WvpPvPiPIjGW5Fn+b3ArSJ4OQ33hUpG
9UutRcVnphgDukGydeEW4V/R2YR3No7rjedQ5/hq2y3hJDbkaRB71+x6ThB2/qyWcr5TuueLc3eo
7uzOAM9V1M6du1hwxWdAjpdFSnND9M88Yb4FidTQwEGPFbF9tTGujTmcyXaFmbXULzq/XGV4CWGF
+2rNzE2zpj1cu57vxxf6O5U2wRGaYLend8qmELfPd1RezNeochs+zHkHdcUXltMklU1HChmNvjt1
MHHe2eVmMhs8VJyDOAh9NyrXd6vAsXAIC0NffLv0yRs6lDIRZ+MHOth5445wqJnaUE0//kZoDuXe
DQv5awpzKqQaqchWqLHvb8CRmZgIWnyJQ1gXTGWaYPVYWj1wdhGQzvlwRQnzv84QYDdVM7XkmNfh
JFapp1jVrgg58nnsh/1UTG8SVNobtOF6G2QhXsvrUcXfSH9iTMiF0C225WD6v3RfBY8u7WmvluZI
GQ+qqK6FPz01OTanr+0ozO5lYLxF3+Ss+Dw1axQ9DKLXd5U5qpuxDdx/ZEJM2y7v6ZkJ3xfgfoyD
rIkQbhX6S39Il8KFcdP4/CSKBbyPr4lrhiUeGMCoAgK2U9puKIOZy/UJWrNHXFgshPTalcnmjbl0
4+1kRLnYrtzib/Oy6ZFSM74NdIJFXd8XUu6pyEGKWL7LIlYw/BN09s71fN82rl9vRhLSEMLJk2k6
jow1vc/MJYRCT5kY/YKr5gUqKwbIScWB2Nt5a24/qTEdDfTPAA5AqWxbHSN/UOHOAm56F3Z1dJxU
wNQzb8yFEzDa3MZa3erYQ1sUnNbskIKP2X4LctMnURiV6mi50L8aK19uNYtOxZJeBS+wQFR7AtgD
VBSj+YDkv+AeTqB3jRxZ+6U/6bampgvT4ZKkhiY6ScpihO/BvKIgER0KRd+LD4aC9yQaj/mapm91
rcpXnDOquNU5rpuDJ7mU1x2VI8CXjN+mVaZMQiz0BZNd5bAuxHHiLsxL4g/YbrklGPKNd7s/u5Yu
azJnDmNMFvObVNT2Casq2AsvlbeYY2uAuek1pMOvvl35ISYwCu5y1yuvzpMghxhPzadYp6SPBu9Z
mvbQ/yuL8f+nBQXETWzEFz9wMECGpBW4jv6zWAriQk514cptSgE5Kerssy3aJ4Zw707UPNley8Ya
MJvgkPlTgJp8/K/vg3+XVf7x7XE4o1V6gLlxOv/921epsCmQNuR2TJmdGLpvb3nx638hSv8HZ/71
t4zoeXDg+/AnrfN/+y1XoZU9axeiSEZsfFJTn1E14RjhjZvDTY0r1Tc2o+82/2rZnmwI4gP93Bak
gHdrWb3DarTTrd838lIVQXS+vmSxj7OEPkjQqSBnepxVZB3jiX1RPpAB6tJ/2DT/R4/5F8krh3QL
0u5/rsdwB6Ec5mH8+Pot8r9JMv/4yr8kGfcPMk02z5qPeRwXHarIX9krvECIIfBEXR4RmmHQXf6S
ZBzzD5xDpKFgTdlcB6/5m78kGRuCvssTe01NkcDBf/TfkWT+PrMgwsNsn86aq6Odmywhkr8/oLKV
kT9Ontr3pYyeZlSL+7aD0Bs7UTF+GpGuTrMZDf2/Glr4f37A/1kMonja5XaCOYtf3P9TdPrnBWAS
2AoWT6m9707prhgdr/8AmcYZt1AW5StTD202LsjjvtfcafHluVgC4jConQl4L3a/vVn3lh0L5Ncf
KblVCVqJBLRrrZmMw5FErSn6NI+rhuPezWxfCUnDZFGzQf4Idk7fheunMw8bR65ju7fR1X40AEI+
1s6OXhs87IRUbKUeV1gnfVKhTZ+KvEaTCfu0L2NlYZlp3aDY4bsGxdE0J7foij0GxhVgJBzj9hMl
Is4lZV26s7pEpN0vVQM9FMyoH+FXBW/cO4c9gi3dZQ2RhzjHgwayPPPTF0PVRQmX3egOa2gvcZuu
v4OO9jkILLuUu+yBYp8S5mz+EOZTsFML/LyWJtrYsNrXomjApvREZ6yZ/RFWAXAj+9rH08ZeCXO4
brpp2USOe9/2dJ4sOJ6ZOGeYhSa+cBy8XduT0zCutwC/h8w7LvYHUgT32sjlRisSkdc17ppx36b1
DkCY2gwp7ASMinvfBzkqPF3zH3VzbNOrfD+P03DLoUIedDqOm5RsK8hohpXd6E6xRRtqTDKXkOxc
BNuKUF0illTupZfhsDKFtXMLxzu4yHzXFs5ha43TBLJVXO1EuR1rJC2qGWgPqtJy2lEiTuFuU0E7
gwFNbgjutp5HGI4k4kmDE2I5tK3hfvWWym4ml6RuYPjGnYa8jqV4KC6rrkWVtFSHJhnQ3BL3eJpL
wi2mQ3ApzJsscWnqYn4eQgzYzo4rPkABVUQUNFnjmI7E4Ec2ueEZCIT1yZmx+ZLBWgaAPHrPgeY8
T5esq27NxQAKO1NtfFfa0XCQnBcz0zWItvX9MddN99Zw0+C1Lkc690wtc70dvbmggzuC0b0xzc73
IXT63UNDa/W169rj7ut2FbiQxvYgnlYULTH1pdZMNNZ+sUDoo0/l4VPjGeOQGHiWksFvtb2ly5ST
vA788GyODpQVMazq0aasFKtxvmbHLOsBxAxcrX4IGVKhl0JtuhsCBzfHALXqss6hecA1sbSxz5mU
81NnHyoLKQsAU5jdcGdyn7txBMgV+iFIXi+88tmgGc94Wv2eKr6mU69RNnC+DKMAhI2/2NeqXXec
t6E3Z8NxnaX1uxt6FB+nsV4rJx+mvWwsF18Cnbc7HPbruHHEQEnJRq+ecQl9Oe/8aODOKOhfIBRu
A1dsQT7UG6em4W2yAZBtioHWtd5E0+IPhz72IrhMGswWPx/usVob96m7fvlZ9Sma/NYirN6bhrub
VjAmjbLrG5VHzr3vUvUxuCBAZAWdc/Wr20gW1YZyVYRVE1Juow15U/bDHVZj8TCU5hfXd4zl3UjT
qMR8YZZBf26DoNrZGb9RsDb9LrtmrbCbyP2CdHia9GJv5bx0n+Rj1I6aJf/OXEuKLLhSzbepqJbv
psEBsgF+UJwweCGalmWIeUm3CNS4tT3rM4A5eaztqT5FQYAjqVmQJ4UlncSiqtD/PXTrlfQbdCt4
4NZo+Fwa7xLWegu2iEJyy3uhJjDYiVZNjxFnoWGTF2l4zXyrI5bs370zsH7AD3CveIQ0ibi8npXj
cgevtAMszMi2c5MVnAPz5gFHdTrEnjOBviQafKHRonKelYGytjHXSh6qjButNJrpTszMCrY5kB8C
lnK9D0eVx0Rebfq6nSXgyeJawGqRfYZozgnhsfDGCZmHgcwwY2oPeTUW234Ja7BUHu8jdnuUODQz
CEZzdadSbN5zlt5Mtd3EXeMdAQ4E5972Mfz73je7U3EHvaPf1+OQcSflSRGH0qmWmHEZ7rxRazAO
hcBckxjrMH7h9wSuR8G0eRv4VHMDkCil2OYjFc0bCKzZmSDSpViz6k0WXBvqwAl/m7k17dfCIV7K
zLjYe1xt1E3f+6W7VUqFdwhBzWvA+xSrxcKnWtMXSOrFfRDLkH6uYErdJzE0LLNSt9RkdRLVl2kF
CFacEBwaMTvRhIZErRk7aAfGo/nZI97tvGsrYW1b6hQUUbKM7bsBqqu5IvVt7HiicuDpKsYx+6K5
2pDwLIZEOYZCPs/czfNNapXuXSACaIKrP1Lxq/C6rmH7mDpIpMBfxwTvgPFQSxpMFjLF/E/TuAjd
nQkhAezdFeQ2ZPCNsgO46nI7h+54KiH1GB7tVw7SOr9Cfo6U+TXQebayvh9mgU2Mcep6KHSUx4w5
QQcyoCAWDTrCtmsI+PWCDDV6+1BxfE4zm1BfDra9yxcaEbzsNaO4ajvImQcgnVmeIcmQiXIF1VqG
zi8NMbYrmpsysXSLscXayXWyb3MKTmkOkhbIvKD4WjJbxumk5LkWIU3QhmVvumUB4yuAfGSCgoM+
WPuEd2jechZ0YoElEoenfklrxQvZ/NlnwwtbD216hsRMBa/oX2YPW2nUteONjKhy4KiBXdcf5b7D
o7FnBQqxO/ZwNavRR2O0q8QDAXPD4INq1TJ6EMbKx7ex3fuF992ca+An9qgoBKSap9hW2BL3I31c
zIRHVBZRuN6J44L4UYTXNzWPPG8Hsks8+EUfEa2SAmJXm84/YJTWl0Bq3GZRXX2LxfMBWjS00aho
fishZ5PNWChWmz2zg1gJfyPJAjP9NnM93fjeGlI9Xdsg60tM4IjaXgFfzMofSMawc1aZMo8+jrb9
YpfOR2SNw60y7eWeCRM+DNprooLX2/aPWdSg8CgiVMfMnqCVR5Z3MkNlPYMySn/XAhV907dhsw/H
rKhYmKz0UErTO2a81GaslzLaZo5RHK8DkmKDaqayfWeG1b5htPnquPSqA0dRV61lieLcrrOvqWpN
uuMAMXS8CW3zgCRlPGMpLG+KXKyncin1vjVX9U50iCaIgRIScCl+TslPSy2KmKL2KE2zirZ0k+vn
qlzX31Ppgw7ow6q6jHA/LxFlOkNcFT6DmCadGHZQZFimlXgN1868S/O2PeZcq/cr2DIA7mtAgQXP
QfZeuIObNI1Z06BhLM9qbtwb1Rbq0YiQC6TtU38luvAMJsk60Q4evBsgwrBADN2746YHTCjYgWV2
N4alz8AxM/R2MDzl85y5QOWL3CSeqjEI+LYu6E52COwH47jvDJsDz5xSAxwM3Cw2k6BPYlOjAeWb
ykubO3Kk+T6iwAj/d8uBsVnlxZeGPiDxV3EbttYLiB54zN0oEZ3T2c+22rBL64Etgv2NwmW1soCh
wTbXLsO6pt4ooh9mR9SSwZlPU8IEVjkO6og8WW/hHbVgSVPjtbcVTHcgpvkXhxZqZHxS6JQM13a2
mZa13TfePB76QYkffGj1xYgEp01vaSmn5ZuEhmlvyyCstiSPMxiPTvbQLaN9NwtTLR+dYy9UYizF
UD8Z/pxRbtdrKoSGiQtenFpZOUNPH5c0dm0FNCaYmJNu/FBhpad7+NK4c/a89FbxrWkw3mMihuem
ZzfbT6MpHvvVtn5MXeQ+T8uMw2wdbeDcOoNEXhYoKllj5F/L7JdHw3edD0KxMtsEQ1HwdlCsdzE5
oP4enU4fs7kDXNQUy3BZR1Kfvkb85sAmLFY1Tw4ZHRUVS/YonAmJrDE/KjKQxAJMf3wOke7kXdoN
rrPVJVrX1hKMQbIG0Jhy1tKipTFDUYqaLICeNVkrbZUWD2EyZQZ1N5MnRrxNK7mvuuLT665laCUd
++Gps4ABbIjC9VDegpyaCwPQJBGKgHKLPqCLolN9dhi6yflRk83bt1bUv/aRPX3AG2uoZ+uHy+i5
j4VBEmKpRdKLMDzJlQRZxnMIdsg3P8ogn39mbVQe/MIrXkutjHer77xw60cE7ij4Wo5KzusOEHF3
T5jWf8zoe6WwKFvSG7est8PaV5Rchvktguh8M4gJJwMv4YcKMoWbwPAf3Lwfd40R7C2YPPd0WK5H
6VNujTBUXlrXcM+RdKZq40WSqiIayNbNEg7EYoIawlo36pEVJ0jPWR7+nLL8Cy7l8ohZIQW8OIwN
q7Ut7A3wpuibbpMgzqem2EFiyBI12/nrGEbT21zyyamNVr6VdZYl6eI75xaS8rGgOOyx6tzvzCUl
gPUqugwcZx9QYgdOV0X/22VixA462zcY/P1nrSJ51JlpbqmemV8ryylxFVX5nUi98qHDtLRdx0G0
28bq5e2SEuUb4dIe/KzJHxUCQOJQzErlZzn3D7R315/DaruPedPK3aoB8omwG++VN1eHLhjeJnMp
iDWENlVrBdCP7dKBmBzn1d5Vk9TM7Op1Yy2TGVe1wxmINrl3RaHYGSG5OtV+Fb0XwZD+TAvWfAh6
4uCDCb4gVFMtxFnsrpWZ3mqcfOeJSfqT5JRX0aVAsZEGEHt0yGOcU8EjrwTrfdB308+Ctk2S77L4
WJmAeyiqXKmtVgXnMOCyhojOp6tgV0nocwKfH7GnhDMFC5Q4MXhJq53u8/LcEnx5pc5UHD0E6Vej
47kSud9wE6QAPbzWMjS5Yz0E2GqOaUDBmqGYTy9rb59zo2m/3XlBkAb6Z8NdJRFpNux59LymzleY
VdywprEZT2YmUNA1lNEbgwfN2jq1IncrZQU1mrBNlnSG27/JpR8i7l2L9VR5a/8cjLb4KI0cbSX4
k0C5REP7znQ4/ZileXXCZawvJ8KvNJax+r3qP/mV5Z8sS2Dk7kj6BjhtJmfuV8R/nE/lt/5rZzc6
roKg+8D30ic0yQdvnY9I4zWyu804qQF3ZO3gByoZ9LSQWgsVuJfIYPW2/BGMp6cEdEWhzrpS8mNq
JnWyrqhOYYdU63ZFfYOtEJDnFekpCPluuqzo38cAK2pWNcbFIw7KCMekjDSIJUs8XuGua7+6dvCX
Ozh+uXdj+BrSKGisdTPNmfWKIQCkaF8txbcCq7SDOblu15Ix6CbVJGw2XbuubxV3yCQDIncjggKq
Kr98xpngT2ypnQu32XEKGG9XU+U/7KiwnoOS2t1NQT4E+Ud0l7ULxYIQlLWvbjN8iz+hqEOwth8a
8N13xxn0kHsGyxBThiRvhi7xlGHsfeCqVYawZXXVZgpW0LremhAoMuNZSprjrnRWDmOvLDLdcR3F
k5nO9j6bCuOUldBcoyvXFbKhlxg+PRNTn3JKDy+yEO49toXm1sww+zM1vGJil7RiVtG2p9kF8U6v
HY8DqGjvqJtxousjd67bVLOrOubbEa5CtirBJ83Qp2Vaw3ORrTmoh2jcW1FqfuY8Pp89EwGN8aBr
+Pp6OPm56Z0VN6idXzvyUq7BA1EQa8/ePF+q1Gihj1pUKUyGR7bNiKCxIErde7Z5f9WEfpiUiuHa
6GdM75XRlvec7JpsY7JenXPmuKhdxJhhVucu89mSiyfgQO2iv2mZOAv8B8qfan8TzaP/yNGgduMq
r9J7uywo4JoD4CN008clPNjEgR6/CdOVz2WdRuDpGAnupJa08RVTN57cES0xdic7fRsyZe/E2Isf
JVyRMzjYSpDxJwQkXOU9OsU0nAe+W9xR6/eQEww+m70BYCmNuuA0wdS6cTpKi2xY9CcQ4f2pcIvw
4lt0aLdY0bOEduH2fRVK3iOuCbnFr8yRJiRYvR0wKMwb7fblNnPXX5HGBQXLGKROZptfhs6qg0p1
+uSzMm38YGLEN/Ta3vg6rHZZSVR99Ex9f03Y7HM7INhulU14XirZP2pjoSljGrCp5gYZIx/Gx8ei
6uDYe335QskGq+DSiQG9kcx2j3iFKd/osSB4pv0KScbtEtNUnLkC98YRbGayg4VMCyPXPQieo228
hFIxpVpn/LBrg9fHJIO3LZd6eQxSG7fTGhoHWfv90ehMbEtGO/w08RgnBvnYRDREH3Qkbriu7yur
Ge4Vs/bdWEFYtvTCRso/evSOQMqsl2DeEZgEgNjmJeiSFXjd1nVyPuMdc2Hcdit919UwWmw8VLxZ
dSRegQpbr0RHMsxnK/3JKFeMbZVfkkCqQbNi2yj65wo6vLnDK7+siQ5U2e4MmpO6k6IzB0m272ye
W8QPOMhVZrwRVBLH0IQ2DKoXcSDOybpf9JqPxamDVvSUB5oOhjoyEHs1hq05KYdiApLQ6L2eZv9n
ZWv/Ei5RZ+0CxpTDtix9sKceRWYoIUMe0SBU+zY4ZgzJF0G8uYrnqKB6rgqj/m1ynfJTGeaqoarP
pntYrnC/o0bqfy5c3b4PTjrvjbId7hcm7PTeeoN4hJYIl9amsPahnxHiHOU292w3PzyrwBgZigrs
fRT9NDon32HUYpoJ0OQoQrt5LcXVOtKGy7Cb/Jyga2vVCCnywKugt4KBK2VX16SsR8DkSUq1JFQF
6mfkS+8YDnbw4MAqG5NyphQvg30qSN864ReqgQ+VqLXB4ZojowNjWQw3MYJ5vEFDHnRMrnR5L0Kf
DQIJdT3Lxg22U/5Y9ME0JVnrR8+VTNvbjI4Ht/LHKrHBY59Tm53ghirZvtkUzHI/mdESkcpBOGAZ
pd9CbVCdvcewdxwgR/NaRwktfNBvpYNSC1EpbCscTR0dS+tqP9RuJB+B++g3hPP50fCnFu+UVe8L
vJJ7KXrnxamq5Z5RuLstQmM2d11hr4kAIHsPunDlXj6H/k/ZV/mPYvHrk8RT/jAadjUgQVq5exrC
hamLZREP2eRU1tNBySkrloGh3lfIt8j/HK53ubeUkGyL5X6JRgwTgVtFbVzxQjx25agN7EB29pUC
jIAX4lrWU5ZezTFFYzZPZRFAUjBSLtCRrz22U+HFOOO4SC2N492NnSUumPVMgBlOe78aXluC3CyG
HxrW+p2vy4G7/BD6Z1MYMDmLVpTtTSEH68XPI/tUwJKkvHYoGIWLCf0TowgWknI10l9F1eiPPuLD
s51zDmwbZQ5XnLKmgcpfHa5xelT1G08bQdq2LtgJUD2Xe2E66S9GxNcFjg+Rx1D2DT+tfXAsqc+0
FgbHPE/pORsacWJtZwMSkfkl3GnMk6hj58PFZLz4RtE/YnoOjgulGLfuLBVR3Xz6FpNb7H0e24HM
xTVOPshl+e2XaZOM9ZRwh6jLWPoE8OhKC47EUZpEBV395GLDOho2HQOawvSvthycPtbwXPd9bbY3
pRssbYLNb/iweuoLttkUdBeuSKjffSteKuWEj/hoalwlQfCk7ZG/jKxDIlNAmSSxgBEzFOOOIhDG
UVbmvJ14DZ9wk8lf7EANTRDBHD0b2nLSuG1Gu9h2In+YmkBccHh4TA9YW9qNO7lYc00pHxonqE+9
xRdZKeZTHIrBg7+0qAnm2kw/CZACMTMtZZ/DiXrYNOBWQmfKXF8wWlS0oUal3T+laacf4YvyjnC4
oaag8B8ZbrUHAkj5RdheH9vV4sW00HLVcLtxO45Af3Q+p/eNWv0jX5ZR7TQYn2Dxxph/fM9TVW2t
ooOLGunwbgq0fliX5muwvKSpJqw2eQfIvozWsy/X5qmYnXk/dkEXl3n0tIKN3lZ+7bEzIl0epDDx
Zjkzqf3SNv1nLEucK/yAD896hVTXfK5xSot5p7i+MqGZUDiMokkPkmP7zyDv/IfUNMEiuM4yXlwO
9NwEas9Qm5Ammw0R+P5YKM+hkirKBJjWZbxluvqrGyu72vRSePd5Zgfn2e/cxwU542cbwI3YVCDI
Jdddxjf5xNM0m9kNq2r60BVtiP8STaEaJ/u7pyGWEkdyv8RaO0FBL7L7eG0nnNcm9jginCYjaN+c
jC2LolyOLDkKZ2XZM3hDpi3Eza3+lXmqPDS8vtt8kN3Nko9hQuzS2YZ43rq96Xguu2m2MLSSsvnp
O6k4MzuctrW/ht+49ahgN6oaLdgKf5iYcsbNOtWhEYP3xcqTehxkg5K5laMnbjC2lc8nYePotZsB
Mw7THOTe3vvoPbd145xWngMJOJ5INJICoynZZrlA/8P5M/TY/0X+5LXMfLCrz89FsLhf3bwun5Sa
y+dhmaaRBPJyXf/Tqx0jKsNuo+kr+TlUzC+vLvvsFYmUo4luuOPhM2YxVlMYMIeppMNGU8n8PBum
+VlDxGq2c0+wluELG9faRv4hBehN+6pDqJU9mB7snq711cMjjzcVD/MovN4FX2BTT12m9fpGW63N
3CaPdrbds+e3Q46Vxje7NO5S20gTGRT6PBUkyTmiEkIEMyuO2SIwb3nVGvyi2qBAyzOZ+GFh6tit
wC9BXwDzRQ9pc4X1IrSRPShzdjGK3fySpiN/cobbaFn4NnSUZZiLaG6LGwqLXmo1Mkex24o+m2Dp
NjI1jAMiexMk3iiu/2LmQ7dJp8J+YWbr1LjvbCzuTet5X/jZ2rueCSoZUZuzS812uUk9tvaDNBur
SvCjL+/ozbS3UTr8DOeB9qWQVMSURYuMXeaD27kwq2QpapPkobK/Kre7bmI1iOK0olzDtSaV7jxc
BHGEOHzSDeQeaATLHU43iOzWVSRv8g7UPZbNkFgynyxF3V85P7oGyig2aW7X4n3iEH5c0xZDIY1b
W0mxUTKvg/pt9V55njhO3FFnyPql6b4MArO9NVRvx6ni76BFk4SgwMV8N7GI0RWdV+dqnO1tJ808
jAf6uYoY6+17PvX6cVSqve3AlDBGJ4/n2mlzqK3A/FX3CrZ7H463zURaju7Dcoz7Yi4SGo30L+DU
+Q1+ueBA1wx49Qlo7txNmfc/3qDff7Kd/4U3yPKciJztf+4NOn40zfRv/+uj6f/3v50+BGyQ8Z8d
Qn99/V90Zv8PEHUQa8hIY4TjQft/DiHnDzJXHi4C4E9X+BB+pP/rEPL+sLDOwR2CTxbhnf13h5Bj
X4vqbLh/lovhiw/ff8chRIsKHqB/d+ogg7tEt8iB/R/qzmQ5biVL069S1nukYXAH4Itus44JEWRw
FKVLaQNTSCLmecbT94dQZrYYUpKWtSirWtxrN1MiMbkfP8M/XGDkgOgFRtcx/svAGa8Ynw0G7WBa
gAzt+tuSpLfYKt+n3WJoGFDQ0xfJllVdXU9j7x+KADNjxDnkrZ0j3KpPo0M93417DsFsqy22L9AL
A1x18IvoN35D0Tj4VrOqinY6ZKgq4ZxMlTWqtPEcLCq3TaWH+yKrqzuDidZfZN64WDhF6GXGgJtV
h7QoO1sdEMgBohrl2TbLw/oqi3qxeFlEX11V28wxTeKyH5eqR9Lekhs3FqWHgzZ6e1OPwXM52FhT
B1b8AX9FxCcAMLnHmT41eUgxtj/g39CZ4Uw2n9pcKx6Ba0TTNZrz0fWEmcmxNAFz+y4awFMovot4
nqkRbQIaTVeA2xzUwxqBJuEVoe1/S6FcLHKi5nW1CJeNTT5/1hL0goCOW3vDT+QV1lfTU4eNj37d
MDK01ipdFJ3AfutgBe1M3uQgaDiIU8RTGEdeS5ADJ0brPSdbqeFIohlM1TgZVaPXP4o4T/6C+VL+
BXGr2+uiNJ+xhhmdtS7D/IreKsyYVCGoQrOj/tbh6L7of9imR7ck0emTNPIwaJTMK1og2pOmoRR1
MwvH5+c6HDGw1Zz36TiTu0QYqV/Tiyi/amWE9BpEIGzos7bdRjo0N39GaXEVlSG4yM6q2y0KD9p+
cZLahrONLTj5wCZc/qaFdwXOJVFnguDuspdq4CtsQHCUn5JIjEAsQKkFHxtrAFYJDAMh2NluHGOd
6hn28iJxg7sMOOpBZVV4Lynp1gYOQ3TrcJdmJqvVDM+rLpzu/QD12aamoy/4leZ9zS1+xXS6M4DG
0MnF/U5S/WjtuM21odhhcAPiJucqh1BooMVxXn2ZSpt7gvcmIeAaodLWBksl3KKKbz46duN/VXqX
ULYii0M+Ypgg5iMZb/CcAyZvVUZ+BNCGibZT1A8FA2u07RRDoF03gzzDGzZ6jHANeJFMrVAsZUg8
0QfCyhYePFQHsDUdxeWMvJdy0w6xCKZU332pTV/ncGaUxmUl3V7DetERW2dLB7KoqIkyKI4gDgBC
WBHguRWCqG2PDWnuoi2UMNxHZ8QsaMP3UuyVzDhRTY0M8z6MZpSJBPZDOc3QhRJShR2EihRBgg9W
5DCctUoNUgCIdzxSYgP4PII1nf6Do7M4UGYZNNOymYynQro9R1fPl1fGhPsZSkNKPabj+M3Ue3HA
h0t+E/mc7hHFbHHUk+VxXBzGZqMS97wUJdaGW46fsCsLvkIHjQ4Z5fmhnACT1WZH7pzarbpzEmV+
wLJ6IT7PIZP3bOj5TqOfttdGPCMPgWNwtNjdw7rbDjXjacBWwQdlllRnfal+1GZBajK2WvtJOVF4
iph8nQI/7vHb86fFV2W4p1Klhppkdh8zM29XsB5BXoNRFF+0mupz1TpWlq+yWS+OJLj6ZmCI+IVf
golwqOv3TWyI9SAU7llJuU2B5B3nHvSeC3RhG/Xo5LeThQ81qt0xMvZUvk4TA/FrSbS2JdUMMLQy
6eG4GIwBelPKQ+ZaBdCyCGkm11m+WuuY/hH8MNKoduSCRcn0cjuWrn8EBZTCQtR05shV7TQljpCt
/pVkVH20F9aV3jTqETL6A/PrAemRsVz1ws13UnMnhlKyK59s2avrrEzHdSBE9K0wMcHp5Dxt9b7T
PUtAzOhjK9rKJnLXINaTvRlBDkllCLOsopJjq2OCvsT0fEqcTYXaEBCAUXyGtcTIJwoFak8DVNpk
QhhMI+7dZLpt0JzU6k0o/X4D0qB5xFJG3NN09Td5XbjYsdGz8+whFPd2J5Ino0GY3XDQS1vBlem3
HRxrcsQx3kNmjvZdTnM5h49wVSqGAoKys0BHBXzNpoQxeBNIXEq2hjXMJ5AKzT7GNumR2Wt8GMb2
AeMolW6IloD4mAGZnzm3FQO9BDMCKSf7YQYRhnRzMKD8onS8vlvkPe/gSY6f4rEIXyAgoGSFQuyT
WY4A1jR9UKdgaBDEbmpxa8Cb/Io+uf0XOEXoczpuwyqasr0Q7eysVG5oO/R6BP7f/eA8oAjgHNN6
hhprzcOxrzVxiyO3Y0LCMXwAfkCUZj0YDsqMmJSEs3VoAVFB0TNaTF60OH2UTpNtI+xzztbp9Q9d
WlF4azr9jOS9ZdBmA3EIEBHVrnVMqXQMozhYBxMlBiWgOM5u1n82myDeAc/vaF9k0utVxswiiNyw
XCH6mawNQ+SInFnlLRgJB4K0qswfVl/kt6FL+E2aiepDd5F6qjq3+eYjULrCq8jcgTFCDtGdux8I
BU07ukv9h5oql0mqAEBrQba5CjAt+Qp5hlZWrszgLkhCPVsjKB7tKrno6NS2dehoYXAa0PPDCNMw
rvtMHzZKwyG2RKrao1NNpNP4mUNkBMmxqPzxPnZD2wMBE181tlvxNtvqoz8w18o4Tug54h5OxdU8
DrKed5rrO09NrPr7sEfDZc4mzmtS1GsXKF+Iktih6TVBMgACdeXEtnNUnKunc276XwbxXy7038w3
xQRyhgTAv87Q77vvCAj/qOvp18T87z/2d+g+ibQCwsMKlKSbv6opyL9JcmukkgE3/pTx/EdibpDN
g+dfkP7SVqChyOb/Dt039L8tMH/UF6yfoP5/KzEnwf8lLXeEjTKxi/eKYymANIgrvYbuy1ItDK2u
2nKUf/ZHQGDMG1YB3T58yHqYu1U37gLlHMvc+vbLm7r/mfv/a72d3y99URmAulmo5k21VSLpVkFI
B592/L5M/NNQ0QV5+2rm8iT/vwCh+EC827BcWJ54hAikW14/aQzW3W5FDvYCFUf2rY+pKxnuggVI
dlD7nvUgjj2+NCTptHO3yulBipU63XS7eyZcMG6Zg09xltxPrXMj4xHJtFSuWp0p3OKEmDBnw4Y5
vjYsROXevnvjD7eP0LsL0UGwVlhQy4f8RRfKrLPGsXuUF2RCLwxGVNysilZDBbEXE4XQDKm2pFUw
J9Z4r7o4+iB8eQdqCBwgog4rvaueMY1Eg9TVP2siP4aW8FBFOwF5wtI2iw5tRWExDvxdM0P8Ll8i
YjC4dJdDTBRcXOuCytSftFwn2KHAs0fAZgOcbeXMD0DG6PFE216Gj0LG+2AaTg2ZOspwtLCyzej3
7RqA3AMlwmOZTjgOfJ+WckMbV1/GaJw9ZyJJZ3rh3BS4MMYrAxyMcjtA+6GNPXVjpxsJigXlR+uT
qA3LQ8UweLIT/SHXgBWniitbVZ8eUTKcvsZZ6zAliEH4hW19bcYplA4Aec4Kjep6Qxcnuptqhxwq
Haq97iTBDkjMuJEYXl0Jqp+j6yYz7n9xcz+A3yWkNmDqgLV9sXRc04I8Ku5cklBm3GjqrHLb/jIm
PoC7ITRPpZz7H2XX6le9cQ1mZriF0ctsTHdpS4PrBRALtO0KwMy80u15Lfrc2Gn5IgMQxd+jAIPL
ATd4MvRq2MF/edAwPV8VU4jPagp4MryqSJ2C3jZXDp9GNlO9X5BS6zL2o/2Q+fEmzZrqxnCZl3TF
E9jn/B35KpMA9Go7uRJ9O6IHHDzHtJ1L7x7m+0ZVtpOx7VJkYpHqQux1XVawx8HZBZizw0d6QuYR
4mOI/EIIl6BalW6F22NUFUfXsT6OZr+ee5+xf9e5P8ZFv8FK9NRrpN8w12n0x5DZ9F9N1XU3zujr
L+c99V92Xv16XP2f/0Fa1ov+Nz2dXwLQYk32dyOx26/Zj//9v/5v/v1r9jX/j6/59/+4JZs+QVE7
NCn/s/n1nPvnb/p50inrb0rqOjYMyIo5BiTpf7SgFGcgRiTkhoq1spC1/tmCMqy/8f9AcCQo0yDi
vPvnSccZKFljCkgNMAv+xr910hkXLDUXVQ+GAzonOrm2pPP6OoI2TdWgWTLWXjjQv45ldsqBw27p
jDF+QFlnRwXyAj2LMZhKTmR74AkobtdVDyU9KqB7u3kD1A3zcH+IPvUFul6/vOQ/nIiXfNblFl16
dUqyoRR6XRe3CExC6kYS1J6b0T5A7wLWf4gAyxSqY19V1KFMqptu0wRms0psxpn/qRsQFo5sfEIk
+1+/IzMxShdzQ3wKlv4FMgp43hvp0gfzGcKQeHa+j1YvkL0OqswqNriPt2/hdZ8QoAyvAG8n3RCc
09AdL865RkRmnWZp5dVdsMyonaculLdR9V4Au5Dy/seFoBTqwiHPurSQQpGiaaepqLy8QGMJH07I
MW35XFTYEdI/idaT7RcoLNH96IcBqJ6v04MfzQeJ9Pkx8xHtsTTL/9rEctjCatMfgZX062VfQBYb
a4wQi8mrQV5stZL0n1GHgyBtCVQRJP8W8dMZIWrzvtIw9gp9XuRU2Z9xhDroNVpAIqqooXIaO5pZ
TsTEObyZ/I9gdlmtGfZb4KN2TKLG27FJXgxrTrZNn54g1ribtPapddQPBJ0frdn56+0vtCRKvyRS
fCG2BKaVEK9Jaon/r9eIM+cofUTINknLd7egtT7HPnYjooajYJqLATYS1U7Vq59jgn+pmHjJg+bC
9LWxF+FswPGDMPL6wlmpnLJBKthz4QxuXRTDD447t3uGV+YmsEBRR87cr4valNfIbQBgapAxclzg
2ypltJOGwY4KT+H8x546j2qUz/CsqIbJS2MSwkXBP0Hskd7S2+/s8rhc7t2mza44NvGpcS49n/RO
iX5ywtTDgjrfAHeX1wxtYMj2NKWGjsGpg4ZR67fZbTm62Iwah0Vln0Zos/Iz+/AzAIlxV8ij7diw
fJqOtpzGQzsTTwOoLVqj6P3t7fv+/Vtjy4emHJULYnCYHb9+5chCaDpsqNQbtBqjMEFQcPE9/Pmi
a7tUdDtberEiNd9JMJbs//Uq48qCkYSOJJT+G+m9M1HB6FSden7flLRZFJjCpZf59vP96SqQpzHf
1nk4As7r58tTlM+0Kk09mGe559RVckU79/T2RVzxWlZ2iTWQudF/oGAzEDY1L4Ia0wbHAWWFTI2Z
vuDPW+PD06D0FiBERjOBTa60gbOlp6WdGzNqrzJ9MQIxP4Dy38q8Czl3JrU2lsZ3hhgqje1A36cA
/3YJQPl1rTNkt3L3CfLptNNt59Ycp/oQYZK6ScaOYTLtz51mDbTMEbPduoX0dDq+a2mM5hrgi7bF
YBnkdSiNI94T2GRiPrtRPj8vKpcBM3i8FR5X7qoC47SPg6DAdCFSu5xBJkyeUjBDbj7ha0/5UFI+
+G18yuboJGPrAedp/wqyM1QXK36he1rsmy5EV0fle21U+rrDHHSXIkVVB74LupOYi0o81WePzM1Z
giwPQPn0ZXqye9agSIKP1VzOuz5VT5h1sgJboByO9ZBHCkG4kImrZbbPQHDUelii9zQlzV/lKJuV
0IARjGNurhPBxVIVi6+GPhGWTQex9SE6NcHobqyqos1ip9U6MuWXvDbjddBlGBkhkruKI/T77NnW
wOHFL0bIQ5+1GbKM+w3a9hHDqB8M+wGFQpYNhgFxfZfAPXRls004QDZASpERqrVnZ2FxCr9WaxVa
LjUOaJhONOGOWAY3REYnZn4wKSsbFEXDCZxOTJMykR1lWn6IDfVUgf9jG9btJvHd0CP5gdjd9WKd
WnyavKkf7WhGHqfs7kgwPN/JT3A+6kPT4XemORjtqJGvmU0Ey7qK7bWbLkSW9CVXMO0QQEGoqaeJ
mbykNDa9sZmaTSB40GbI5GqwbnyLFejmvbuhBL9NfCbmRsUZkFgCPBsQzo1fss6L5cicCvKrxOBS
U5+8aAGDH5svS4cebBRDdZTL5Kc+oRLNAxc/B5E1FI/BC4BfOreMjhbBFHejhcVxpEcNpJGTOp2z
E+PA9K5TBoKmveZ+QOR+N8fhCSHLYh9OOvMjWmR6m/KMpKdHO+7IrZYPQ2Zw29hMjRJQ0zAWWLvT
wLLRIX+sGjrVSCNFJ9dfMA+B9WC5qfLaKT25eh9jZx6djJatcV646E+y8PNxB/YD7kqGP/ciCaNI
ZEIYwj+3QMYKMwzroWlrFPN6kk8oAfNNPvKxumjJNjR+X5GV1soNWUGWwedvdLZL2RWYUph9eBx0
dNKhQkfr0mXRYlV/Ot84t0sWgxDvLsa0zkO5ltpXouzXqUHtKEiJ1yX+AqkTljeFUhXNf76dM6lk
O1fOwbDPKn6mtopabBLjsT+in0TPADL8bgSouMoIYFqzBCxH8jM8B0sXI7TlA2e6fDDT6rko2Vf2
GL9UwOowDIhP53ABH+KlHcmjYdGqVR4HXKBhSNqmnCClDVashgEIPJ6XSDFAPjSTT5ElO6se7XZX
mvExLdxkQ0/KpSVvJFt7Lp+lWRzPp5MCfwTBjjeAWIV/Zdrxy6T7/r0ZFzv8r6Bp2fgt1k1e7uRo
boin3/OUYGKZrNycpGsFDvlj06CxIjR+b0+sZTrNRxqlVzvpqSW/WsIZjAhCXmrfnoNSJwkvYds8
xyP3FnU2ylaI/1epfKDeQULMYKvYbnyatCheu1Ydw17l456rCbC2/dqOLA0JGRZr4dyenxDJtpdl
S1SRfFiOAgb1D23JjZ2/QWmq2wjjXAwbUCBKhqMbxHIZDbJsoCLCpMfdsjDqZz0WxlHW8UtSBiks
YpZKDQPxZ6RzmdiuJWYdxSSJqPasMU9Tw13jTi0oS/ZvzM7Eh2Dmp1yh7VMotVft8nXAYKL+MxfH
OYBmKoHX4oM4j1fnSByNSyJmB5BdIyQmOeOTzTS7NCEQyVzxEzZ34o67ZuRP3YYPgIRVuYsKpDA1
5h23hQKB48KjZtC8wGx03tj5XLESbqpZkufElg9G7W+nMJnQvaBdlEy8yGWFjTPBGGfGB2zRyl0/
86mGgkVXKwIPEuIs057o44Kj8SxFQrF83Saun5n0M6UPifpUQblXBfzCqqcqOMffdImOfhXmXp4Y
1kpTBd5ZMXD45YyjYQVQB0YsvBQ2kDMnR6Qr8A+tCDcxEiSbczrMVCXddkOd3Gh+On3Uw4pGXsbu
tkKSK31MTue1krfZie7/Sz6PT76O3GEia0STe171ctr4iriYtGwBH5HImxGtiI2t2VjILpoNosXC
TQI1Rfokr3ZMUsAH2oCJzrgmienZGvLXLq6qcJ+WBQcemoG3RMkK4H/YHsQA5qiR6G2OVgivzpgV
xKgB/G+hEDpkbIbtwwDq3w8ltjnlHJxCZwTaBiol2vUG8h2tGzUeRExSDdgt8FyefYB8u5HK6pum
kvkDOgnltZ4n4yYo2w/gvAOPOieCu2MYz7owQNVnU05GDBUi7AwfIPOs7yHU7uRMmYQr9JIalD2I
Nhk690aXgduYJ3MtBgZDyTIJdpcCLgnJk6u5vrUAKO8cZOaudBWcOi0dN7FjNmtUsS3MuudmhxLM
fA0lBsudnGC/lHmFUyab0Ij419K2k3T29krLqtsIvg9tyDgCDJXCh4DEuG66GvGANBDkKLS4UAzh
5J14Y71Z/4hnEra2l+XKqHIGzj4WS6YjDq2qnlO0AleMhudVb9kDcgZwFFAtabzSQOwgioXP5XGF
RmLHX9qW/O550ZcwjG5Xd/IqLfovQRoMPxJ0I/dZ5fqbAYERWof2t9IZtnEwfetGkmfNCAlaGtRa
6N/I4FYt4mkmQOY4ySO6ojqNObBuOjVcZAPjwwkgDuO11Qz6tg/EhuT5XoNEi2o9aaKOLxFz7a0b
8E2D8AavnOsI88dFtPCjoQ9XtY1OmhtlJaFc+1HabGkHBCHuNqAUkk77KluiblwZDAVn8YCso4kz
u36sNQu1FOB4Kz3u0AqODG1fQTtCLSJj1y6Vz5ygjKfPhKWoi14MCHy7MCR/MlAQ2RR5OH20WlEt
X3heDyknEKQi/2WItWIN3Cn9lFeduBaz/nzui2tG84zyDCkV5ItvASwEwhuWnYCLWy8pSILDsZp3
Q0LGpFPDJatYMwlcSxwXWnK0dM65gOCgG7Ldan2hvK6s+amlosfGinBgsU3dkkQGcOiDNbrQI3KE
FOuMdVssS5SC2RPDcFKgPb0k7x9ClxXjKyAnWt4TNDkKlvvsXf3BoPvgNbZBWchpvVKk2Z0RnhJZ
POtJR44s9YcG2jlzCYcVGjbjlWGAR4x0Byk2J7jP0+FYTsYXCshqp/eyvm50s/7YacnnmDMtoHFe
mZO6GmqCGk72yU0M32ILldhdNaolu17C6QzK4ibpOPF6ty3h4btPVpScEE49kmCM97Mz1mSB1k1Z
k9cga3k0sJ6iboRV3S4wXzCdgCDwnDTDedeaKc8a1fatGOLwXq+N8vMZ2pOTJm+NxDmkghVWpqyG
TnMLEizeaZYuziQ4UH4q0LdF2CUanrJKAwFSs9zAemKIG2BblCABhVYE3kUNeQ5i0eOtBvu3W9lq
CdLLsKPvS3LvBkg+8t4uhU5fenkUgyKri30aGJ6vd80B6cCXXAtfAk77uuYcanJ5G1iskfOJjvwm
sgGkO9WyVgOWya0vEGkOyAkorsGrWJO21bhhJuScmflUINO2VC3zSIMIskkCkbl+LtBtXfdDN9wF
JVsKIXQ+dt7mHpZw/tVEZ3Kl9HS8S+w2eay6PloDQt1qAaIBI2p3u5SKfns+5XCYyI9Rb5FGCWZD
gauMY1BymdRkDY+IA3wBVB9+ryO4qHQtejog+GwrQJ4Q4VhNCl3Br+nQ8Fvq7EWfwR5naBceU069
8+qn3ty2ThxdUay+0ITgqdKFHAQpQZkPoI4p9XxOrrjUfiyNKinmag/ctr+RFV9kSpYzMGB9dgXT
gIYciqAQlA/ooANfb1UJvh7InKkjbhARxmhGJtuMicQ6ke2V1s0REbe8htqCzmPF5afUJV8VJFiR
Zt4tQqSrTjDo0cLB2GBjp3asdo64jk/U5+LhfPaqkX0aCv/p7cL/DG68bGKAyjORbnMQCrQvZo59
3Dt9EE+JB9iXQtyiYSvb9rkC9og7MFLcs2YkPAVfuZ2R5w7NrCPUlJ9k9ZdblU+6GxnsYQrdJc3o
HF3b2o7zlPTBPXIV85pxmbYH1tVtwgHhq3Lo7+1MA9HmtiTAbfDx3Mg810iOYX6P2ix8sUeMomUL
6QEePjT4dkEow0u3yzE7LgL3FCVLUupQA7UWMaR2EkyrWknuhajOzyKsY9L62CFHq/n1dd5Uai2C
JQsMowIPNotZXeD6qDUZ47/fImcigAUQo3Tk5hiCv+7YoDuJZBY7BQETSg7XGfyrpqMjYZskXRiP
fYrOgZc+/hqzuqVKIml8+7P+oSnmKoYZYGKB8tPPfX0LzJgrGZlJ58VOI2AJz+G+qcmTQruCNaqB
oQ7tXkemNbLeaVctIN7Lrhjl++LJALkBTO3FpdnZTC4T1XkuGO+VJKhvAE8aj9FgZxsxl+WXDn+u
ra/PyNku/Pk+6z+o0vQAiRnPb7+G3+cpzP+YqYPkcxyW90UfuDM76JLFkHhiCQJLw0C0bGk0gxHE
XJQSAqLr25dcHu9iP9EfZQbOeEI3SLwv3nzOsL2mKeWBX3W3KfzMbRXwX0ZaPI0NQj59qA2bfKhT
DDr7bP/21f/QLGROwA1AWzyPsl5fPeOlWmB1W69yScYSGjprkHTNOyv8D6+VLrMJsdKl7/nbmIrT
FE0xcglvNpDp7GD9bup4/KJNzW2j0s9Ti/Lq289l/OnBLAAlLv1tGMDOsup+wRZUeR2QlmQtHgxx
cw2pBDHsVtQHQgKtnMF9Qs0f0y+d7hkyEKdsTCcPiahyNQZVt0by9Pv8b9rbLx3TZY5oS0St+a/L
xYVCYB0pvWSPJfGXopTTj5/Jb4KsfpGO1e07r+D3sZOE++YIuv6I1VOYv34FnYlsn58njQdf7bYG
gLGBX5lvC18gdk7WvDJ6+6tI44+lDnlCdz7WEbbNfTTcACL/3roDEjkSsszbt7VMZS8WvJQKOCVL
na0NHP/1baEyVk4B6FUvg4yC6gzJs10RavBI4Mg0zUNXVMeQJtlfVluWu6bgE2khsORIK56NeqQx
RR6HdZZpAk2B9OnY1u1gtPWqjeNvdrOXLW6XsyAFQZreaqwHHFRfUAWBMhx0MbiSYBsiQrF2wC+s
EfPZ4BNHtQ0YG/05qIUia9FkAwYKRBqkHpJhWPr4GsrPSytrGdudD7Z41uvD2+/mEhHDElkmyRAa
LBRR0UW9eDfK6MeWwrD00LUbsdmrUMVtA8zahoy+mFO16ylEoHOEc7tCe1s/Pyat1bVIK8jcrkOr
FvkmJB9rJJz1TttKnSlRv+TNc0JW2mCCcENLIlnVLp3QIHs3np19ol4HNAfLMhPRHGBeOj7pr78v
vQzifE2ySVIKE125GgBkCyaWUz93Jj5N6HccXSXrrRE7iCKk0a4e9PKdsPr74nck6CLbNJnc6yCM
Xt8FZnoWTKCg8sqpvjIHXozJSojy3n7nQubvkYbRIfZuAM2wz3IuIw1TEL8y06T0/JyuYEzeY0zJ
vKucNn9J54YOh0NXKlq6yzDmilWe4J9sdmpaY/QTbIYyPJmU8NHAvMnJqPeQ0X/h/SbbYqkZc4p3
+tvH2mI2b6W04TTg6u/M8v700RjgMQCViG4D3LuYQ+ZUriZC/qUXIkkGYVvgW5OPmK3Ao16N2Vht
raH7vtRLU0L7qavClylz34lY9m+RwQEWwTzRMpHW/+2YQGixcUrDKD1dFD8sNaFTa0LT69LaXA/T
e1czf59gwT80kIaBY2Tojnt58hZG66IiXDK/RJk2KYtps4wlZ7Qg1rjzSBq4JNQLBXeFHjEsibl4
LsYiubEXMpzQEeRwjekmFTjP9xTeqwTi90rgM4GpL9IrsTXcvR0ffj9HuWOgciTE9qISfHHHtRwd
hOzZWo6GaGvRwJxF+irZdjr1E61scHF6+s7Q8g8JP1djRejQaAjblzspJXUYispEXi+msVkVlqAQ
H7GLKcSI93NLPzWAUWQk3QF7KvtaWTQql54h/XZtm5mFvolQgvR8BkWbNukRBpOWcUVrxdhVZLMl
UnJkl5TdC7vPnMm3zj2R3KBwMhk/71pniWaRpF+7jF8EqnUPONiwOhFG2MMBF16Q4CWMed3HFCEy
aFcM9VA8g3bK0GEXIq22Fv6gPLlMKGGNPZwxgefZRpEKHfs29W2phO2o5XKjzoTC/2IhfbAuSzjJ
mADm/5mwAdQMAA8zYeCbF6lm6c5QSQVhI5ja8B6PTJoClC87U4oWWSsMzENBkRsp80TbnG625EPn
A4zHoTPTbW7Xw5WDa9HPWI9ANKPRCTOdlWhKuWlb8/N5tClKQ4H5yWB7Me6+RajjvXnzsuhex3uX
+EryCuIE8zJ5Ee/rQDCChQLhQU5BCWjEFhYbFraECPvroFYZkhhz9lmA595YTp+8c2aK3+MvWGKQ
d2BeANqgT/o60it3TNQw5pCnU6ZohVmP9/iWtFs3pRNuVUp8ykuZrSMrTA6dwR5JBCfkqNHHRpqD
ujHBm6nTEREIICN4nF1MlBwGQAgHfNGN7iqZimetofl6nj/Q2jA0+nz+GG9DP6yfZblMAyRN9pim
JBrUS49vXNq5UEge6moQyOTITamrY90vJGt0HtDBJqpkgXrhH4Yeqab/EE2cerkLwCZxGDe+HTn+
kFkgswUfD70QPO2kvbzFX/LhnlldHuMP4lUMKc4DgkwsI2GDiRByarh1temA/Op8QKMGnYKIjMGP
PjE8KA/nMcyswwUua2WtOa0f0iW+VfYTJL6IuXj5OWeivwkmZhGOnk3e23f/e9xzTZuMgn2vU6Ze
1kgI/8FGovHiaa7wDJ/54hIqkol25LkblSK+9PYVF4jeq1XtsKbITynKgDlwsF+sKuy6/alOqARp
bZcrNAoW10uO4/Mspjl/3o6hUE98AckBaKRbxoB9W7krqxi7bV2hUSsBsywEy/eCx+VBeb45SV7L
fltQQ8uf//IxkQKIYw3ekxeFlUVrkHvA/IkpAOOydHkrb7+MP1xu2eIglSyDYuK3YycpZcMgMvEG
uaxaJztOGgkViq9qTe34XkV8Buj/GlFA3i7MWhCdANkQ4r9Yq2HdM22so9ALw1AeFSxVYmHtbEah
UFNPICINCRlJlMNtg5wg95Ec/L1haPmtKITz1yAydR/3qKZa3R1UE4xN7NZeiaGvtgN7dEN3pblG
uSj31IC1Vtnm0TG3YgVaJWO6Obf5ron45VFf28vs+iGiHX6IOyDNRdwgCo5C2yZ23XJPDSOQ0S2i
YSMCGa91jK8OI55rdCSrbR1UwstQj7oCy6ExUUnumklH3Rk4mOeYkNyEUUf4u2sxvNskuEPpzNyh
sNhv0tzFFyPkD0JTOxkL2s4Yqu5hIlHbZSlwaCekUvNRWqJtiMxGR86NCCFz6k2eZNYVAFUJDixR
8cZG2h7NehFddXHdDyAtUNLB1duC71O5exSToqNW+rCQtA+o5dwFYWRuoPI0166tITiGnsmXbsBw
q3US+c5Gs37faLCeQGKZFMTA8BYm969rGS3zWmkppzwICnd/rnusFNRI3uhMtsmlYjPT78qqyj2/
HAREuEls4XrxAfHM2bh1ixhhjKbzyqmdeBOl4bcUBdwd4H7EMRWeR5IFtJ00LOxRYGYQntf5jiGC
WC9diZ1rzdrTVAziqJZfHxftXRuaT9IBbTKMNkgS2Vnbrs7we48b952G0+XhBeyPDcUOJo8h0Fza
rRA5DWlViYvK7uzVIfpaTGLf3r2XwfN8CQeEoVSQ+6R+8YKpwiSNgMAFMBCXm6Kn/drXPWXGIlvW
tFbFu0Eq/+2LXiYFXJTYKUhuqCcIGxcRKtBwAbPD2tlVKFRuGX4hwjDrFWO3BMVTi5GeZsnmUNQ6
8q5t0rzT1jIuc3u4P0uCbJLA00+l4/J6VU0Vcv9xVjiIY5UYiI1xw9e25rN4MqmgVIdSta5HtHui
7ZB4qbD7j2+/gjMC7lUYW+6BFrlJLQPodwGI/7qy2Ta1Y9aavYvtRNv0U9XsM4Ec3wxDaF7VfaSQ
69Sbr5AS/VtepLgtRlCneWu6H7BUQruwdzANH0S867IZB68Gb4e8asjuwnKXJWH9OExTc5CIHx/K
NnSOVSXso1MO1SczAJWwQkgI1w3V3sPrw2Kg19J3ki9p8gyvnpEElpapbVkWjWvO5tfPOEUt+sEc
obuOXXUcrHrc6WVgrFVf9Ffnh1BdmN7ryPsu/mvGmsEjJqCzPm9SA+zITAq2sehFrK3QD/YKAdeN
U8RQ/cBzHWDKvyAd0uy1Hsf0zu3nTRRYDwlOW9uyXjT0EbDcp5WNXracofWMTs9Uu9lqi9elxEEE
3Zx2BuFTLDP2XNtlJcagtY+jJ7J4u6SumtuRn9yVdg/EIgweUdjS1ja65kgplgh2xhZBqLuSQ8fN
CqSZgyrsb8zIaZ819DDfXjLWbyctr5MmPJhKh1awdVlrlUr50UzdhAhnTe+k02rUfPoj0rIfskz4
sLOEsZtbA9sCG7VXk47XOpalu09cbBm16P9Rd17LkWNZlv2VtHqYpwYN8gKw7q4HuKZTOFVQvMDI
CBJaa3z9LDgZmSQjUhVnqtluZVaZyQjQHX5xxTl7r031KqK/PIttHrMwbf0trH35viBbg/ayPW65
ijhq26yhI6ynawpJDVxLbJnwg76OoB+2nPJkYveQ7Bl1pS8LFc80JKtyBvTyC9i0Ztn20mVCQXoe
wTP9k3lD/2G20hXO3Dyx4H54gJV3AyokrEBQTjGWSsvibeFRuFP7jiYYb9xlBcX+02QW4ScdLAlN
SiSEOIWPL7221oMONi/03cZJ4iy5CrxJ3hHw2EVjZQBCMEJpqXY5A1N40rxEHDeXS8YIuQjhTAks
aMuypcDmbVb94CtoCfSLrtVudAk+z2CbF64ffOOsA0GA/tQ2qSVz7SHaOMY6Ze1q9pMLP4aUaLcx
x/HUz+cJHueVoDaw0mn5LWlMMtBbfiXsDm3xx4PnZ2OHzoVO0Zt554dNISBtnx4lY6eNjSfcBtZu
elbKBixCp3jtn5RxzR9WLryVhoZCjUquapvvE7yShlqV3NTMsMip5iF96BuEZf6WfFeFiOKkX2qy
G574ova3qlUy4ZVsv5SOm963BTt4q3NndBOvW9s96jxx7I5GtVRQ+fTicMBoPS+IReBPIHnlz87y
fSiszbgsQ5YPteNpZtv+BC5zPFOnzFOlwKKmZBn0So1nIOdQeBRWslhAPfWWPpL4q46QoXMa/u5c
Uf32LCd5F7o4Oo1IVyhxQfZeeBJHG8Rc9oaO7FmNP2ZtRwMzB+Dl40Sk5lGJu+K4k5mWqzyKltX0
duiYxtNGvL0yBsZW1bKuEfBogQZTzXCZFcABiloKT1Q5k3Vqa/Idsb7QXFuFdrbvZxK43ISyc+tJ
y4Ib6fimIhY+tSB2oDwQ4588aD8ZLQwSajGTHn1aJd9O3JUQcZR4qGKtElFOaHD/ytxgccpgjJoG
D8TfHZ10FVGks8XioG68P6WLCByeNGbGMk4SNiA5T8OEitygObLW/mgUf/I0KD9uLDm2GXw28rRI
ZwHj9fYTWsjbCtXzCKBB9bEIBpShpG6JoyChEZWOsr/tbWIkvUosIVaX67JiuhBRoS0ySCUzs0tp
BXSmO+s5Oc/shoVKbvmq5UwvESUo9Sov+CiByMrzpGK6NtJpcSdYhZUniHdGmt0P0zTipQZg7ok9
BoL2Hv0idFGBKjTMAmnuUZu8zCwWu5Fcobj1oyVdhqcC/OF87IynyIzvVZ/3Lsl1vwSxOm6pa6kL
pYHgbmflZTUy1hWJmX+/tOYRW63S8vwbFGXagqyH8UxB5ItGhKfJBuW38hmC28yP5W1X61MwxrSa
JsAEvZx9CdAYltqkwcY5PauDyvxRJs3wkI7Mb1HLOB8LhnhUEiqOspi1J2LaJb22IForkpbcN420
VN5QDsKanBLWelvy6QIMRf/y05jxDnRWWpamxGk+Qxkyb1QYD6AgB1D9XCH01WqjB5HJw8J0ESgd
+4G6J9Zb6auNX8vWsVLQwG9gTWzs2rPgSfOEpj5/BNuzNE9du4ZjhPgbzTeAE68qTwIFFVFauxnr
Ah9TMpTwpJXGcZ63SrVohkys8CjZGzUJuHexYa3iUVwJsHAJel0wtrq64elsj/DUwOzreGo8Y7BW
xEmwZQnYRu8fd5u4G9wQhAlJEqtAbrPT8WGtwLDTag7tfB37p+vf5vv8hJwCBYEJJwg29r+PKpg/
xn7w2r352196IYiZB1OOJsABWmva9P/f7ZumOLAUTIG2SYFBm+gDv9o3VevA4gDO3EEyMaXZyQf8
AirgR2RI8rdwfjKfUYv/OwQxmwu93j3rsjV5kHRdoRCME8l616ENUiNPeHvFKiiJfHaKrqgvm9br
bvy2bk+1vrtkByidp1o9gQRiH1GQbgMbyUFqzI0ujG+TqGzvyyILNi4SigVCJYOcEbtxFB0gSRAj
tu6F3J9zed+pwi7feUESPwI3fuimoIFupEZfhDTk4WJmu9zu3EtmTXLgCoUGbKYn9xmo37mkDi3O
gQhQQGacoyFst/EUa9Cj8PyihUJeyOHoIhi2ibLAzX+BtvYGzhDEIfDu9LyKfiEkqVvJaV86JEvB
mp4M4M1QXJDa5y8Q9WWAkMhWyHsJzRgZ3hd6oksLSCgJrgbiGzjqU+pxgdMg+u+u1aGHIa+68ZPt
5ulRq3n+g0Wpg0yxqn4gPLy6DLFcrXDyiRbBsGbP9RbxzzxMkAQ5hXCVuyj0B2JDDeLGEUAcdUrf
DTN1bLJkVhV1f6fBw84nIz79sEJv5duMfhIhcsx7juUptKHL1jhG9xkazmBG1hdLiqutXyhJOtOs
EeXwiPCse167/21P+/9Wl/fL082T+gdTwq8mb6SyP5ka+MsvU4N6gOyFS7JjpvS0b6a9xI9CI0GJ
ZdFMoAyJIIut7wtcUJUP+Amhx4I1dpJVcLnvU4N8oHEMxuJMHWvPPvlbU8O7g/VUMtAIIKE4pIBH
NWR+0eviARJTGgepotMkD54aU5yYJHLlwr4M3Rwyd6gs4oEabCu5l4Gn4qkTt2ZJ9I19R3hiTAfM
27r++CVqxIrO2VLBXBMC2SxxOxjsXuKF57bHKOy+FKq2IuFimUN8D8dyLeckfbkLPc63SjkTjbUU
HX8X1UMclmu9iDeR0M5EaZwYApJzoZ/prkLd1ZlkNL3nLwdyr6y4uLCk/GLsEW4JDf9sRtqo7MT1
wxhfDB47IMjrRi+QsHfHZm5tGuIQqXKepHr/JScAj5rsDiXNIh/wsSLdD/GCDap7OSKGnFuuflkJ
b01Y6Gni6rT0fDtxKqNcj27XOqEXn9UeKQA5GKjAaO/q0kZ3WN5MBGjHk3X8FWJTSNECgdBXiTi/
Ik+OpqiaVyNv91wGeU2Ded9Vf/4SIURSGWGc0SR++yWSa69WvgylKC6KiYy+r52Dsjo1huHUBHdM
ySGaRaO5kJCotnwzf/wG3p+mOQvi/6RpIigwTue1d3tgTJBWBqrKXSBYRkkXHEFHWxIwpTjtYBiL
yFdBaZEE2rjjLizGL2ReaUcsoxJkOHQmpvM4aHW5JENR4CzQgqWpuMkC2vRRDyyFaJRoJoAobuQ6
gtRWyZRh4mS+SrsBqxz5Iw4iokVHKx8jwRQ+7xpr19a2RY/sxMd9vmgq9evQuYPT9eNZQzDCWLGd
5dm71gp1C+762AqbLRDf4pBMS+85hvpvTaTHwdcyq7Kn+r/ebIL++V9vZsnf/VNv/lL1z/1FvMds
wk+8+RciHyldnDWP5XD+CF6+3v+Clz/5V3/4ArT4Mwbr886JysnvT5MzH/BF4N2X/k/mSP7myxzJ
Jgkpz3RQZHOi7zGrL3MkIAtQK5P+d1LZmexsvvNXmSKxJDIP6iTRUtVm0L9MkYQ3C8AXCJuoFCo0
a8XfmSKVqXD9qvaoT5ING8GUzbvAtP9eSNb4woTzGQ4r0ZXFFTkv5k1hKt4xIZ5TGi246Ntakh/c
SCkfST1O79jxsNqTIdEs9KrLFmYLCd00JPumVNrssE1yb65YQfzNiL3men97/9ZQu8wS/vevjbM3
o/F/E5kFQTE9SplN9tSunLKi/2hcHt1/u4/ejEmaCD9e4Hl4Wiy5LMWaUFDDUOX/Dc5iqgdoSED8
InzkH6Yd/PfhaR5QFWJBpbhKTYCuyG/DU+WwADmMfT0QY5Qu5t8Znpbxdnz+igfeT8qvurN6XGeR
Atd8HXdmsoQPS0pbmKPZnuGYwUml2em4NaXUWjVaWR3KtWEeZipJ1U4r6vCky0eSuCEHGcncZJr9
AsCpQSdrDV/yMIHhSbERv2eJiI8Qia6wz5M8rM7MSNYJESRshvwsc8wC0ESeRwGZoy2RTxTjMg4A
7O0fWnwv+abNMv2YaADtMO6V7r51h5Rg04jieamH+SpL0jKZ9J+2hxq2EvKaTqm4K4eI7byW2f2w
GuSaTB81jtuCAETJlQiX8fVw3uRKWByGlgjO+tw0sC6MZUFDrUkuIL/31Fjgjc/w8otbdYiSXd8r
A3jRVoXGWYZjHC/VofAFPX5fvi2wGgCF0KQymHGwMM97YhkzB89q+zU0pP7QDhP9UCED4NyY1K2F
FagXqhE218iqjR2gyeScXB+xkmrdXrOrGVet3JNNJgnTPWrZw8w50VD780Q/V9nqWMuWZh/wNrXx
vyIs4XtkT+/bi1gVLZXlqBu3uSS0p85t+wsZT+VjAGASq5mXk8qhRvqpTbKNwokmpBRE1qZ3Zepx
iycUU9/Oz235ZAjDviPdlz2XAxKmXUVx4PXsW3CaUfaTvhAFCUFFdKZ8ZWGFAhojiiFaBKTg7AjF
VB9CmsErPKcFReo68pxe9qodLHoJjXyeJuYiyV17C5erPgpBPRdOoZXp2iT1hqJKUhBngyG0voPk
AgrU0Jvq0QPPc2mAAiDXWq9dxbGIW4QQ01jHWV4iCfeyNI7nta2rqwibqH1q2E1cLOohTIE+T31w
KCMAD447jFIB3vsi0xdkhkvakiKU+UhZyNXnflxQDcvDlOD6qdCvzCQ7gapZG2V+N+qxfyOrOYYL
4hbT0wQjKwEPeTIQANXFSbc2UhP8MjcWrF+gQwZ2mhb31EzjF/UQuwb/3FD8ouTuE+uZVJr7FIS5
ORyWseo+Rq6o11ZYNMrXPG5hRPulUNqVlrh4C/hdNS4skr2zHbZT5aix/dSFChdbG7/rqq/k7PQL
qcwJZpWDhH8nWEE6IrY6iwDCsfPWs3EMd7UPXI9ABdfYhN2QXBW1p38bKAne9h40A1y7Loi+lGP4
TJEpiIayFOlA+NNuk/sEXUAMpKmK1QeA+ZRUFVukPUc1RVPba5aDPXEdOM5bj3ZbCpVQYFtZWCap
Ng7iYfNMbsDttLSzUA0nTX9Bb716sEujug7h5p7o/TgujaaqM5LzehRySHraM0nSq+uuNAynNLps
O0IMpo0AfH3RW2FOrEzrtkj5COp2gDVP/feUlGAJIi/GVujc10NSRdtUiQx/QeO30ghj0LMNwYG9
6igEGlOzSBMSmOSOiDjfAM/XhqZYiCprydhC/E5MVmPiziFX5ziO4uFc2KNvLTMIzu4iNoYe97Jk
rIhnl0k+jTo4CnyNtxj1x2+1VHliodbycCzTlCGl0PeObVo+vqOiBznvkjy4aFuJRIq4FcpG7lDR
6kQMnwdW155CnhI1tsCUamzWpDdZ5puLduz8ZQUZ6rJumHKwJcE2CqMOri4OyAAVuUwSyKhb4V0a
dNlpGIMdriZEREgMxKZxy/FbM2hEpAxU95VVFGUapL524LtvotyHPNN5+W2e5dEtmxa1OyQfXANe
0hMDyhxeX/Ht4IeRB0851RLClgFOF8OhZPQd0A2r0uxVZtElcQOpiWYyfO+csRpmD7GhictabxiE
BYweRN5dEd4pmY7/v4Ab4hRFmYGYbvQa2pIYVX9GWhrmXmSWY7AiNSP/Alw5jM5VK8POCUaZSYdT
E6EigBLVrR8OsF5bbv+4MIOJFCHyoe0xbXWavinlodLQa+TlsTcGLkmFJATilPVw+JcFyIHe9/wn
H6z4PK/k4NJTS1i/tMNYbsw4slZh4Yb+LPYyc+EOSo7rMDWDtZ7KjYfwpugP9bYgCksb3PiwIWF7
nBktaMBZnNXZiRyqCEwVryLZ0wI52+UFXX9pkKJVizB3o4B/JiyoIaquTxSjXxZQJ4+0UpFIsyL8
m+Ov5mMEOS2bHpu5z8kBikrVjkeY5fNFk5DK4ciFLhP+S/jwg1lE6UKOtS3JNh3wsJiEWSfjHZ7l
mUkBLba6Q3KlZKi5Q21QgqPPCuq+k4O5V5vQpitcrtcJBm+st3W1NoW1qiuKzg7J8rcwwu1tLabj
b4SQ0fFTOz70Ndp5PC6AfeYBiaKyw7STMg8Z0qpUzvFXnKlKRk6l3I7fYlYDFuqgvozTmOjrMetn
A6CvmZ5W9XkKU+VJZ/FZaV6tHWq2uDfLTsxHUg7XY6d5a7WuqiutN7S1FRkmj24c0+eisvpYBLYL
mCpu7V0D+2MZgXzqZ6Np5YeKWycLMQQNhz1lLCCtBWUJOiEEnKgV9RFKPkAIrRsdxwYT+SLs0gIj
OcSWYaZbitQ4tYDvP0OwoMAxGGyyOYMi2owB8Y9qqMeHPUMNnGUdbkc70LeN31ikfOZNdWMzzuaV
kVpfaZAT0ytSvTjVk9g6TxPZXId1TXtSzyG+qb2kfiPtRSVhQUnPyN6LnAITqL5IIk9fy0adX8kp
R9Ku4evP7MK/SfzITBw83yMNCeGRDWaG5kka2eKrEtRUK0q7y2aAV/Kp5EAltqagW6hV9bX3lHwn
atGTSBAS5d1FoXdSGZW50DLyncn3C3C5xDlR6iMthLtk1MJhltHcuBJ6oJeO0SXeo+sXPgUPSTsK
m9xMZlMCbeN0ea2wgGZNcws31eRYUyAgQTwsMwG43q0pkxUFPbrFcSV86S5CKhY4YR1SabFDsfKJ
8DudKt6Hdt9FT7zfcoc/Z3iwxwbv45gPFduzoIxBmJdWfWkPHVXWsOrA8mtAqQHqUM84s7zSWpqD
0X0ZUYwszSJN7lF9sdXIq4ig7bpyu9oB8ADwWS00b8VX1R0pUKCZHQK3PAtKTRRsX0SEwHyMmalU
UiXiRd74ZXBohlKTrZq6LN1NXtakOFp2T0RfrPjKSZXn+rVqdpBbVeIyBvJQE0LiexphOHbU0toG
njmSYa/3VT1vO5vYGwsRijZr1EKQNj105W1HqEOIPZ/+2CwYY/c4QKgA7L4W/oYRYo+zTA3qew84
hOrgDlfOo9bk/ldWoyOdTcJmrfZJ/EXX/eI8L2Jq9iXnofOQov28VVpvJgET2gaVYZ0qE+A/2LP+
GQWw2Vh3cQebKik1TjRFAwxxE/i0LdkSOF1Z+enCCyYmvbJPFbD2CQNdS9gAIQvkDoDiI4Mg3ucR
ZPtsAnWfU8C34Hkzgg3NlcDvcB4TIV/Mx322Aeh1/SlMJNuYp7akXNlTDEIwBSJY+2wE4ilZyWn0
kZlg9yH5CUVTYAqJwxDiflX7M3+KWqBdEJzXU/zCsE9iYI85YnS2gsVoEtKwh8KUJvIg0FWWWA77
PAfIFerC9tHpW/u8B7GPfugIgZD3eRDseskcKPc5EX0+ZUa4Xiw9xSih2KM15cbep0uMbZERY5T2
i9LUeEz0KYiCkd0odDWIp9DsgqSKsIUV47YTlyBX+10mx/mAz3HKt5D3WReMKnKIpgAMlzCHjRYR
ihHt8zFQNE9ZGa0K6KXUpgwNk0t6V/QPeU9KqZGo3ZkkbhQ2nYgsDtTzUotBKsRyBEXeLUjWDBFI
mA0+rLLE1VtPcR7C1Uj2cGV2gM7gwVbwUjhpzQjNyN3ngRhTNIg/hYRE+7yQfooOwdhMiMg+TwQ/
GsUxisPSJXJRrmJN4SPePodE3WeS1FM8CRil8itRimyaR11B3iR3uedoamBvLTdLkY3JEZ5HtMsr
WaqaWVugVsAd2y+8ErWZUIk/gWtkjhsddAZ0fbNZQBBtadxUDbqXWj/UNVW+YR+A7oXcQ2ScoH94
aOLMwchMT8imOToLTS+Y92HUnGd6Q90z0WI0Dm5BKm5KHuqZKY/xQiFBgO4W3rCtnKhsp4zIXajC
fWCfaq9knslF1tTVQrdt7w56dP0wYGiCXBMAVPEGNbrzqsw880al6h1OB+FhB895NZKuMRu8ur/s
yXUb/Fq5JUjXPzOCkudSnbTcrjB6UjHbbq3nsbcVIo+47yI4tPzYJkfEDIxVFsnqdQFxiDkqyIDT
BFKiLX3C9sBF63pOgocXspuNAvnBYIpZB2xLFxEPTnXcpfFkKtU4HOPeZ+8KN4nUOW2MNxlggsCR
kyC7JGvUWrKFEzshev1Cx5u7IRJF2mWVoS1IrqsGxwtFe0nGu9c5zLzqBmGntTD71r8kBMW99YEw
M7XhtWF69IIYKACJqMA55OQkRSN+qLm+2LV0HqBsW9YQOBock2ND0pq1H/jaSQBjwgLNEIanZVx4
w9yQ0Vj5cmNu3MQDk+Y2YX0xqHFw1cRNuyMK2sB06So7BWDJY1H51bK0yWp0hDr4kiN1unKt1hm7
eiUKNzDfwmO8JDUwlJZaRlKTnxI0jVoDj0rCTTxxARsyY1auVSTod6V+o+aCNNRY77dSzIeNTC7i
kG5MkGINV3phxFpzXbLUETjQFfFyslnPA7hoFwTeWpe1DweElLwcXXzud3DgItAmvqb2xxks3Kmr
31F9100/vVQSJVwKvcVlrqtPJodBVuUiQujfN1J9NOi9SUtFLxdtFFnpedzrHbG8RMzhHSkya9m0
Wf0t0vth9h8czuPcTbV4rQ0GO5q47IlgFaQZO/RijdORJaWZg+oDX/P/pdT4v6qIODUyLAQBEyle
M+jb/VERcX7/rbx/Bj3fU+L+ZX3fPsbBLxCgf5n/Xntw0s398CtequDaAUoEVUcMYBgUnV/FkE2d
QiTVhqmZ2kt9/FWncHJek11G1XPqIv5aZ6SJSLlacD0+znRJ6+/UGX8QOj13mVQGNfBaQAL2VId8
VW/kuNSFnoAD53ZXSFiO7Utlid4Now7sfneGrJEGoFyda1cE1dtEioRXVREsg+Ta7et5QN3OQusu
R8kdO/p55GPqA1knLU2rXLVsKtwq2fjWw9BTvcm9ELbZddPdsRVaSNTw0JVeaLnErng4BTyCJvMw
t56IaozXrrhs1RPvm5/GTmocDTSJ0g4WfjNzxRPFKrSqKvwmtD1iY4R1AgJGOWF6nA+dNIv9YZVM
W0ECwmY9YjuONzw+5TJUam/aGZ/0/h2bMnb43QPUzauqls+SYvSRCEOjMbQhX1QmEq70ax2fCqtl
hgHCyMEJ7SGzZ8yeuKTvZKo7JQwvvHjcaFpJ+Ly6lvTkMJJFPMOoDGMCVV6eExkMhawghQmXDTUO
eRcjCu3zkEVRyx6NRk9naaHfyiFJ83BxIHotMrQaIV4QvSKNQR9mZQ2kS5TkRVXHWlDvaozrFEe+
RqbY9RnvFTm3gW9R/dIHwxVB9ks1sYkhx3AZUrbGOM3pQ1AGQmcR7Dzol05hV8AWSQIuqg7/2Z+I
PDmnveuxTA+FzHxsKvTJTerpb8dW1MpVH2QSseRjclXW8KZ0vdoRcrVmJl2AOC/msSnIwk1XcX5q
JP0KUOG2TqxmPsha6yQVgRsuiioRxOtIItO76ZYl7EWncbUdiTXLvjcuUMcA7QrZRGnBtki3cqOv
yjzdKgONa2vBwuXkwXhmxP4aOsqiVOyTmq8wH4InvTTOjeiWDD4AocYMpA8p7CSxK/6MfSsRSdoc
yw5+c3Ou9tmclKk1RoRdaZTLVtN3A648oXvH/TBtcZNV4teXYY5cTxGrkdgE5U5QgQzH5rAQ44mc
UXeSMq9wTJMShM2ojIZ0mbc0VtNjs4hXsGMcI7EeknpYxzGEtynnlg2PDLllPBrBiFiWez/kxjID
eZZwQYeuJ4uMMhwyXVyrqncSppdqWR6XRDRUSneZ9neEY/bbXB3I1k0V87ZwNVIm/PhGQifn58pK
hAyRTuhLRdhrKr3fZCgWTpsMp97QuA47PWNusx/cFh1dATHevZpdf9Lnfm+B30+doNU12ZpagrQL
346SMZOtqOxSdyGy6NGTmms4Xiu3VO4KzlljWx4qZnleuNHJ2LSnHtSxEMZ3EOiOElXFsi7Mo8jA
pxRWObGc9inIIOau+ryy7HTu19Eu9Ft8AOmfjG5aRO9GN7oPapgwCgw+wiRPffu+Kw5pdEeAyxRm
aTqhqhFGwRs2slnfjLFTEoXixj4VGebF3BNr8vkShFHNvWoueworhU850JSo4mPzHCe9I2PWI7JU
DdZmg6xYFTGMJ3A1LlXmuN8FYXORc9IaNW+OOOCbZ/QXCZ460C/1PPNLzscBXZ1S1BmVV4upsVWf
ZMobE4FXOqIOSGNzzGvoF92537a7zmq2uXDJExTpsd+iRxTCvivMUXG0qL1EcHraxjoRlEb+lEK/
WxhaftnV0hNk3nhmBeJJSPFFJcIbaEyrsq3IvFeecipCfo8LPuUdeAUpu7ozksVR+8aXLlFW6LHB
oZcPnS9B8cZllnQLogU8uZvJLT7syLhOc87IAe5st18guD0G5ryr2CCDXFGxztlrSUnRtDXNNcqO
qwLOBpWamzEqrjyC1Bs1HeftdGiR6rUWkv0FGhq61gXZZ2vZG9Fwhl9dOb+IfbD9qjbnoELvyJiL
0NoB8NxkebfrdPzjsXWRKCrnlURg8rUXtoLrhrhXz5eXfPVHsoJAAU+c6INrytBraoOL2iQvkFpy
dlS746IajGVtx7PYJM8TJOp4MSlaogBea7O1iXQJU/e65Bau8GkH9CawtafJiqyVhT+d6Uutfop8
DhG12DWyPi/K8LZIxtqxp6h2Egzl2ajpFFSEWV8Tzn6WeRqQPBQjaUkzxs7bHQGIX4tYb+HmPwVW
QmSzfa1TNXWl7Bvyi2XejOmkrjiCLcHfaLNdXURrFZ9xmOUXSSfOIy/c6urQzUdXOMVoDDMJEYgr
1QSyN0jYu7nrVSkr002odmtiydbJRLOGowh7tU6uND+98SrjqC+1L3Ft0S0RN8ZYXPZJAxMzbDaF
az6NqrZ1acsvuqoRTqx45J0K02nIJJiXnhXDlRyPIo9VS2SncB3LlVnK93rFuQ77+nmmDfeQ7DBO
N/UNNVWfuHlBKcYedqVeX7WjddiaOZVfmfJ7tIlU44swFRL9IHKpfnipVALASLOV+x6ez2gDGozn
wNXWUtfPe1neJcKbR4b7Jak7xITQCnX7XDTSsRfdjhzvM6uZ2a5/UrXBmZaMkFiNL7RCn8ZABcUy
zPrevugH7VotYC/U46ZUinNXemgj6wlD011PB89T+6XS2F9DXZ0HidnOPMM4d+1HDPFgBxa6dFJa
J7lyYminaXMetsGulJJ5o+WO0M7bQQVhY10B9p1w0rMMnHYqMBXndCbDxygYENZw/qluTPuyo5gc
9LqjIX8M/Lmi3jbeheklK2GVjqWfScAHvao7zxqV4SIdh/J5T5A1naMj2Y0dcwAgwxoVCCr25hLg
5yIKIiL4cMOKU6X7apMZn5jaTd3APR54riP1xrJ3Sd+B7DmTPULXmCuvCYmKZk1gzL3goQMpmjRP
fZjNyDV46DUtXtpt9SDlYh2U3joKlG9tF9YzGmsc7TJ7PuBOop3SzWn4OrWdWZuQCqsjtTaQCC/5
gi/dW/TqoH+TSpWOpIS/nw7+ssvGrVGml75XmPMxVC7tSLrNhuE6i8ZLQJG70a1NTAb0jLWUngQl
RogJsZUuTMGhq+3Sr6B5V9ZorukdTc3GciZbbKc8n4aZXnhOSdBjh1EjCbv7GlN7o4CO6lxl1hBP
PgrzIWnbQ7vzH62hubRTuhRFqK7DcPDmGWGFju0m0cI1ZViM6P7Dlvo7TbBcoS4+6kdZrj2RCjQL
lZVXi0Mdy4WSlcdRB8ZZ0Y/9wjgZhnploYGCo455pdSR7+qdIc3p95NLaZS4iXW7XsSRNDj/4Y+c
dM2GbVpu2LtIDUGjW81lICc35eQDTDKf+MDKPdd85ZB7EwDiRM+r5givMtOsZ2baNI4sWfySRFz8
vzqOfkA79aK7mWRWP4inUGGhlnmRVu2yIK0vs3/tD/3xhf6iGgsK0qvt1PSO9+9pLwX7o0vE9yjG
mm9EFykGqUGGAWMIWdX+9Y9f4iz1Xn5s2ge2MDgZY3TZv9jmoPx6dYt+7yb88ef7Uaf243XefAAe
mrSe9G0e3K03urLpXPFGjPY7t+DdFX67BSraHIMjOFEzzy8KAG9vAfIiYaG8ff4xqp7/kVtw/y0J
UtpudRl8rd/cAkq5yv789Ffuw7vLvLoP5gFyO+RzBIjsX+iGX90HWxwoMsUIyg3PLwSfn+s+qGiq
/9pY+P17IBgLZE6SHfjyKd/eA5UwyUkVOPkgp9f/1OPw7gM87hWgm2///Q+iqPjaPjYODCLGIGVB
B/jZ82DxY0LLqDE9/6J//1zwux9eQdAOsEf+8ChQDvA+AlKkyLB/vZ0RLJUim8I4kD/dHYA4NtER
PjoC1ANwwxNewHj+/Fzw1UxgKkwUHG6tSSQ7vZDhfq6ZYLoNYIQ/eBtYG5n5sWRhxnh+vb0N+oFs
0GTGUv/808+3MGiQ7j54E1T7AFU1Rlc+3esxwESJXQ2qCGC/6fXpVgOsLepHP7xiH8A+kycd+vOn
fDsRYPSjsjMZnV/Gx+cbATgzPvoYaMoBCmuDCfGns6FpHqC/BoWJq2n/+nQjgd2RbNIt+eiToBEy
De6FCeHNo2ArU/j05Op6uT+fbxS8rIsfPSyohI+yDZ6Azs8DnpL9qzmBnYEhkNSrtMz3r0+3LiDn
V56/nXenuL9xYuImQNGlMzdx215/evOAyLrJLfBpJwMiFTVU93/xwPRum/XbQUExD3jUBWXtt98/
h0Uq9NO26WU+5Mefa19AF/Nls/Kvf/8Eyuv4qcE+MLxfff8sBjqmax4ANk7T69NtDpXJk/LxSRAy
i0LN4GW2f7ciWgcqWHTMqsAgp9enOyCxGNBx/8Ep9DtFg999BlQdty7GboxHzx/03ZrAJMEZyjQw
Aj2/PtujQENtAqV87KRIxYAGLiqEn94EC6KBycLLSfH5ifiMO4NpMHx4XWTho2ygoNT49dt+NTOw
QVDhHFscmX798SebF593SB/dLrM0gjOlfKS9XRjIMycCArMnKQX712edFT58A8QBHMSpU/0y/b2b
FfQDjK6Kab7MnS+Fik9UQYEn+DJl/+sLJBokA1+lDh311+H+6mmwuAkqOygmzudZ4dNtlydB1kf3
SKo4ADJH8YBl4Pn1drMwbSJZiRgMn/UmELDw0ZuAKdvCO00kx9utsmkcsEsi+Rp8wf716eYDzjDi
owcFRTmgLE8tfeLOvnoAzAn0Y7Jmvqy/n+jxZ0ejP2/aP/D4i+dyAQyj59fbHSLGakoJNFy+nyE/
3Xf/vYr80RvB6OcsjEEdWcz+9W4Y2AcT0Z7D9PNPJ4LTX90V/IUh82uncuZDFdj3KIPH6hUk4k//
wPcO3o8XeOnMTf2GSdb35g9OAInnSz83JaZ//+ebbfS+e/jqh9+7ifvf8/LXXz7gj7/6ze/6/qm+
/8d18Fjel1/9Yf+D4eVtntwnNDpR6Pood3fl/bfHyn/TPtt3UX97Q//9jzdv99Ue+Q+vX1X3yevL
PnejPnpZJ/Dvy9eXfW7wfPSy6/tyuE/vX18Y8e9ULP7wlYPk/qt/H//0Tj9XIz/6Kw7vk6T55f/c
J/l//rK9r3wkFN/f935IGiAWvv+Hn/JMfj30/NEXur0vUxrq0dubRKGTteyjn2DLOI3fXfj/sna1
PRHCMPiv3C8xUT8YjeBFMX7uwQIjCGZsMfjr7d6A3Y3T0H0ldw/Puq3turaYyAQV+BnwYyRQfTP2
5Vkakeh2FP7BfpFkUDVTfA/Z0AKV/kvFkb4nqpk7h5QKfFSVKhsmxBSA6057/sF+sRxV38LJ4xjW
1nmisn6FFrDUDYKEB+edUrHfOPbODBSWiwhQgQv45N0hh0qtJeIcKir4u5RYdBFR4s5zoeJ/sFEe
7lhfQxewt3FjKnoGqMxRYUkRrHF3U0VFf1AtogeZIfN1MBl7CBjP96tUXLTKc9VMzsvhhLP7OHbY
QGpcyx+7PmHDvARK/Vaofts8zXk01GFl/GcQoTvgLqESWNhCYLV5uIKWGy4q83h903ouzLsw0uWf
7debOVZQ6an2SMZS2fBsAjFl0Gs5RcATGPCM1ejjwBTsChdaxpgPeRauNJ81qT77hb5ZpWbZ688C
UNn/2QCOOIT7pgEp+XjRYm5J/6EOwdgZ7BZ2vjrdGxL4Uk9oCjbxEyyhguHWqs99/OUGkCqh/3ZT
I851XB/tqbe8SiR23pzTXC9PoT59Nfa38Iitf1F2DMTNLwAAAP//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</xdr:row>
      <xdr:rowOff>66675</xdr:rowOff>
    </xdr:from>
    <xdr:to>
      <xdr:col>8</xdr:col>
      <xdr:colOff>180975</xdr:colOff>
      <xdr:row>28</xdr:row>
      <xdr:rowOff>19050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583005A-FD41-42F4-A9A3-4F302C1370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780" y="1674495"/>
              <a:ext cx="8075295" cy="4158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76200</xdr:colOff>
      <xdr:row>5</xdr:row>
      <xdr:rowOff>104775</xdr:rowOff>
    </xdr:from>
    <xdr:to>
      <xdr:col>14</xdr:col>
      <xdr:colOff>438150</xdr:colOff>
      <xdr:row>29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694786-A00B-4EDF-9370-E55539E12D6F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312965</xdr:colOff>
      <xdr:row>32</xdr:row>
      <xdr:rowOff>25851</xdr:rowOff>
    </xdr:from>
    <xdr:to>
      <xdr:col>24</xdr:col>
      <xdr:colOff>149679</xdr:colOff>
      <xdr:row>53</xdr:row>
      <xdr:rowOff>149678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66BA88-7FF7-472A-814C-BCC005C6C5ED}"/>
            </a:ext>
            <a:ext uri="{147F2762-F138-4A5C-976F-8EAC2B608ADB}">
              <a16:predDERef xmlns:a16="http://schemas.microsoft.com/office/drawing/2014/main" pred="{6D694786-A00B-4EDF-9370-E55539E12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219074</xdr:colOff>
      <xdr:row>28</xdr:row>
      <xdr:rowOff>161924</xdr:rowOff>
    </xdr:from>
    <xdr:to>
      <xdr:col>8</xdr:col>
      <xdr:colOff>204107</xdr:colOff>
      <xdr:row>47</xdr:row>
      <xdr:rowOff>122464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B49A5A0-A8B4-471B-A41B-889578847EEC}"/>
            </a:ext>
            <a:ext uri="{147F2762-F138-4A5C-976F-8EAC2B608ADB}">
              <a16:predDERef xmlns:a16="http://schemas.microsoft.com/office/drawing/2014/main" pred="{4266BA88-7FF7-472A-814C-BCC005C6C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504825</xdr:colOff>
      <xdr:row>5</xdr:row>
      <xdr:rowOff>0</xdr:rowOff>
    </xdr:from>
    <xdr:to>
      <xdr:col>24</xdr:col>
      <xdr:colOff>152400</xdr:colOff>
      <xdr:row>28</xdr:row>
      <xdr:rowOff>76200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D6DF63A3-52C2-47BA-8956-74BC8FED2A9C}"/>
            </a:ext>
            <a:ext uri="{147F2762-F138-4A5C-976F-8EAC2B608ADB}">
              <a16:predDERef xmlns:a16="http://schemas.microsoft.com/office/drawing/2014/main" pred="{AB49A5A0-A8B4-471B-A41B-889578847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176892</xdr:colOff>
      <xdr:row>48</xdr:row>
      <xdr:rowOff>40822</xdr:rowOff>
    </xdr:from>
    <xdr:to>
      <xdr:col>8</xdr:col>
      <xdr:colOff>190500</xdr:colOff>
      <xdr:row>65</xdr:row>
      <xdr:rowOff>108858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DBCB0A1-D769-44F5-A635-D4495C9A8891}"/>
            </a:ext>
            <a:ext uri="{147F2762-F138-4A5C-976F-8EAC2B608ADB}">
              <a16:predDERef xmlns:a16="http://schemas.microsoft.com/office/drawing/2014/main" pred="{D6DF63A3-52C2-47BA-8956-74BC8FED2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16196e134b82b54/MALGUDI%20ASSOCIATES/PROJECT%20PLANS/ORDER%20TRACKER.xlsx" TargetMode="External"/><Relationship Id="rId1" Type="http://schemas.openxmlformats.org/officeDocument/2006/relationships/externalLinkPath" Target="https://d.docs.live.net/d16196e134b82b54/MALGUDI%20ASSOCIATES/PROJECT%20PLANS/ORDER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RDERS"/>
      <sheetName val="DISPATCH"/>
    </sheetNames>
    <sheetDataSet>
      <sheetData sheetId="0"/>
      <sheetData sheetId="1">
        <row r="1">
          <cell r="G1"/>
          <cell r="H1" t="str">
            <v>COUNT:</v>
          </cell>
          <cell r="I1">
            <v>263</v>
          </cell>
          <cell r="J1" t="str">
            <v>AMOUNT</v>
          </cell>
          <cell r="K1">
            <v>419158318.67000008</v>
          </cell>
        </row>
        <row r="2">
          <cell r="G2" t="str">
            <v>ORDER VALUE</v>
          </cell>
          <cell r="H2" t="str">
            <v>PO DATE</v>
          </cell>
          <cell r="I2" t="str">
            <v>DELIVERY DATE</v>
          </cell>
          <cell r="J2" t="str">
            <v>DISPATCH DATE</v>
          </cell>
          <cell r="K2" t="str">
            <v>STATUS</v>
          </cell>
        </row>
        <row r="3">
          <cell r="G3">
            <v>1390750</v>
          </cell>
          <cell r="H3">
            <v>45562</v>
          </cell>
          <cell r="I3">
            <v>45604</v>
          </cell>
          <cell r="J3">
            <v>46102</v>
          </cell>
          <cell r="K3" t="str">
            <v>DISPATCHED</v>
          </cell>
        </row>
        <row r="4">
          <cell r="G4">
            <v>3350000</v>
          </cell>
          <cell r="H4">
            <v>45588</v>
          </cell>
          <cell r="I4">
            <v>45630</v>
          </cell>
          <cell r="J4">
            <v>46087</v>
          </cell>
          <cell r="K4" t="str">
            <v>DISPATCHED</v>
          </cell>
        </row>
        <row r="5">
          <cell r="G5">
            <v>607395</v>
          </cell>
          <cell r="H5">
            <v>45638</v>
          </cell>
          <cell r="I5">
            <v>45680</v>
          </cell>
          <cell r="J5"/>
          <cell r="K5" t="str">
            <v>DISPATCHED</v>
          </cell>
        </row>
        <row r="6">
          <cell r="G6">
            <v>105000</v>
          </cell>
          <cell r="H6">
            <v>45660</v>
          </cell>
          <cell r="I6">
            <v>45702</v>
          </cell>
          <cell r="J6"/>
          <cell r="K6" t="str">
            <v>DISPATCHED</v>
          </cell>
        </row>
        <row r="7">
          <cell r="G7">
            <v>349600</v>
          </cell>
          <cell r="H7">
            <v>45663</v>
          </cell>
          <cell r="I7">
            <v>45705</v>
          </cell>
          <cell r="J7"/>
          <cell r="K7" t="str">
            <v>DISPATCHED</v>
          </cell>
        </row>
        <row r="8">
          <cell r="G8">
            <v>10429405</v>
          </cell>
          <cell r="H8">
            <v>45698</v>
          </cell>
          <cell r="I8">
            <v>45740</v>
          </cell>
          <cell r="J8">
            <v>46109</v>
          </cell>
          <cell r="K8" t="str">
            <v>DISPATCHED</v>
          </cell>
        </row>
        <row r="9">
          <cell r="G9">
            <v>2586605</v>
          </cell>
          <cell r="H9">
            <v>45698</v>
          </cell>
          <cell r="I9">
            <v>45740</v>
          </cell>
          <cell r="J9"/>
          <cell r="K9" t="str">
            <v>IN PRODUCTION</v>
          </cell>
        </row>
        <row r="10">
          <cell r="G10">
            <v>942000</v>
          </cell>
          <cell r="H10">
            <v>45698</v>
          </cell>
          <cell r="I10">
            <v>45740</v>
          </cell>
          <cell r="J10"/>
          <cell r="K10" t="str">
            <v>DISPATCHED</v>
          </cell>
        </row>
        <row r="11">
          <cell r="G11">
            <v>2457540</v>
          </cell>
          <cell r="H11">
            <v>45720</v>
          </cell>
          <cell r="I11">
            <v>45762</v>
          </cell>
          <cell r="J11">
            <v>45777</v>
          </cell>
          <cell r="K11" t="str">
            <v>DISPATCHED</v>
          </cell>
        </row>
        <row r="12">
          <cell r="G12">
            <v>123500</v>
          </cell>
          <cell r="H12">
            <v>45752</v>
          </cell>
          <cell r="I12">
            <v>45794</v>
          </cell>
          <cell r="J12">
            <v>45967</v>
          </cell>
          <cell r="K12" t="str">
            <v>DISPATCHED</v>
          </cell>
        </row>
        <row r="13">
          <cell r="G13">
            <v>407100</v>
          </cell>
          <cell r="H13">
            <v>45754</v>
          </cell>
          <cell r="I13">
            <v>45796</v>
          </cell>
          <cell r="J13"/>
          <cell r="K13" t="str">
            <v>DISPATCHED</v>
          </cell>
        </row>
        <row r="14">
          <cell r="G14">
            <v>203550</v>
          </cell>
          <cell r="H14">
            <v>45755</v>
          </cell>
          <cell r="I14">
            <v>45797</v>
          </cell>
          <cell r="J14"/>
          <cell r="K14" t="str">
            <v>BILL PENDING</v>
          </cell>
        </row>
        <row r="15">
          <cell r="G15">
            <v>3536460</v>
          </cell>
          <cell r="H15">
            <v>45757</v>
          </cell>
          <cell r="I15">
            <v>45799</v>
          </cell>
          <cell r="J15"/>
          <cell r="K15" t="str">
            <v>DISPATCHED</v>
          </cell>
        </row>
        <row r="16">
          <cell r="G16">
            <v>141600</v>
          </cell>
          <cell r="H16">
            <v>45765</v>
          </cell>
          <cell r="I16">
            <v>45807</v>
          </cell>
          <cell r="J16"/>
          <cell r="K16" t="str">
            <v>DISPATCHED</v>
          </cell>
        </row>
        <row r="17">
          <cell r="G17">
            <v>2058786.89</v>
          </cell>
          <cell r="H17">
            <v>45766</v>
          </cell>
          <cell r="I17">
            <v>45808</v>
          </cell>
          <cell r="J17"/>
          <cell r="K17" t="str">
            <v>DISPATCHED</v>
          </cell>
        </row>
        <row r="18">
          <cell r="G18">
            <v>1664000</v>
          </cell>
          <cell r="H18">
            <v>45768</v>
          </cell>
          <cell r="I18">
            <v>45810</v>
          </cell>
          <cell r="J18"/>
          <cell r="K18" t="str">
            <v>DISPATCHED</v>
          </cell>
        </row>
        <row r="19">
          <cell r="G19">
            <v>850000</v>
          </cell>
          <cell r="H19">
            <v>45769</v>
          </cell>
          <cell r="I19">
            <v>45811</v>
          </cell>
          <cell r="J19">
            <v>45879</v>
          </cell>
          <cell r="K19" t="str">
            <v>DISPATCHED</v>
          </cell>
        </row>
        <row r="20">
          <cell r="G20">
            <v>3250000</v>
          </cell>
          <cell r="H20">
            <v>45772</v>
          </cell>
          <cell r="I20">
            <v>45814</v>
          </cell>
          <cell r="J20"/>
          <cell r="K20" t="str">
            <v>DISPATCHED</v>
          </cell>
        </row>
        <row r="21">
          <cell r="G21">
            <v>85208</v>
          </cell>
          <cell r="H21">
            <v>45772</v>
          </cell>
          <cell r="I21">
            <v>45814</v>
          </cell>
          <cell r="J21"/>
          <cell r="K21" t="str">
            <v>DISPATCHED</v>
          </cell>
        </row>
        <row r="22">
          <cell r="G22">
            <v>2415262</v>
          </cell>
          <cell r="H22">
            <v>45774</v>
          </cell>
          <cell r="I22">
            <v>45816</v>
          </cell>
          <cell r="J22"/>
          <cell r="K22" t="str">
            <v>DISPATCHED</v>
          </cell>
        </row>
        <row r="23">
          <cell r="G23">
            <v>563647</v>
          </cell>
          <cell r="H23">
            <v>45774</v>
          </cell>
          <cell r="I23">
            <v>45816</v>
          </cell>
          <cell r="J23"/>
          <cell r="K23" t="str">
            <v>DISPATCHED</v>
          </cell>
        </row>
        <row r="24">
          <cell r="G24">
            <v>1003000</v>
          </cell>
          <cell r="H24">
            <v>45774</v>
          </cell>
          <cell r="I24">
            <v>45816</v>
          </cell>
          <cell r="J24"/>
          <cell r="K24" t="str">
            <v>DISPATCHED</v>
          </cell>
        </row>
        <row r="25">
          <cell r="G25">
            <v>60000</v>
          </cell>
          <cell r="H25">
            <v>45774</v>
          </cell>
          <cell r="I25">
            <v>45816</v>
          </cell>
          <cell r="J25"/>
          <cell r="K25" t="str">
            <v>BILL PENDING</v>
          </cell>
        </row>
        <row r="26">
          <cell r="G26">
            <v>1963520</v>
          </cell>
          <cell r="H26">
            <v>45774</v>
          </cell>
          <cell r="I26">
            <v>45816</v>
          </cell>
          <cell r="J26"/>
          <cell r="K26" t="str">
            <v>DISPATCHED</v>
          </cell>
        </row>
        <row r="27">
          <cell r="G27">
            <v>49560</v>
          </cell>
          <cell r="H27">
            <v>45776</v>
          </cell>
          <cell r="I27">
            <v>45818</v>
          </cell>
          <cell r="J27"/>
          <cell r="K27" t="str">
            <v>DISPATCHED</v>
          </cell>
        </row>
        <row r="28">
          <cell r="G28">
            <v>1240180</v>
          </cell>
          <cell r="H28">
            <v>45776</v>
          </cell>
          <cell r="I28">
            <v>45818</v>
          </cell>
          <cell r="J28"/>
          <cell r="K28" t="str">
            <v>DISPATCHED</v>
          </cell>
        </row>
        <row r="29">
          <cell r="G29">
            <v>578200</v>
          </cell>
          <cell r="H29">
            <v>45779</v>
          </cell>
          <cell r="I29">
            <v>45821</v>
          </cell>
          <cell r="J29"/>
          <cell r="K29" t="str">
            <v>DISPATCHED</v>
          </cell>
        </row>
        <row r="30">
          <cell r="G30">
            <v>715729</v>
          </cell>
          <cell r="H30">
            <v>45779</v>
          </cell>
          <cell r="I30">
            <v>45821</v>
          </cell>
          <cell r="J30"/>
          <cell r="K30" t="str">
            <v>DISPATCHED</v>
          </cell>
        </row>
        <row r="31">
          <cell r="G31">
            <v>1431057</v>
          </cell>
          <cell r="H31">
            <v>45781</v>
          </cell>
          <cell r="I31">
            <v>45823</v>
          </cell>
          <cell r="J31"/>
          <cell r="K31" t="str">
            <v>DISPATCHED</v>
          </cell>
        </row>
        <row r="32">
          <cell r="G32">
            <v>218300</v>
          </cell>
          <cell r="H32">
            <v>45782</v>
          </cell>
          <cell r="I32">
            <v>45824</v>
          </cell>
          <cell r="J32"/>
          <cell r="K32" t="str">
            <v>DISPATCHED</v>
          </cell>
        </row>
        <row r="33">
          <cell r="G33">
            <v>1967984</v>
          </cell>
          <cell r="H33">
            <v>45783</v>
          </cell>
          <cell r="I33">
            <v>45825</v>
          </cell>
          <cell r="J33"/>
          <cell r="K33" t="str">
            <v>DISPATCHED</v>
          </cell>
        </row>
        <row r="34">
          <cell r="G34">
            <v>165672</v>
          </cell>
          <cell r="H34">
            <v>45783</v>
          </cell>
          <cell r="I34">
            <v>45825</v>
          </cell>
          <cell r="J34"/>
          <cell r="K34" t="str">
            <v>DISPATCHED</v>
          </cell>
        </row>
        <row r="35">
          <cell r="G35">
            <v>669300</v>
          </cell>
          <cell r="H35">
            <v>45783</v>
          </cell>
          <cell r="I35">
            <v>45825</v>
          </cell>
          <cell r="J35"/>
          <cell r="K35" t="str">
            <v>DISPATCHED</v>
          </cell>
        </row>
        <row r="36">
          <cell r="G36">
            <v>669300</v>
          </cell>
          <cell r="H36">
            <v>45783</v>
          </cell>
          <cell r="I36">
            <v>45825</v>
          </cell>
          <cell r="J36"/>
          <cell r="K36" t="str">
            <v>DISPATCHED</v>
          </cell>
        </row>
        <row r="37">
          <cell r="G37">
            <v>1593000</v>
          </cell>
          <cell r="H37">
            <v>45783</v>
          </cell>
          <cell r="I37">
            <v>45825</v>
          </cell>
          <cell r="J37"/>
          <cell r="K37" t="str">
            <v>DISPATCHED</v>
          </cell>
        </row>
        <row r="38">
          <cell r="G38">
            <v>1646873</v>
          </cell>
          <cell r="H38">
            <v>45784</v>
          </cell>
          <cell r="I38">
            <v>45826</v>
          </cell>
          <cell r="J38"/>
          <cell r="K38" t="str">
            <v>DISPATCHED</v>
          </cell>
        </row>
        <row r="39">
          <cell r="G39">
            <v>983082</v>
          </cell>
          <cell r="H39">
            <v>45784</v>
          </cell>
          <cell r="I39">
            <v>45826</v>
          </cell>
          <cell r="J39"/>
          <cell r="K39" t="str">
            <v>DISPATCHED</v>
          </cell>
        </row>
        <row r="40">
          <cell r="G40">
            <v>51596</v>
          </cell>
          <cell r="H40">
            <v>45784</v>
          </cell>
          <cell r="I40">
            <v>45826</v>
          </cell>
          <cell r="J40"/>
          <cell r="K40" t="str">
            <v>DISPATCHED</v>
          </cell>
        </row>
        <row r="41">
          <cell r="G41">
            <v>113510</v>
          </cell>
          <cell r="H41">
            <v>45784</v>
          </cell>
          <cell r="I41">
            <v>45826</v>
          </cell>
          <cell r="J41"/>
          <cell r="K41" t="str">
            <v>DISPATCHED</v>
          </cell>
        </row>
        <row r="42">
          <cell r="G42">
            <v>41300</v>
          </cell>
          <cell r="H42">
            <v>45786</v>
          </cell>
          <cell r="I42">
            <v>45828</v>
          </cell>
          <cell r="J42"/>
          <cell r="K42" t="str">
            <v>DISPATCHED</v>
          </cell>
        </row>
        <row r="43">
          <cell r="G43">
            <v>2079401</v>
          </cell>
          <cell r="H43">
            <v>45786</v>
          </cell>
          <cell r="I43">
            <v>45828</v>
          </cell>
          <cell r="J43"/>
          <cell r="K43" t="str">
            <v>DISPATCHED</v>
          </cell>
        </row>
        <row r="44">
          <cell r="G44">
            <v>2079401</v>
          </cell>
          <cell r="H44">
            <v>45786</v>
          </cell>
          <cell r="I44">
            <v>45828</v>
          </cell>
          <cell r="J44"/>
          <cell r="K44" t="str">
            <v>DISPATCHED</v>
          </cell>
        </row>
        <row r="45">
          <cell r="G45">
            <v>88500</v>
          </cell>
          <cell r="H45">
            <v>45786</v>
          </cell>
          <cell r="I45">
            <v>45828</v>
          </cell>
          <cell r="J45"/>
          <cell r="K45" t="str">
            <v>DISPATCHED</v>
          </cell>
        </row>
        <row r="46">
          <cell r="G46">
            <v>1442356</v>
          </cell>
          <cell r="H46">
            <v>45787</v>
          </cell>
          <cell r="I46">
            <v>45829</v>
          </cell>
          <cell r="J46"/>
          <cell r="K46" t="str">
            <v>DISPATCHED</v>
          </cell>
        </row>
        <row r="47">
          <cell r="G47">
            <v>4002855</v>
          </cell>
          <cell r="H47">
            <v>45787</v>
          </cell>
          <cell r="I47">
            <v>45829</v>
          </cell>
          <cell r="J47"/>
          <cell r="K47" t="str">
            <v>DISPATCHED</v>
          </cell>
        </row>
        <row r="48">
          <cell r="G48">
            <v>5886194</v>
          </cell>
          <cell r="H48">
            <v>45787</v>
          </cell>
          <cell r="I48">
            <v>45829</v>
          </cell>
          <cell r="J48"/>
          <cell r="K48" t="str">
            <v>DISPATCHED</v>
          </cell>
        </row>
        <row r="49">
          <cell r="G49">
            <v>2714000</v>
          </cell>
          <cell r="H49">
            <v>45787</v>
          </cell>
          <cell r="I49">
            <v>45829</v>
          </cell>
          <cell r="J49"/>
          <cell r="K49" t="str">
            <v>DISPATCHED</v>
          </cell>
        </row>
        <row r="50">
          <cell r="G50">
            <v>563647</v>
          </cell>
          <cell r="H50">
            <v>45787</v>
          </cell>
          <cell r="I50">
            <v>45829</v>
          </cell>
          <cell r="J50"/>
          <cell r="K50" t="str">
            <v>DISPATCHED</v>
          </cell>
        </row>
        <row r="51">
          <cell r="G51">
            <v>1402220</v>
          </cell>
          <cell r="H51">
            <v>45787</v>
          </cell>
          <cell r="I51">
            <v>45829</v>
          </cell>
          <cell r="J51"/>
          <cell r="K51" t="str">
            <v>DISPATCHED</v>
          </cell>
        </row>
        <row r="52">
          <cell r="G52">
            <v>218300</v>
          </cell>
          <cell r="H52">
            <v>45787</v>
          </cell>
          <cell r="I52">
            <v>45829</v>
          </cell>
          <cell r="J52"/>
          <cell r="K52" t="str">
            <v>DISPATCHED</v>
          </cell>
        </row>
        <row r="53">
          <cell r="G53">
            <v>1652000</v>
          </cell>
          <cell r="H53">
            <v>45787</v>
          </cell>
          <cell r="I53">
            <v>45829</v>
          </cell>
          <cell r="J53"/>
          <cell r="K53" t="str">
            <v>DISPATCHED</v>
          </cell>
        </row>
        <row r="54">
          <cell r="G54">
            <v>803108</v>
          </cell>
          <cell r="H54">
            <v>45787</v>
          </cell>
          <cell r="I54">
            <v>45829</v>
          </cell>
          <cell r="J54"/>
          <cell r="K54" t="str">
            <v>DISPATCHED</v>
          </cell>
        </row>
        <row r="55">
          <cell r="G55">
            <v>326860</v>
          </cell>
          <cell r="H55">
            <v>45787</v>
          </cell>
          <cell r="I55">
            <v>45829</v>
          </cell>
          <cell r="J55"/>
          <cell r="K55" t="str">
            <v>DISPATCHED</v>
          </cell>
        </row>
        <row r="56">
          <cell r="G56">
            <v>701941</v>
          </cell>
          <cell r="H56">
            <v>45787</v>
          </cell>
          <cell r="I56">
            <v>45829</v>
          </cell>
          <cell r="J56"/>
          <cell r="K56" t="str">
            <v>DISPATCHED</v>
          </cell>
        </row>
        <row r="57">
          <cell r="G57">
            <v>646140</v>
          </cell>
          <cell r="H57">
            <v>45787</v>
          </cell>
          <cell r="I57">
            <v>45829</v>
          </cell>
          <cell r="J57"/>
          <cell r="K57" t="str">
            <v>DISPATCHED</v>
          </cell>
        </row>
        <row r="58">
          <cell r="G58">
            <v>658600</v>
          </cell>
          <cell r="H58">
            <v>45787</v>
          </cell>
          <cell r="I58">
            <v>45829</v>
          </cell>
          <cell r="J58"/>
          <cell r="K58" t="str">
            <v>DISPATCHED</v>
          </cell>
        </row>
        <row r="59">
          <cell r="G59">
            <v>38940</v>
          </cell>
          <cell r="H59">
            <v>45788</v>
          </cell>
          <cell r="I59">
            <v>45830</v>
          </cell>
          <cell r="J59"/>
          <cell r="K59" t="str">
            <v>DISPATCHED</v>
          </cell>
        </row>
        <row r="60">
          <cell r="G60">
            <v>3835000</v>
          </cell>
          <cell r="H60">
            <v>45794</v>
          </cell>
          <cell r="I60">
            <v>45836</v>
          </cell>
          <cell r="J60"/>
          <cell r="K60" t="str">
            <v>DISPATCHED</v>
          </cell>
        </row>
        <row r="61">
          <cell r="G61">
            <v>17017960</v>
          </cell>
          <cell r="H61">
            <v>45795</v>
          </cell>
          <cell r="I61">
            <v>45837</v>
          </cell>
          <cell r="J61"/>
          <cell r="K61" t="str">
            <v>DISPATCHED</v>
          </cell>
        </row>
        <row r="62">
          <cell r="G62">
            <v>312700</v>
          </cell>
          <cell r="H62">
            <v>45796</v>
          </cell>
          <cell r="I62">
            <v>45838</v>
          </cell>
          <cell r="J62"/>
          <cell r="K62" t="str">
            <v>DISPATCHED</v>
          </cell>
        </row>
        <row r="63">
          <cell r="G63">
            <v>224200</v>
          </cell>
          <cell r="H63">
            <v>45797</v>
          </cell>
          <cell r="I63">
            <v>45839</v>
          </cell>
          <cell r="J63"/>
          <cell r="K63" t="str">
            <v>DISPATCHED</v>
          </cell>
        </row>
        <row r="64">
          <cell r="G64">
            <v>16815</v>
          </cell>
          <cell r="H64">
            <v>45797</v>
          </cell>
          <cell r="I64">
            <v>45839</v>
          </cell>
          <cell r="J64"/>
          <cell r="K64" t="str">
            <v>DISPATCHED</v>
          </cell>
        </row>
        <row r="65">
          <cell r="G65">
            <v>1477561</v>
          </cell>
          <cell r="H65">
            <v>45798</v>
          </cell>
          <cell r="I65">
            <v>45840</v>
          </cell>
          <cell r="J65"/>
          <cell r="K65" t="str">
            <v>DISPATCHED</v>
          </cell>
        </row>
        <row r="66">
          <cell r="G66">
            <v>1252170</v>
          </cell>
          <cell r="H66">
            <v>45798</v>
          </cell>
          <cell r="I66">
            <v>45840</v>
          </cell>
          <cell r="J66"/>
          <cell r="K66" t="str">
            <v>DISPATCHED</v>
          </cell>
        </row>
        <row r="67">
          <cell r="G67">
            <v>483448</v>
          </cell>
          <cell r="H67">
            <v>45798</v>
          </cell>
          <cell r="I67">
            <v>45840</v>
          </cell>
          <cell r="J67"/>
          <cell r="K67" t="str">
            <v>DISPATCHED</v>
          </cell>
        </row>
        <row r="68">
          <cell r="G68">
            <v>165200</v>
          </cell>
          <cell r="H68">
            <v>45798</v>
          </cell>
          <cell r="I68">
            <v>45840</v>
          </cell>
          <cell r="J68"/>
          <cell r="K68" t="str">
            <v>DISPATCHED</v>
          </cell>
        </row>
        <row r="69">
          <cell r="G69">
            <v>2475000</v>
          </cell>
          <cell r="H69">
            <v>45800</v>
          </cell>
          <cell r="I69">
            <v>45842</v>
          </cell>
          <cell r="J69"/>
          <cell r="K69" t="str">
            <v>DISPATCHED</v>
          </cell>
        </row>
        <row r="70">
          <cell r="G70">
            <v>2920500</v>
          </cell>
          <cell r="H70">
            <v>45802</v>
          </cell>
          <cell r="I70">
            <v>45844</v>
          </cell>
          <cell r="J70"/>
          <cell r="K70" t="str">
            <v>DISPATCHED</v>
          </cell>
        </row>
        <row r="71">
          <cell r="G71">
            <v>1799500</v>
          </cell>
          <cell r="H71">
            <v>45803</v>
          </cell>
          <cell r="I71">
            <v>45845</v>
          </cell>
          <cell r="J71"/>
          <cell r="K71" t="str">
            <v>DISPATCHED</v>
          </cell>
        </row>
        <row r="72">
          <cell r="G72">
            <v>2980232</v>
          </cell>
          <cell r="H72">
            <v>45803</v>
          </cell>
          <cell r="I72">
            <v>45845</v>
          </cell>
          <cell r="J72"/>
          <cell r="K72" t="str">
            <v>DISPATCHED</v>
          </cell>
        </row>
        <row r="73">
          <cell r="G73">
            <v>2861606</v>
          </cell>
          <cell r="H73">
            <v>45803</v>
          </cell>
          <cell r="I73">
            <v>45845</v>
          </cell>
          <cell r="J73"/>
          <cell r="K73" t="str">
            <v>DISPATCHED</v>
          </cell>
        </row>
        <row r="74">
          <cell r="G74">
            <v>3327600</v>
          </cell>
          <cell r="H74">
            <v>45805</v>
          </cell>
          <cell r="I74">
            <v>45847</v>
          </cell>
          <cell r="J74"/>
          <cell r="K74" t="str">
            <v>DISPATCHED</v>
          </cell>
        </row>
        <row r="75">
          <cell r="G75">
            <v>212400</v>
          </cell>
          <cell r="H75">
            <v>45805</v>
          </cell>
          <cell r="I75">
            <v>45847</v>
          </cell>
          <cell r="J75"/>
          <cell r="K75" t="str">
            <v>DISPATCHED</v>
          </cell>
        </row>
        <row r="76">
          <cell r="G76">
            <v>36580</v>
          </cell>
          <cell r="H76">
            <v>45807</v>
          </cell>
          <cell r="I76">
            <v>45849</v>
          </cell>
          <cell r="J76"/>
          <cell r="K76" t="str">
            <v>DISPATCHED</v>
          </cell>
        </row>
        <row r="77">
          <cell r="G77">
            <v>690300</v>
          </cell>
          <cell r="H77">
            <v>45807</v>
          </cell>
          <cell r="I77">
            <v>45849</v>
          </cell>
          <cell r="J77"/>
          <cell r="K77" t="str">
            <v>DISPATCHED</v>
          </cell>
        </row>
        <row r="78">
          <cell r="G78">
            <v>779</v>
          </cell>
          <cell r="H78">
            <v>45807</v>
          </cell>
          <cell r="I78">
            <v>45849</v>
          </cell>
          <cell r="J78"/>
          <cell r="K78" t="str">
            <v>DISPATCHED</v>
          </cell>
        </row>
        <row r="79">
          <cell r="G79">
            <v>184080</v>
          </cell>
          <cell r="H79">
            <v>45809</v>
          </cell>
          <cell r="I79">
            <v>45851</v>
          </cell>
          <cell r="J79"/>
          <cell r="K79" t="str">
            <v>DISPATCHED</v>
          </cell>
        </row>
        <row r="80">
          <cell r="G80">
            <v>115970</v>
          </cell>
          <cell r="H80">
            <v>45811</v>
          </cell>
          <cell r="I80">
            <v>45853</v>
          </cell>
          <cell r="J80"/>
          <cell r="K80" t="str">
            <v>DISPATCHED</v>
          </cell>
        </row>
        <row r="81">
          <cell r="G81">
            <v>39235</v>
          </cell>
          <cell r="H81">
            <v>45812</v>
          </cell>
          <cell r="I81">
            <v>45854</v>
          </cell>
          <cell r="J81"/>
          <cell r="K81" t="str">
            <v>DISPATCHED</v>
          </cell>
        </row>
        <row r="82">
          <cell r="G82">
            <v>13284416.789999999</v>
          </cell>
          <cell r="H82">
            <v>45813</v>
          </cell>
          <cell r="I82">
            <v>45855</v>
          </cell>
          <cell r="J82"/>
          <cell r="K82" t="str">
            <v>DISPATCHED</v>
          </cell>
        </row>
        <row r="83">
          <cell r="G83">
            <v>1641894.2100000009</v>
          </cell>
          <cell r="H83">
            <v>45813</v>
          </cell>
          <cell r="I83">
            <v>45855</v>
          </cell>
          <cell r="J83"/>
          <cell r="K83" t="str">
            <v>BILL PENDING</v>
          </cell>
        </row>
        <row r="84">
          <cell r="G84">
            <v>2125500</v>
          </cell>
          <cell r="H84">
            <v>45816</v>
          </cell>
          <cell r="I84">
            <v>45858</v>
          </cell>
          <cell r="J84"/>
          <cell r="K84" t="str">
            <v>DISPATCHED</v>
          </cell>
        </row>
        <row r="85">
          <cell r="G85">
            <v>1247000</v>
          </cell>
          <cell r="H85">
            <v>45817</v>
          </cell>
          <cell r="I85">
            <v>45859</v>
          </cell>
          <cell r="J85"/>
          <cell r="K85" t="str">
            <v>DISPATCHED</v>
          </cell>
        </row>
        <row r="86">
          <cell r="G86">
            <v>1053307</v>
          </cell>
          <cell r="H86">
            <v>45817</v>
          </cell>
          <cell r="I86">
            <v>45859</v>
          </cell>
          <cell r="J86">
            <v>45879</v>
          </cell>
          <cell r="K86" t="str">
            <v>DISPATCHED</v>
          </cell>
        </row>
        <row r="87">
          <cell r="G87">
            <v>1242902</v>
          </cell>
          <cell r="H87">
            <v>45823</v>
          </cell>
          <cell r="I87">
            <v>45865</v>
          </cell>
          <cell r="J87"/>
          <cell r="K87" t="str">
            <v>DISPATCHED</v>
          </cell>
        </row>
        <row r="88">
          <cell r="G88">
            <v>1525000</v>
          </cell>
          <cell r="H88">
            <v>45824</v>
          </cell>
          <cell r="I88">
            <v>45866</v>
          </cell>
          <cell r="J88"/>
          <cell r="K88" t="str">
            <v>DISPATCHED</v>
          </cell>
        </row>
        <row r="89">
          <cell r="G89">
            <v>177000</v>
          </cell>
          <cell r="H89">
            <v>45825</v>
          </cell>
          <cell r="I89">
            <v>45867</v>
          </cell>
          <cell r="J89"/>
          <cell r="K89" t="str">
            <v>DISPATCHED</v>
          </cell>
        </row>
        <row r="90">
          <cell r="G90">
            <v>1860860</v>
          </cell>
          <cell r="H90">
            <v>45828</v>
          </cell>
          <cell r="I90">
            <v>45870</v>
          </cell>
          <cell r="J90"/>
          <cell r="K90" t="str">
            <v>DISPATCHED</v>
          </cell>
        </row>
        <row r="91">
          <cell r="G91">
            <v>241900</v>
          </cell>
          <cell r="H91">
            <v>45828</v>
          </cell>
          <cell r="I91">
            <v>45870</v>
          </cell>
          <cell r="J91"/>
          <cell r="K91" t="str">
            <v>DISPATCHED</v>
          </cell>
        </row>
        <row r="92">
          <cell r="G92">
            <v>241900</v>
          </cell>
          <cell r="H92">
            <v>45828</v>
          </cell>
          <cell r="I92">
            <v>45870</v>
          </cell>
          <cell r="J92"/>
          <cell r="K92" t="str">
            <v>DISPATCHED</v>
          </cell>
        </row>
        <row r="93">
          <cell r="G93">
            <v>219480</v>
          </cell>
          <cell r="H93">
            <v>45829</v>
          </cell>
          <cell r="I93">
            <v>45871</v>
          </cell>
          <cell r="J93"/>
          <cell r="K93" t="str">
            <v>DISPATCHED</v>
          </cell>
        </row>
        <row r="94">
          <cell r="G94">
            <v>53100</v>
          </cell>
          <cell r="H94">
            <v>45832</v>
          </cell>
          <cell r="I94">
            <v>45874</v>
          </cell>
          <cell r="J94"/>
          <cell r="K94" t="str">
            <v>DISPATCHED</v>
          </cell>
        </row>
        <row r="95">
          <cell r="G95">
            <v>297750</v>
          </cell>
          <cell r="H95">
            <v>45832</v>
          </cell>
          <cell r="I95">
            <v>45874</v>
          </cell>
          <cell r="J95"/>
          <cell r="K95" t="str">
            <v>DISPATCHED</v>
          </cell>
        </row>
        <row r="96">
          <cell r="G96">
            <v>297750</v>
          </cell>
          <cell r="H96">
            <v>45832</v>
          </cell>
          <cell r="I96">
            <v>45874</v>
          </cell>
          <cell r="J96"/>
          <cell r="K96" t="str">
            <v>DISPATCHED</v>
          </cell>
        </row>
        <row r="97">
          <cell r="G97">
            <v>1150000</v>
          </cell>
          <cell r="H97">
            <v>45833</v>
          </cell>
          <cell r="I97">
            <v>45875</v>
          </cell>
          <cell r="J97"/>
          <cell r="K97" t="str">
            <v>DISPATCHED</v>
          </cell>
        </row>
        <row r="98">
          <cell r="G98">
            <v>1357000</v>
          </cell>
          <cell r="H98">
            <v>45835</v>
          </cell>
          <cell r="I98">
            <v>45877</v>
          </cell>
          <cell r="J98"/>
          <cell r="K98" t="str">
            <v>DISPATCHED</v>
          </cell>
        </row>
        <row r="99">
          <cell r="G99">
            <v>472000</v>
          </cell>
          <cell r="H99">
            <v>45835</v>
          </cell>
          <cell r="I99">
            <v>45877</v>
          </cell>
          <cell r="J99"/>
          <cell r="K99" t="str">
            <v>DISPATCHED</v>
          </cell>
        </row>
        <row r="100">
          <cell r="G100">
            <v>719215</v>
          </cell>
          <cell r="H100">
            <v>45838</v>
          </cell>
          <cell r="I100">
            <v>45880</v>
          </cell>
          <cell r="J100"/>
          <cell r="K100" t="str">
            <v>DISPATCHED</v>
          </cell>
        </row>
        <row r="101">
          <cell r="G101">
            <v>190000</v>
          </cell>
          <cell r="H101">
            <v>45838</v>
          </cell>
          <cell r="I101">
            <v>45880</v>
          </cell>
          <cell r="J101"/>
          <cell r="K101" t="str">
            <v>DISPATCHED</v>
          </cell>
        </row>
        <row r="102">
          <cell r="G102">
            <v>529215</v>
          </cell>
          <cell r="H102">
            <v>45838</v>
          </cell>
          <cell r="I102">
            <v>45880</v>
          </cell>
          <cell r="J102"/>
          <cell r="K102" t="str">
            <v>DISPATCHED</v>
          </cell>
        </row>
        <row r="103">
          <cell r="G103">
            <v>460060</v>
          </cell>
          <cell r="H103">
            <v>45838</v>
          </cell>
          <cell r="I103">
            <v>45880</v>
          </cell>
          <cell r="J103"/>
          <cell r="K103" t="str">
            <v>DISPATCHED</v>
          </cell>
        </row>
        <row r="104">
          <cell r="G104">
            <v>2435000</v>
          </cell>
          <cell r="H104">
            <v>45840</v>
          </cell>
          <cell r="I104">
            <v>45882</v>
          </cell>
          <cell r="J104"/>
          <cell r="K104" t="str">
            <v>DISPATCHED</v>
          </cell>
        </row>
        <row r="105">
          <cell r="G105">
            <v>420000</v>
          </cell>
          <cell r="H105">
            <v>45842</v>
          </cell>
          <cell r="I105">
            <v>45884</v>
          </cell>
          <cell r="J105"/>
          <cell r="K105" t="str">
            <v>DISPATCHED</v>
          </cell>
        </row>
        <row r="106">
          <cell r="G106">
            <v>1554684.8</v>
          </cell>
          <cell r="H106">
            <v>45843</v>
          </cell>
          <cell r="I106">
            <v>45885</v>
          </cell>
          <cell r="J106">
            <v>45918</v>
          </cell>
          <cell r="K106" t="str">
            <v>DISPATCHED</v>
          </cell>
        </row>
        <row r="107">
          <cell r="G107">
            <v>6175232</v>
          </cell>
          <cell r="H107">
            <v>45843</v>
          </cell>
          <cell r="I107">
            <v>45885</v>
          </cell>
          <cell r="J107"/>
          <cell r="K107" t="str">
            <v>DISPATCHED</v>
          </cell>
        </row>
        <row r="108">
          <cell r="G108">
            <v>1750000</v>
          </cell>
          <cell r="H108">
            <v>45845</v>
          </cell>
          <cell r="I108">
            <v>45887</v>
          </cell>
          <cell r="J108"/>
          <cell r="K108" t="str">
            <v>DISPATCHED</v>
          </cell>
        </row>
        <row r="109">
          <cell r="G109">
            <v>395000</v>
          </cell>
          <cell r="H109">
            <v>45852</v>
          </cell>
          <cell r="I109">
            <v>45894</v>
          </cell>
          <cell r="J109"/>
          <cell r="K109" t="str">
            <v>DISPATCHED</v>
          </cell>
        </row>
        <row r="110">
          <cell r="G110">
            <v>4924754</v>
          </cell>
          <cell r="H110">
            <v>45852</v>
          </cell>
          <cell r="I110">
            <v>45894</v>
          </cell>
          <cell r="J110">
            <v>45902</v>
          </cell>
          <cell r="K110" t="str">
            <v>DISPATCHED</v>
          </cell>
        </row>
        <row r="111">
          <cell r="G111">
            <v>3765000</v>
          </cell>
          <cell r="H111">
            <v>45856</v>
          </cell>
          <cell r="I111">
            <v>45898</v>
          </cell>
          <cell r="J111">
            <v>45928</v>
          </cell>
          <cell r="K111" t="str">
            <v>DISPATCHED</v>
          </cell>
        </row>
        <row r="112">
          <cell r="G112">
            <v>1451910.42</v>
          </cell>
          <cell r="H112">
            <v>45856</v>
          </cell>
          <cell r="I112">
            <v>45898</v>
          </cell>
          <cell r="J112"/>
          <cell r="K112" t="str">
            <v>DISPATCHED</v>
          </cell>
        </row>
        <row r="113">
          <cell r="G113">
            <v>50000</v>
          </cell>
          <cell r="H113">
            <v>45857</v>
          </cell>
          <cell r="I113">
            <v>45899</v>
          </cell>
          <cell r="J113">
            <v>45979</v>
          </cell>
          <cell r="K113" t="str">
            <v>DISPATCHED</v>
          </cell>
        </row>
        <row r="114">
          <cell r="G114">
            <v>740000</v>
          </cell>
          <cell r="H114">
            <v>45857</v>
          </cell>
          <cell r="I114">
            <v>45899</v>
          </cell>
          <cell r="J114"/>
          <cell r="K114" t="str">
            <v>DISPATCHED</v>
          </cell>
        </row>
        <row r="115">
          <cell r="G115">
            <v>100840</v>
          </cell>
          <cell r="H115">
            <v>45859</v>
          </cell>
          <cell r="I115">
            <v>45901</v>
          </cell>
          <cell r="J115"/>
          <cell r="K115" t="str">
            <v>DISPATCHED</v>
          </cell>
        </row>
        <row r="116">
          <cell r="G116">
            <v>150000</v>
          </cell>
          <cell r="H116">
            <v>45860</v>
          </cell>
          <cell r="I116">
            <v>45902</v>
          </cell>
          <cell r="J116">
            <v>45925</v>
          </cell>
          <cell r="K116" t="str">
            <v>DISPATCHED</v>
          </cell>
        </row>
        <row r="117">
          <cell r="G117">
            <v>5680000</v>
          </cell>
          <cell r="H117">
            <v>45864</v>
          </cell>
          <cell r="I117">
            <v>45906</v>
          </cell>
          <cell r="J117">
            <v>45906</v>
          </cell>
          <cell r="K117" t="str">
            <v>DISPATCHED</v>
          </cell>
        </row>
        <row r="118">
          <cell r="G118">
            <v>5680000</v>
          </cell>
          <cell r="H118">
            <v>45864</v>
          </cell>
          <cell r="I118">
            <v>45906</v>
          </cell>
          <cell r="J118"/>
          <cell r="K118" t="str">
            <v>DISPATCHED</v>
          </cell>
        </row>
        <row r="119">
          <cell r="G119">
            <v>3500000</v>
          </cell>
          <cell r="H119">
            <v>45867</v>
          </cell>
          <cell r="I119">
            <v>45909</v>
          </cell>
          <cell r="J119"/>
          <cell r="K119" t="str">
            <v>IN PRODUCTION</v>
          </cell>
        </row>
        <row r="120">
          <cell r="G120">
            <v>1711000</v>
          </cell>
          <cell r="H120">
            <v>45867</v>
          </cell>
          <cell r="I120">
            <v>45909</v>
          </cell>
          <cell r="J120">
            <v>45902</v>
          </cell>
          <cell r="K120" t="str">
            <v>DISPATCHED</v>
          </cell>
        </row>
        <row r="121">
          <cell r="G121">
            <v>460060</v>
          </cell>
          <cell r="H121">
            <v>45868</v>
          </cell>
          <cell r="I121">
            <v>45910</v>
          </cell>
          <cell r="J121"/>
          <cell r="K121" t="str">
            <v>DISPATCHED</v>
          </cell>
        </row>
        <row r="122">
          <cell r="G122">
            <v>310000</v>
          </cell>
          <cell r="H122">
            <v>45868</v>
          </cell>
          <cell r="I122">
            <v>45910</v>
          </cell>
          <cell r="J122">
            <v>45915</v>
          </cell>
          <cell r="K122" t="str">
            <v>DISPATCHED</v>
          </cell>
        </row>
        <row r="123">
          <cell r="G123">
            <v>310000</v>
          </cell>
          <cell r="H123">
            <v>45868</v>
          </cell>
          <cell r="I123">
            <v>45910</v>
          </cell>
          <cell r="J123"/>
          <cell r="K123" t="str">
            <v>DISPATCHED</v>
          </cell>
        </row>
        <row r="124">
          <cell r="G124">
            <v>84000</v>
          </cell>
          <cell r="H124">
            <v>45870</v>
          </cell>
          <cell r="I124">
            <v>45912</v>
          </cell>
          <cell r="J124"/>
          <cell r="K124" t="str">
            <v>DISPATCHED</v>
          </cell>
        </row>
        <row r="125">
          <cell r="G125">
            <v>519849</v>
          </cell>
          <cell r="H125">
            <v>45870</v>
          </cell>
          <cell r="I125">
            <v>45912</v>
          </cell>
          <cell r="J125"/>
          <cell r="K125" t="str">
            <v>DISPATCHED</v>
          </cell>
        </row>
        <row r="126">
          <cell r="G126">
            <v>519850</v>
          </cell>
          <cell r="H126">
            <v>45870</v>
          </cell>
          <cell r="I126">
            <v>45912</v>
          </cell>
          <cell r="J126"/>
          <cell r="K126" t="str">
            <v>DISPATCHED</v>
          </cell>
        </row>
        <row r="127">
          <cell r="G127">
            <v>3310500</v>
          </cell>
          <cell r="H127">
            <v>45871</v>
          </cell>
          <cell r="I127">
            <v>45913</v>
          </cell>
          <cell r="J127"/>
          <cell r="K127" t="str">
            <v>IN PRODUCTION</v>
          </cell>
        </row>
        <row r="128">
          <cell r="G128">
            <v>101720</v>
          </cell>
          <cell r="H128">
            <v>45873</v>
          </cell>
          <cell r="I128">
            <v>45915</v>
          </cell>
          <cell r="J128">
            <v>45908</v>
          </cell>
          <cell r="K128" t="str">
            <v>DISPATCHED</v>
          </cell>
        </row>
        <row r="129">
          <cell r="G129">
            <v>181000</v>
          </cell>
          <cell r="H129">
            <v>45874</v>
          </cell>
          <cell r="I129">
            <v>45916</v>
          </cell>
          <cell r="J129">
            <v>45917</v>
          </cell>
          <cell r="K129" t="str">
            <v>DISPATCHED</v>
          </cell>
        </row>
        <row r="130">
          <cell r="G130">
            <v>140000</v>
          </cell>
          <cell r="H130">
            <v>45877</v>
          </cell>
          <cell r="I130">
            <v>45919</v>
          </cell>
          <cell r="J130"/>
          <cell r="K130" t="str">
            <v>DISPATCHED</v>
          </cell>
        </row>
        <row r="131">
          <cell r="G131">
            <v>235000</v>
          </cell>
          <cell r="H131">
            <v>45877</v>
          </cell>
          <cell r="I131">
            <v>45919</v>
          </cell>
          <cell r="J131"/>
          <cell r="K131" t="str">
            <v>DISPATCHED</v>
          </cell>
        </row>
        <row r="132">
          <cell r="G132">
            <v>265000</v>
          </cell>
          <cell r="H132">
            <v>45877</v>
          </cell>
          <cell r="I132">
            <v>45919</v>
          </cell>
          <cell r="J132"/>
          <cell r="K132" t="str">
            <v>DISPATCHED</v>
          </cell>
        </row>
        <row r="133">
          <cell r="G133">
            <v>6916449</v>
          </cell>
          <cell r="H133">
            <v>45880</v>
          </cell>
          <cell r="I133">
            <v>45922</v>
          </cell>
          <cell r="J133">
            <v>45987</v>
          </cell>
          <cell r="K133" t="str">
            <v>DISPATCHED</v>
          </cell>
        </row>
        <row r="134">
          <cell r="G134">
            <v>193466</v>
          </cell>
          <cell r="H134">
            <v>45881</v>
          </cell>
          <cell r="I134">
            <v>45923</v>
          </cell>
          <cell r="J134"/>
          <cell r="K134" t="str">
            <v>DISPATCHED</v>
          </cell>
        </row>
        <row r="135">
          <cell r="G135">
            <v>475000</v>
          </cell>
          <cell r="H135">
            <v>45881</v>
          </cell>
          <cell r="I135">
            <v>45923</v>
          </cell>
          <cell r="J135"/>
          <cell r="K135" t="str">
            <v>BILL PENDING</v>
          </cell>
        </row>
        <row r="136">
          <cell r="G136">
            <v>1450000</v>
          </cell>
          <cell r="H136">
            <v>45887</v>
          </cell>
          <cell r="I136">
            <v>45929</v>
          </cell>
          <cell r="J136">
            <v>46087</v>
          </cell>
          <cell r="K136" t="str">
            <v>DISPATCHED</v>
          </cell>
        </row>
        <row r="137">
          <cell r="G137">
            <v>50000</v>
          </cell>
          <cell r="H137">
            <v>45887</v>
          </cell>
          <cell r="I137">
            <v>45929</v>
          </cell>
          <cell r="J137"/>
          <cell r="K137" t="str">
            <v>BILL PENDING</v>
          </cell>
        </row>
        <row r="138">
          <cell r="G138">
            <v>209000</v>
          </cell>
          <cell r="H138">
            <v>45890</v>
          </cell>
          <cell r="I138">
            <v>45932</v>
          </cell>
          <cell r="J138">
            <v>45933</v>
          </cell>
          <cell r="K138" t="str">
            <v>DISPATCHED</v>
          </cell>
        </row>
        <row r="139">
          <cell r="G139">
            <v>620000</v>
          </cell>
          <cell r="H139">
            <v>45894</v>
          </cell>
          <cell r="I139">
            <v>45936</v>
          </cell>
          <cell r="J139"/>
          <cell r="K139" t="str">
            <v>DISPATCHED</v>
          </cell>
        </row>
        <row r="140">
          <cell r="G140">
            <v>620000</v>
          </cell>
          <cell r="H140">
            <v>45894</v>
          </cell>
          <cell r="I140">
            <v>45936</v>
          </cell>
          <cell r="J140"/>
          <cell r="K140" t="str">
            <v>DISPATCHED</v>
          </cell>
        </row>
        <row r="141">
          <cell r="G141">
            <v>345000</v>
          </cell>
          <cell r="H141">
            <v>45894</v>
          </cell>
          <cell r="I141">
            <v>45936</v>
          </cell>
          <cell r="J141"/>
          <cell r="K141" t="str">
            <v>DISPATCHED</v>
          </cell>
        </row>
        <row r="142">
          <cell r="G142">
            <v>521249</v>
          </cell>
          <cell r="H142">
            <v>45894</v>
          </cell>
          <cell r="I142">
            <v>45936</v>
          </cell>
          <cell r="J142">
            <v>45932</v>
          </cell>
          <cell r="K142" t="str">
            <v>DISPATCHED</v>
          </cell>
        </row>
        <row r="143">
          <cell r="G143">
            <v>181000</v>
          </cell>
          <cell r="H143">
            <v>45894</v>
          </cell>
          <cell r="I143">
            <v>45936</v>
          </cell>
          <cell r="J143"/>
          <cell r="K143" t="str">
            <v>DISPATCHED</v>
          </cell>
        </row>
        <row r="144">
          <cell r="G144">
            <v>1065000</v>
          </cell>
          <cell r="H144">
            <v>45895</v>
          </cell>
          <cell r="I144">
            <v>45937</v>
          </cell>
          <cell r="J144"/>
          <cell r="K144" t="str">
            <v>DISPATCHED</v>
          </cell>
        </row>
        <row r="145">
          <cell r="G145">
            <v>1020000</v>
          </cell>
          <cell r="H145">
            <v>45899</v>
          </cell>
          <cell r="I145">
            <v>45941</v>
          </cell>
          <cell r="J145">
            <v>45930</v>
          </cell>
          <cell r="K145" t="str">
            <v>DISPATCHED</v>
          </cell>
        </row>
        <row r="146">
          <cell r="G146">
            <v>1990125</v>
          </cell>
          <cell r="H146">
            <v>45903</v>
          </cell>
          <cell r="I146">
            <v>45945</v>
          </cell>
          <cell r="J146"/>
          <cell r="K146" t="str">
            <v>DISPATCHED</v>
          </cell>
        </row>
        <row r="147">
          <cell r="G147">
            <v>408000</v>
          </cell>
          <cell r="H147">
            <v>45904</v>
          </cell>
          <cell r="I147">
            <v>45946</v>
          </cell>
          <cell r="J147"/>
          <cell r="K147" t="str">
            <v>DISPATCHED</v>
          </cell>
        </row>
        <row r="148">
          <cell r="G148">
            <v>61511.199999999997</v>
          </cell>
          <cell r="H148">
            <v>45905</v>
          </cell>
          <cell r="I148">
            <v>45947</v>
          </cell>
          <cell r="J148"/>
          <cell r="K148" t="str">
            <v>DISPATCHED</v>
          </cell>
        </row>
        <row r="149">
          <cell r="G149">
            <v>44000</v>
          </cell>
          <cell r="H149">
            <v>45908</v>
          </cell>
          <cell r="I149">
            <v>45950</v>
          </cell>
          <cell r="J149">
            <v>45950</v>
          </cell>
          <cell r="K149" t="str">
            <v>DISPATCHED</v>
          </cell>
        </row>
        <row r="150">
          <cell r="G150">
            <v>237870</v>
          </cell>
          <cell r="H150">
            <v>45909</v>
          </cell>
          <cell r="I150">
            <v>45951</v>
          </cell>
          <cell r="J150"/>
          <cell r="K150" t="str">
            <v>DISPATCHED</v>
          </cell>
        </row>
        <row r="151">
          <cell r="G151">
            <v>105460</v>
          </cell>
          <cell r="H151">
            <v>45911</v>
          </cell>
          <cell r="I151">
            <v>45953</v>
          </cell>
          <cell r="J151">
            <v>45930</v>
          </cell>
          <cell r="K151" t="str">
            <v>DISPATCHED</v>
          </cell>
        </row>
        <row r="152">
          <cell r="G152">
            <v>1265000</v>
          </cell>
          <cell r="H152">
            <v>45912</v>
          </cell>
          <cell r="I152">
            <v>45954</v>
          </cell>
          <cell r="J152"/>
          <cell r="K152" t="str">
            <v>DISPATCHED</v>
          </cell>
        </row>
        <row r="153">
          <cell r="G153">
            <v>7350000</v>
          </cell>
          <cell r="H153">
            <v>45917</v>
          </cell>
          <cell r="I153">
            <v>45959</v>
          </cell>
          <cell r="J153">
            <v>45964</v>
          </cell>
          <cell r="K153" t="str">
            <v>DISPATCHED</v>
          </cell>
        </row>
        <row r="154">
          <cell r="G154">
            <v>535000</v>
          </cell>
          <cell r="H154">
            <v>45918</v>
          </cell>
          <cell r="I154">
            <v>45960</v>
          </cell>
          <cell r="J154">
            <v>45920</v>
          </cell>
          <cell r="K154" t="str">
            <v>DISPATCHED</v>
          </cell>
        </row>
        <row r="155">
          <cell r="G155">
            <v>195000</v>
          </cell>
          <cell r="H155">
            <v>45920</v>
          </cell>
          <cell r="I155">
            <v>45962</v>
          </cell>
          <cell r="J155"/>
          <cell r="K155" t="str">
            <v>DISPATCHED</v>
          </cell>
        </row>
        <row r="156">
          <cell r="G156">
            <v>412110</v>
          </cell>
          <cell r="H156">
            <v>45923</v>
          </cell>
          <cell r="I156">
            <v>45965</v>
          </cell>
          <cell r="J156"/>
          <cell r="K156" t="str">
            <v>DISPATCHED</v>
          </cell>
        </row>
        <row r="157">
          <cell r="G157">
            <v>70000</v>
          </cell>
          <cell r="H157">
            <v>45923</v>
          </cell>
          <cell r="I157">
            <v>45965</v>
          </cell>
          <cell r="J157">
            <v>45926</v>
          </cell>
          <cell r="K157" t="str">
            <v>DISPATCHED</v>
          </cell>
        </row>
        <row r="158">
          <cell r="G158">
            <v>75000</v>
          </cell>
          <cell r="H158">
            <v>45924</v>
          </cell>
          <cell r="I158">
            <v>45966</v>
          </cell>
          <cell r="J158"/>
          <cell r="K158" t="str">
            <v>DISPATCHED</v>
          </cell>
        </row>
        <row r="159">
          <cell r="G159">
            <v>21371774</v>
          </cell>
          <cell r="H159">
            <v>45924</v>
          </cell>
          <cell r="I159">
            <v>45966</v>
          </cell>
          <cell r="J159"/>
          <cell r="K159" t="str">
            <v>IN PRODUCTION</v>
          </cell>
        </row>
        <row r="160">
          <cell r="G160">
            <v>243000</v>
          </cell>
          <cell r="H160">
            <v>45925</v>
          </cell>
          <cell r="I160">
            <v>45967</v>
          </cell>
          <cell r="J160">
            <v>45934</v>
          </cell>
          <cell r="K160" t="str">
            <v>DISPATCHED</v>
          </cell>
        </row>
        <row r="161">
          <cell r="G161">
            <v>469444.5</v>
          </cell>
          <cell r="H161">
            <v>45926</v>
          </cell>
          <cell r="I161">
            <v>45968</v>
          </cell>
          <cell r="J161">
            <v>45928</v>
          </cell>
          <cell r="K161" t="str">
            <v>DISPATCHED</v>
          </cell>
        </row>
        <row r="162">
          <cell r="G162">
            <v>220000</v>
          </cell>
          <cell r="H162">
            <v>45926</v>
          </cell>
          <cell r="I162">
            <v>45968</v>
          </cell>
          <cell r="J162">
            <v>45971</v>
          </cell>
          <cell r="K162" t="str">
            <v>DISPATCHED</v>
          </cell>
        </row>
        <row r="163">
          <cell r="G163">
            <v>280000</v>
          </cell>
          <cell r="H163">
            <v>45926</v>
          </cell>
          <cell r="I163">
            <v>45968</v>
          </cell>
          <cell r="J163"/>
          <cell r="K163" t="str">
            <v>DISPATCHED</v>
          </cell>
        </row>
        <row r="164">
          <cell r="G164">
            <v>104895</v>
          </cell>
          <cell r="H164">
            <v>45927</v>
          </cell>
          <cell r="I164">
            <v>45969</v>
          </cell>
          <cell r="J164">
            <v>45965</v>
          </cell>
          <cell r="K164" t="str">
            <v>DISPATCHED</v>
          </cell>
        </row>
        <row r="165">
          <cell r="G165">
            <v>91454</v>
          </cell>
          <cell r="H165">
            <v>45929</v>
          </cell>
          <cell r="I165">
            <v>45971</v>
          </cell>
          <cell r="J165">
            <v>45987</v>
          </cell>
          <cell r="K165" t="str">
            <v>DISPATCHED</v>
          </cell>
        </row>
        <row r="166">
          <cell r="G166">
            <v>870000</v>
          </cell>
          <cell r="H166">
            <v>45931</v>
          </cell>
          <cell r="I166">
            <v>45973</v>
          </cell>
          <cell r="J166">
            <v>45972</v>
          </cell>
          <cell r="K166" t="str">
            <v>DISPATCHED</v>
          </cell>
        </row>
        <row r="167">
          <cell r="G167">
            <v>162000</v>
          </cell>
          <cell r="H167">
            <v>45936</v>
          </cell>
          <cell r="I167">
            <v>45978</v>
          </cell>
          <cell r="J167">
            <v>45971</v>
          </cell>
          <cell r="K167" t="str">
            <v>DISPATCHED</v>
          </cell>
        </row>
        <row r="168">
          <cell r="G168">
            <v>421950</v>
          </cell>
          <cell r="H168">
            <v>45936</v>
          </cell>
          <cell r="I168">
            <v>45978</v>
          </cell>
          <cell r="J168"/>
          <cell r="K168" t="str">
            <v>DISPATCHED</v>
          </cell>
        </row>
        <row r="169">
          <cell r="G169">
            <v>1105480</v>
          </cell>
          <cell r="H169">
            <v>45939</v>
          </cell>
          <cell r="I169">
            <v>45981</v>
          </cell>
          <cell r="J169">
            <v>45980</v>
          </cell>
          <cell r="K169" t="str">
            <v>DISPATCHED</v>
          </cell>
        </row>
        <row r="170">
          <cell r="G170">
            <v>586250</v>
          </cell>
          <cell r="H170">
            <v>45941</v>
          </cell>
          <cell r="I170">
            <v>45983</v>
          </cell>
          <cell r="J170"/>
          <cell r="K170" t="str">
            <v>DISPATCHED</v>
          </cell>
        </row>
        <row r="171">
          <cell r="G171">
            <v>345000</v>
          </cell>
          <cell r="H171">
            <v>45941</v>
          </cell>
          <cell r="I171">
            <v>45983</v>
          </cell>
          <cell r="J171"/>
          <cell r="K171" t="str">
            <v>DISPATCHED</v>
          </cell>
        </row>
        <row r="172">
          <cell r="G172">
            <v>1382000</v>
          </cell>
          <cell r="H172">
            <v>45941</v>
          </cell>
          <cell r="I172">
            <v>45983</v>
          </cell>
          <cell r="J172"/>
          <cell r="K172" t="str">
            <v>DISPATCHED</v>
          </cell>
        </row>
        <row r="173">
          <cell r="G173">
            <v>4425000</v>
          </cell>
          <cell r="H173">
            <v>45941</v>
          </cell>
          <cell r="I173">
            <v>45983</v>
          </cell>
          <cell r="J173"/>
          <cell r="K173" t="str">
            <v>DISPATCHED</v>
          </cell>
        </row>
        <row r="174">
          <cell r="G174">
            <v>185000</v>
          </cell>
          <cell r="H174">
            <v>45942</v>
          </cell>
          <cell r="I174">
            <v>45984</v>
          </cell>
          <cell r="J174"/>
          <cell r="K174" t="str">
            <v>DISPATCHED</v>
          </cell>
        </row>
        <row r="175">
          <cell r="G175">
            <v>265000</v>
          </cell>
          <cell r="H175">
            <v>45944</v>
          </cell>
          <cell r="I175">
            <v>45986</v>
          </cell>
          <cell r="J175">
            <v>45972</v>
          </cell>
          <cell r="K175" t="str">
            <v>DISPATCHED</v>
          </cell>
        </row>
        <row r="176">
          <cell r="G176">
            <v>121500</v>
          </cell>
          <cell r="H176">
            <v>45944</v>
          </cell>
          <cell r="I176">
            <v>45986</v>
          </cell>
          <cell r="J176">
            <v>45985</v>
          </cell>
          <cell r="K176" t="str">
            <v>DISPATCHED</v>
          </cell>
        </row>
        <row r="177">
          <cell r="G177">
            <v>250000</v>
          </cell>
          <cell r="H177">
            <v>45945</v>
          </cell>
          <cell r="I177">
            <v>45987</v>
          </cell>
          <cell r="J177">
            <v>45966</v>
          </cell>
          <cell r="K177" t="str">
            <v>DISPATCHED</v>
          </cell>
        </row>
        <row r="178">
          <cell r="G178">
            <v>525000</v>
          </cell>
          <cell r="H178">
            <v>45946</v>
          </cell>
          <cell r="I178">
            <v>45988</v>
          </cell>
          <cell r="J178"/>
          <cell r="K178" t="str">
            <v>DISPATCHED</v>
          </cell>
        </row>
        <row r="179">
          <cell r="G179">
            <v>1262906.1299999999</v>
          </cell>
          <cell r="H179">
            <v>45946</v>
          </cell>
          <cell r="I179">
            <v>45988</v>
          </cell>
          <cell r="J179"/>
          <cell r="K179" t="str">
            <v>DISPATCHED</v>
          </cell>
        </row>
        <row r="180">
          <cell r="G180">
            <v>2000000</v>
          </cell>
          <cell r="H180">
            <v>45956</v>
          </cell>
          <cell r="I180">
            <v>45998</v>
          </cell>
          <cell r="J180"/>
          <cell r="K180" t="str">
            <v>DISPATCHED</v>
          </cell>
        </row>
        <row r="181">
          <cell r="G181">
            <v>881102</v>
          </cell>
          <cell r="H181">
            <v>45957</v>
          </cell>
          <cell r="I181">
            <v>45999</v>
          </cell>
          <cell r="J181">
            <v>45962</v>
          </cell>
          <cell r="K181" t="str">
            <v>DISPATCHED</v>
          </cell>
        </row>
        <row r="182">
          <cell r="G182">
            <v>140000</v>
          </cell>
          <cell r="H182">
            <v>45958</v>
          </cell>
          <cell r="I182">
            <v>46000</v>
          </cell>
          <cell r="J182">
            <v>45962</v>
          </cell>
          <cell r="K182" t="str">
            <v>DISPATCHED</v>
          </cell>
        </row>
        <row r="183">
          <cell r="G183">
            <v>1410000</v>
          </cell>
          <cell r="H183">
            <v>45959</v>
          </cell>
          <cell r="I183">
            <v>46001</v>
          </cell>
          <cell r="J183"/>
          <cell r="K183" t="str">
            <v>DISPATCHED</v>
          </cell>
        </row>
        <row r="184">
          <cell r="G184">
            <v>375000</v>
          </cell>
          <cell r="H184">
            <v>45960</v>
          </cell>
          <cell r="I184">
            <v>46002</v>
          </cell>
          <cell r="J184"/>
          <cell r="K184" t="str">
            <v>DISPATCHED</v>
          </cell>
        </row>
        <row r="185">
          <cell r="G185">
            <v>288000</v>
          </cell>
          <cell r="H185">
            <v>45962</v>
          </cell>
          <cell r="I185">
            <v>46004</v>
          </cell>
          <cell r="J185">
            <v>45989</v>
          </cell>
          <cell r="K185" t="str">
            <v>DISPATCHED</v>
          </cell>
        </row>
        <row r="186">
          <cell r="G186">
            <v>288000</v>
          </cell>
          <cell r="H186">
            <v>45962</v>
          </cell>
          <cell r="I186">
            <v>46004</v>
          </cell>
          <cell r="J186">
            <v>45989</v>
          </cell>
          <cell r="K186" t="str">
            <v>DISPATCHED</v>
          </cell>
        </row>
        <row r="187">
          <cell r="G187">
            <v>28200</v>
          </cell>
          <cell r="H187">
            <v>45962</v>
          </cell>
          <cell r="I187">
            <v>46004</v>
          </cell>
          <cell r="J187">
            <v>45965</v>
          </cell>
          <cell r="K187" t="str">
            <v>DISPATCHED</v>
          </cell>
        </row>
        <row r="188">
          <cell r="G188">
            <v>220000</v>
          </cell>
          <cell r="H188">
            <v>45962</v>
          </cell>
          <cell r="I188">
            <v>46004</v>
          </cell>
          <cell r="J188"/>
          <cell r="K188" t="str">
            <v>DISPATCHED</v>
          </cell>
        </row>
        <row r="189">
          <cell r="G189">
            <v>65000</v>
          </cell>
          <cell r="H189">
            <v>45962</v>
          </cell>
          <cell r="I189">
            <v>46004</v>
          </cell>
          <cell r="J189"/>
          <cell r="K189" t="str">
            <v>DISPATCHED</v>
          </cell>
        </row>
        <row r="190">
          <cell r="G190">
            <v>198000</v>
          </cell>
          <cell r="H190">
            <v>45962</v>
          </cell>
          <cell r="I190">
            <v>46004</v>
          </cell>
          <cell r="J190"/>
          <cell r="K190" t="str">
            <v>DISPATCHED</v>
          </cell>
        </row>
        <row r="191">
          <cell r="G191">
            <v>30000</v>
          </cell>
          <cell r="H191">
            <v>45962</v>
          </cell>
          <cell r="I191">
            <v>46004</v>
          </cell>
          <cell r="J191"/>
          <cell r="K191" t="str">
            <v>DISPATCHED</v>
          </cell>
        </row>
        <row r="192">
          <cell r="G192">
            <v>777920</v>
          </cell>
          <cell r="H192">
            <v>45962</v>
          </cell>
          <cell r="I192">
            <v>46004</v>
          </cell>
          <cell r="J192"/>
          <cell r="K192" t="str">
            <v>UPDATE IT</v>
          </cell>
        </row>
        <row r="193">
          <cell r="G193">
            <v>729600</v>
          </cell>
          <cell r="H193">
            <v>45962</v>
          </cell>
          <cell r="I193">
            <v>46004</v>
          </cell>
          <cell r="J193"/>
          <cell r="K193" t="str">
            <v>DISPATCHED</v>
          </cell>
        </row>
        <row r="194">
          <cell r="G194">
            <v>1530232</v>
          </cell>
          <cell r="H194">
            <v>45962</v>
          </cell>
          <cell r="I194">
            <v>46004</v>
          </cell>
          <cell r="J194"/>
          <cell r="K194" t="str">
            <v>DISPATCHED</v>
          </cell>
        </row>
        <row r="195">
          <cell r="G195">
            <v>93000</v>
          </cell>
          <cell r="H195">
            <v>45962</v>
          </cell>
          <cell r="I195">
            <v>46004</v>
          </cell>
          <cell r="J195">
            <v>45976</v>
          </cell>
          <cell r="K195" t="str">
            <v>DISPATCHED</v>
          </cell>
        </row>
        <row r="196">
          <cell r="G196">
            <v>125086.99</v>
          </cell>
          <cell r="H196">
            <v>45962</v>
          </cell>
          <cell r="I196">
            <v>46004</v>
          </cell>
          <cell r="J196"/>
          <cell r="K196" t="str">
            <v>DISPATCHED</v>
          </cell>
        </row>
        <row r="197">
          <cell r="G197">
            <v>750000</v>
          </cell>
          <cell r="H197">
            <v>45964</v>
          </cell>
          <cell r="I197">
            <v>46006</v>
          </cell>
          <cell r="J197"/>
          <cell r="K197" t="str">
            <v>DISPATCHED</v>
          </cell>
        </row>
        <row r="198">
          <cell r="G198">
            <v>84000</v>
          </cell>
          <cell r="H198">
            <v>45964</v>
          </cell>
          <cell r="I198">
            <v>46006</v>
          </cell>
          <cell r="J198">
            <v>45981</v>
          </cell>
          <cell r="K198" t="str">
            <v>DISPATCHED</v>
          </cell>
        </row>
        <row r="199">
          <cell r="G199">
            <v>70000</v>
          </cell>
          <cell r="H199">
            <v>45966</v>
          </cell>
          <cell r="I199">
            <v>46008</v>
          </cell>
          <cell r="J199"/>
          <cell r="K199" t="str">
            <v>DISPATCHED</v>
          </cell>
        </row>
        <row r="200">
          <cell r="G200">
            <v>279000</v>
          </cell>
          <cell r="H200">
            <v>45966</v>
          </cell>
          <cell r="I200">
            <v>46008</v>
          </cell>
          <cell r="J200"/>
          <cell r="K200" t="str">
            <v>DISPATCHED</v>
          </cell>
        </row>
        <row r="201">
          <cell r="G201">
            <v>2585000</v>
          </cell>
          <cell r="H201">
            <v>45966</v>
          </cell>
          <cell r="I201">
            <v>46008</v>
          </cell>
          <cell r="J201"/>
          <cell r="K201" t="str">
            <v>DISPATCHED</v>
          </cell>
        </row>
        <row r="202">
          <cell r="G202">
            <v>229000</v>
          </cell>
          <cell r="H202">
            <v>45966</v>
          </cell>
          <cell r="I202">
            <v>46008</v>
          </cell>
          <cell r="J202"/>
          <cell r="K202" t="str">
            <v>DISPATCHED</v>
          </cell>
        </row>
        <row r="203">
          <cell r="G203">
            <v>1622000</v>
          </cell>
          <cell r="H203">
            <v>45968</v>
          </cell>
          <cell r="I203">
            <v>46010</v>
          </cell>
          <cell r="J203"/>
          <cell r="K203" t="str">
            <v>DISPATCHED</v>
          </cell>
        </row>
        <row r="204">
          <cell r="G204">
            <v>843000</v>
          </cell>
          <cell r="H204">
            <v>45968</v>
          </cell>
          <cell r="I204">
            <v>46010</v>
          </cell>
          <cell r="J204"/>
          <cell r="K204" t="str">
            <v>DISPATCHED</v>
          </cell>
        </row>
        <row r="205">
          <cell r="G205">
            <v>260000</v>
          </cell>
          <cell r="H205">
            <v>45969</v>
          </cell>
          <cell r="I205">
            <v>46011</v>
          </cell>
          <cell r="J205">
            <v>45976</v>
          </cell>
          <cell r="K205" t="str">
            <v>DISPATCHED</v>
          </cell>
        </row>
        <row r="206">
          <cell r="G206">
            <v>1228226</v>
          </cell>
          <cell r="H206">
            <v>45972</v>
          </cell>
          <cell r="I206">
            <v>46014</v>
          </cell>
          <cell r="J206"/>
          <cell r="K206" t="str">
            <v>DISPATCHED</v>
          </cell>
        </row>
        <row r="207">
          <cell r="G207">
            <v>2509748.6</v>
          </cell>
          <cell r="H207">
            <v>45976</v>
          </cell>
          <cell r="I207">
            <v>46018</v>
          </cell>
          <cell r="J207"/>
          <cell r="K207" t="str">
            <v>IN PRODUCTION</v>
          </cell>
        </row>
        <row r="208">
          <cell r="G208">
            <v>13602537.670000002</v>
          </cell>
          <cell r="H208">
            <v>45976</v>
          </cell>
          <cell r="I208">
            <v>46018</v>
          </cell>
          <cell r="J208"/>
          <cell r="K208" t="str">
            <v>IN PRODUCTION</v>
          </cell>
        </row>
        <row r="209">
          <cell r="G209">
            <v>13277239</v>
          </cell>
          <cell r="H209">
            <v>45976</v>
          </cell>
          <cell r="I209">
            <v>46018</v>
          </cell>
          <cell r="J209">
            <v>46103</v>
          </cell>
          <cell r="K209" t="str">
            <v>DISPATCHED</v>
          </cell>
        </row>
        <row r="210">
          <cell r="G210">
            <v>23610474.32</v>
          </cell>
          <cell r="H210">
            <v>45976</v>
          </cell>
          <cell r="I210">
            <v>46018</v>
          </cell>
          <cell r="J210">
            <v>46116</v>
          </cell>
          <cell r="K210" t="str">
            <v>DISPATCHED</v>
          </cell>
        </row>
        <row r="211">
          <cell r="G211">
            <v>16800000</v>
          </cell>
          <cell r="H211">
            <v>45720</v>
          </cell>
          <cell r="I211">
            <v>45762</v>
          </cell>
          <cell r="J211"/>
          <cell r="K211" t="str">
            <v>IN DESIGN</v>
          </cell>
        </row>
        <row r="212">
          <cell r="G212">
            <v>66000</v>
          </cell>
          <cell r="H212">
            <v>45979</v>
          </cell>
          <cell r="I212">
            <v>46021</v>
          </cell>
          <cell r="J212"/>
          <cell r="K212" t="str">
            <v>DISPATCHED</v>
          </cell>
        </row>
        <row r="213">
          <cell r="G213">
            <v>81600</v>
          </cell>
          <cell r="H213">
            <v>45981</v>
          </cell>
          <cell r="I213">
            <v>46023</v>
          </cell>
          <cell r="J213"/>
          <cell r="K213" t="str">
            <v>DISPATCHED</v>
          </cell>
        </row>
        <row r="214">
          <cell r="G214">
            <v>15010.8</v>
          </cell>
          <cell r="H214">
            <v>45985</v>
          </cell>
          <cell r="I214">
            <v>46027</v>
          </cell>
          <cell r="J214"/>
          <cell r="K214" t="str">
            <v>DISPATCHED</v>
          </cell>
        </row>
        <row r="215">
          <cell r="G215">
            <v>740000</v>
          </cell>
          <cell r="H215">
            <v>45985</v>
          </cell>
          <cell r="I215">
            <v>46027</v>
          </cell>
          <cell r="J215"/>
          <cell r="K215" t="str">
            <v>DISPATCHED</v>
          </cell>
        </row>
        <row r="216">
          <cell r="G216">
            <v>15010.8</v>
          </cell>
          <cell r="H216">
            <v>45986</v>
          </cell>
          <cell r="I216">
            <v>46028</v>
          </cell>
          <cell r="J216"/>
          <cell r="K216" t="str">
            <v>DISPATCHED</v>
          </cell>
        </row>
        <row r="217">
          <cell r="G217">
            <v>2895130</v>
          </cell>
          <cell r="H217">
            <v>45987</v>
          </cell>
          <cell r="I217">
            <v>46029</v>
          </cell>
          <cell r="J217"/>
          <cell r="K217" t="str">
            <v>DISPATCHED</v>
          </cell>
        </row>
        <row r="218">
          <cell r="G218">
            <v>30021.599999999999</v>
          </cell>
          <cell r="H218">
            <v>45988</v>
          </cell>
          <cell r="I218">
            <v>46030</v>
          </cell>
          <cell r="J218"/>
          <cell r="K218" t="str">
            <v>DISPATCHED</v>
          </cell>
        </row>
        <row r="219">
          <cell r="G219">
            <v>120000</v>
          </cell>
          <cell r="H219">
            <v>45989</v>
          </cell>
          <cell r="I219">
            <v>46031</v>
          </cell>
          <cell r="J219">
            <v>45989</v>
          </cell>
          <cell r="K219" t="str">
            <v>DISPATCHED</v>
          </cell>
        </row>
        <row r="220">
          <cell r="G220">
            <v>120000</v>
          </cell>
          <cell r="H220">
            <v>45993</v>
          </cell>
          <cell r="I220">
            <v>46035</v>
          </cell>
          <cell r="J220"/>
          <cell r="K220" t="str">
            <v>DISPATCHED</v>
          </cell>
        </row>
        <row r="221">
          <cell r="G221">
            <v>82600</v>
          </cell>
          <cell r="H221">
            <v>45993</v>
          </cell>
          <cell r="I221">
            <v>46035</v>
          </cell>
          <cell r="J221"/>
          <cell r="K221" t="str">
            <v>DISPATCHED</v>
          </cell>
        </row>
        <row r="222">
          <cell r="G222">
            <v>70000</v>
          </cell>
          <cell r="H222">
            <v>45993</v>
          </cell>
          <cell r="I222">
            <v>46035</v>
          </cell>
          <cell r="J222"/>
          <cell r="K222" t="str">
            <v>DISPATCHED</v>
          </cell>
        </row>
        <row r="223">
          <cell r="G223">
            <v>2000000</v>
          </cell>
          <cell r="H223">
            <v>45994</v>
          </cell>
          <cell r="I223">
            <v>46036</v>
          </cell>
          <cell r="J223">
            <v>46003</v>
          </cell>
          <cell r="K223" t="str">
            <v>DISPATCHED</v>
          </cell>
        </row>
        <row r="224">
          <cell r="G224">
            <v>138000</v>
          </cell>
          <cell r="H224">
            <v>45996</v>
          </cell>
          <cell r="I224">
            <v>46038</v>
          </cell>
          <cell r="J224"/>
          <cell r="K224" t="str">
            <v>DISPATCHED</v>
          </cell>
        </row>
        <row r="225">
          <cell r="G225">
            <v>138000</v>
          </cell>
          <cell r="H225">
            <v>45996</v>
          </cell>
          <cell r="I225">
            <v>46038</v>
          </cell>
          <cell r="J225"/>
          <cell r="K225" t="str">
            <v>IN PRODUCTION</v>
          </cell>
        </row>
        <row r="226">
          <cell r="G226">
            <v>421950</v>
          </cell>
          <cell r="H226">
            <v>45997</v>
          </cell>
          <cell r="I226">
            <v>46039</v>
          </cell>
          <cell r="J226"/>
          <cell r="K226" t="str">
            <v>DISPATCHED</v>
          </cell>
        </row>
        <row r="227">
          <cell r="G227">
            <v>330000</v>
          </cell>
          <cell r="H227">
            <v>45997</v>
          </cell>
          <cell r="I227">
            <v>46039</v>
          </cell>
          <cell r="J227"/>
          <cell r="K227" t="str">
            <v>DISPATCHED</v>
          </cell>
        </row>
        <row r="228">
          <cell r="G228">
            <v>450</v>
          </cell>
          <cell r="H228">
            <v>45999</v>
          </cell>
          <cell r="I228">
            <v>46041</v>
          </cell>
          <cell r="J228"/>
          <cell r="K228" t="str">
            <v>DISPATCHED</v>
          </cell>
        </row>
        <row r="229">
          <cell r="G229">
            <v>6165000</v>
          </cell>
          <cell r="H229">
            <v>45999</v>
          </cell>
          <cell r="I229">
            <v>46041</v>
          </cell>
          <cell r="J229"/>
          <cell r="K229" t="str">
            <v>DISPATCHED</v>
          </cell>
        </row>
        <row r="230">
          <cell r="G230">
            <v>61750</v>
          </cell>
          <cell r="H230">
            <v>45999</v>
          </cell>
          <cell r="I230">
            <v>46041</v>
          </cell>
          <cell r="J230"/>
          <cell r="K230" t="str">
            <v>DISPATCHED</v>
          </cell>
        </row>
        <row r="231">
          <cell r="G231">
            <v>143600</v>
          </cell>
          <cell r="H231">
            <v>46001</v>
          </cell>
          <cell r="I231">
            <v>46043</v>
          </cell>
          <cell r="J231"/>
          <cell r="K231" t="str">
            <v>ORDERED</v>
          </cell>
        </row>
        <row r="232">
          <cell r="G232">
            <v>375000</v>
          </cell>
          <cell r="H232">
            <v>46007</v>
          </cell>
          <cell r="I232">
            <v>46049</v>
          </cell>
          <cell r="J232"/>
          <cell r="K232" t="str">
            <v>DISPATCHED</v>
          </cell>
        </row>
        <row r="233">
          <cell r="G233">
            <v>270000</v>
          </cell>
          <cell r="H233">
            <v>46007</v>
          </cell>
          <cell r="I233">
            <v>46049</v>
          </cell>
          <cell r="J233"/>
          <cell r="K233" t="str">
            <v>DISPATCHED</v>
          </cell>
        </row>
        <row r="234">
          <cell r="G234">
            <v>401771</v>
          </cell>
          <cell r="H234">
            <v>46007</v>
          </cell>
          <cell r="I234">
            <v>46049</v>
          </cell>
          <cell r="J234"/>
          <cell r="K234" t="str">
            <v>DISPATCHED</v>
          </cell>
        </row>
        <row r="235">
          <cell r="G235">
            <v>1148460</v>
          </cell>
          <cell r="H235">
            <v>46008</v>
          </cell>
          <cell r="I235">
            <v>46050</v>
          </cell>
          <cell r="J235"/>
          <cell r="K235" t="str">
            <v>DISPATCHED</v>
          </cell>
        </row>
        <row r="236">
          <cell r="G236">
            <v>40000</v>
          </cell>
          <cell r="H236">
            <v>46008</v>
          </cell>
          <cell r="I236">
            <v>46050</v>
          </cell>
          <cell r="J236"/>
          <cell r="K236" t="str">
            <v>IN PRODUCTION</v>
          </cell>
        </row>
        <row r="237">
          <cell r="G237">
            <v>95000</v>
          </cell>
          <cell r="H237">
            <v>46013</v>
          </cell>
          <cell r="I237">
            <v>46055</v>
          </cell>
          <cell r="J237"/>
          <cell r="K237" t="str">
            <v>DISPATCHED</v>
          </cell>
        </row>
        <row r="238">
          <cell r="G238">
            <v>17325</v>
          </cell>
          <cell r="H238">
            <v>46013</v>
          </cell>
          <cell r="I238">
            <v>46055</v>
          </cell>
          <cell r="J238"/>
          <cell r="K238" t="str">
            <v>DISPATCHED</v>
          </cell>
        </row>
        <row r="239">
          <cell r="G239">
            <v>7518734.1500000004</v>
          </cell>
          <cell r="H239">
            <v>46014</v>
          </cell>
          <cell r="I239">
            <v>46056</v>
          </cell>
          <cell r="J239"/>
          <cell r="K239" t="str">
            <v>IN PRODUCTION</v>
          </cell>
        </row>
        <row r="240">
          <cell r="G240">
            <v>395000</v>
          </cell>
          <cell r="H240">
            <v>46015</v>
          </cell>
          <cell r="I240">
            <v>46057</v>
          </cell>
          <cell r="J240"/>
          <cell r="K240" t="str">
            <v>DISPATCHED</v>
          </cell>
        </row>
        <row r="241">
          <cell r="G241">
            <v>15500</v>
          </cell>
          <cell r="H241">
            <v>46017</v>
          </cell>
          <cell r="I241">
            <v>46059</v>
          </cell>
          <cell r="J241"/>
          <cell r="K241" t="str">
            <v>DISPATCHED</v>
          </cell>
        </row>
        <row r="242">
          <cell r="G242">
            <v>340565</v>
          </cell>
          <cell r="H242">
            <v>46021</v>
          </cell>
          <cell r="I242">
            <v>46063</v>
          </cell>
          <cell r="J242"/>
          <cell r="K242" t="str">
            <v>DISPATCHED</v>
          </cell>
        </row>
        <row r="243">
          <cell r="G243">
            <v>15010.8</v>
          </cell>
          <cell r="H243">
            <v>46021</v>
          </cell>
          <cell r="I243">
            <v>46063</v>
          </cell>
          <cell r="J243"/>
          <cell r="K243" t="str">
            <v>IN DESIGN</v>
          </cell>
        </row>
        <row r="244">
          <cell r="G244">
            <v>15010.8</v>
          </cell>
          <cell r="H244">
            <v>46021</v>
          </cell>
          <cell r="I244">
            <v>46063</v>
          </cell>
          <cell r="J244"/>
          <cell r="K244" t="str">
            <v>IN DESIGN</v>
          </cell>
        </row>
        <row r="245">
          <cell r="G245">
            <v>95625</v>
          </cell>
          <cell r="H245">
            <v>46029</v>
          </cell>
          <cell r="I245">
            <v>46071</v>
          </cell>
          <cell r="J245"/>
          <cell r="K245" t="str">
            <v>DISPATCHED</v>
          </cell>
        </row>
        <row r="246">
          <cell r="G246">
            <v>592000</v>
          </cell>
          <cell r="H246">
            <v>46029</v>
          </cell>
          <cell r="I246">
            <v>46071</v>
          </cell>
          <cell r="J246"/>
          <cell r="K246" t="str">
            <v>DISPATCHED</v>
          </cell>
        </row>
        <row r="247">
          <cell r="G247">
            <v>44675</v>
          </cell>
          <cell r="H247">
            <v>46036</v>
          </cell>
          <cell r="I247">
            <v>46078</v>
          </cell>
          <cell r="J247"/>
          <cell r="K247" t="str">
            <v>IN DESIGN</v>
          </cell>
        </row>
        <row r="248">
          <cell r="G248">
            <v>1105000</v>
          </cell>
          <cell r="H248">
            <v>46038</v>
          </cell>
          <cell r="I248">
            <v>46080</v>
          </cell>
          <cell r="J248"/>
          <cell r="K248" t="str">
            <v>DISPATCHED</v>
          </cell>
        </row>
        <row r="249">
          <cell r="G249">
            <v>180000</v>
          </cell>
          <cell r="H249">
            <v>46038</v>
          </cell>
          <cell r="I249">
            <v>46080</v>
          </cell>
          <cell r="J249"/>
          <cell r="K249" t="str">
            <v>DISPATCHED</v>
          </cell>
        </row>
        <row r="250">
          <cell r="G250">
            <v>245000</v>
          </cell>
          <cell r="H250">
            <v>46041</v>
          </cell>
          <cell r="I250">
            <v>46083</v>
          </cell>
          <cell r="J250"/>
          <cell r="K250" t="str">
            <v>DISPATCHED</v>
          </cell>
        </row>
        <row r="251">
          <cell r="G251">
            <v>415000</v>
          </cell>
          <cell r="H251">
            <v>46049</v>
          </cell>
          <cell r="I251">
            <v>46091</v>
          </cell>
          <cell r="J251"/>
          <cell r="K251" t="str">
            <v>IN PRODUCTION</v>
          </cell>
        </row>
        <row r="252">
          <cell r="G252">
            <v>125000</v>
          </cell>
          <cell r="H252">
            <v>46053</v>
          </cell>
          <cell r="I252">
            <v>46095</v>
          </cell>
          <cell r="J252"/>
          <cell r="K252" t="str">
            <v>DISPATCHED</v>
          </cell>
        </row>
        <row r="253">
          <cell r="G253">
            <v>3250</v>
          </cell>
          <cell r="H253">
            <v>46053</v>
          </cell>
          <cell r="I253">
            <v>46095</v>
          </cell>
          <cell r="J253"/>
          <cell r="K253" t="str">
            <v>DISPATCHED</v>
          </cell>
        </row>
        <row r="254">
          <cell r="G254">
            <v>240000</v>
          </cell>
          <cell r="H254">
            <v>46055</v>
          </cell>
          <cell r="I254">
            <v>46097</v>
          </cell>
          <cell r="J254"/>
          <cell r="K254" t="str">
            <v>DISPATCHED</v>
          </cell>
        </row>
        <row r="255">
          <cell r="G255">
            <v>184500</v>
          </cell>
          <cell r="H255">
            <v>46055</v>
          </cell>
          <cell r="I255">
            <v>46097</v>
          </cell>
          <cell r="J255"/>
          <cell r="K255" t="str">
            <v>IN PRODUCTION</v>
          </cell>
        </row>
        <row r="256">
          <cell r="G256">
            <v>1430820</v>
          </cell>
          <cell r="H256">
            <v>46055</v>
          </cell>
          <cell r="I256">
            <v>46097</v>
          </cell>
          <cell r="J256"/>
          <cell r="K256" t="str">
            <v>IN PRODUCTION</v>
          </cell>
        </row>
        <row r="257">
          <cell r="G257">
            <v>3233200</v>
          </cell>
          <cell r="H257">
            <v>46062</v>
          </cell>
          <cell r="I257">
            <v>46104</v>
          </cell>
          <cell r="J257"/>
          <cell r="K257" t="str">
            <v>IN PRODUCTION</v>
          </cell>
        </row>
        <row r="258">
          <cell r="G258">
            <v>177000</v>
          </cell>
          <cell r="H258">
            <v>46062</v>
          </cell>
          <cell r="I258">
            <v>46104</v>
          </cell>
          <cell r="J258"/>
          <cell r="K258" t="str">
            <v>IN PRODUCTION</v>
          </cell>
        </row>
        <row r="259">
          <cell r="G259">
            <v>740000</v>
          </cell>
          <cell r="H259">
            <v>46063</v>
          </cell>
          <cell r="I259">
            <v>46105</v>
          </cell>
          <cell r="J259"/>
          <cell r="K259" t="str">
            <v>IN PRODUCTION</v>
          </cell>
        </row>
        <row r="260">
          <cell r="G260">
            <v>430000</v>
          </cell>
          <cell r="H260">
            <v>46063</v>
          </cell>
          <cell r="I260">
            <v>46105</v>
          </cell>
          <cell r="J260"/>
          <cell r="K260" t="str">
            <v>DISPATCHED</v>
          </cell>
        </row>
        <row r="261">
          <cell r="G261">
            <v>160000</v>
          </cell>
          <cell r="H261">
            <v>46065</v>
          </cell>
          <cell r="I261">
            <v>46107</v>
          </cell>
          <cell r="J261"/>
          <cell r="K261" t="str">
            <v>DISPATCHED</v>
          </cell>
        </row>
        <row r="262">
          <cell r="G262">
            <v>234880.8</v>
          </cell>
          <cell r="H262">
            <v>46065</v>
          </cell>
          <cell r="I262">
            <v>46107</v>
          </cell>
          <cell r="J262"/>
          <cell r="K262" t="str">
            <v>DISPATCHED</v>
          </cell>
        </row>
        <row r="263">
          <cell r="G263">
            <v>1840000</v>
          </cell>
          <cell r="H263">
            <v>46065</v>
          </cell>
          <cell r="I263">
            <v>46107</v>
          </cell>
          <cell r="J263"/>
          <cell r="K263" t="str">
            <v>IN PRODUCTION</v>
          </cell>
        </row>
        <row r="264">
          <cell r="G264">
            <v>700000</v>
          </cell>
          <cell r="H264">
            <v>46065</v>
          </cell>
          <cell r="I264">
            <v>46107</v>
          </cell>
          <cell r="J264"/>
          <cell r="K264" t="str">
            <v>IN PRODUCTION</v>
          </cell>
        </row>
        <row r="265">
          <cell r="G265">
            <v>259500</v>
          </cell>
          <cell r="H265">
            <v>46066</v>
          </cell>
          <cell r="I265">
            <v>46108</v>
          </cell>
          <cell r="J265"/>
          <cell r="K265" t="str">
            <v>DISPATCHED</v>
          </cell>
        </row>
        <row r="266">
          <cell r="G266">
            <v>930000</v>
          </cell>
          <cell r="H266">
            <v>46067</v>
          </cell>
          <cell r="I266">
            <v>46109</v>
          </cell>
          <cell r="J266"/>
          <cell r="K266" t="str">
            <v>IN PRODUCTION</v>
          </cell>
        </row>
        <row r="267">
          <cell r="G267">
            <v>237636</v>
          </cell>
          <cell r="H267">
            <v>46067</v>
          </cell>
          <cell r="I267">
            <v>46109</v>
          </cell>
          <cell r="J267"/>
          <cell r="K267" t="str">
            <v>ORDERED</v>
          </cell>
        </row>
        <row r="268">
          <cell r="G268">
            <v>75000</v>
          </cell>
          <cell r="H268">
            <v>46069</v>
          </cell>
          <cell r="I268">
            <v>46111</v>
          </cell>
          <cell r="J268"/>
          <cell r="K268" t="str">
            <v>DISPATCHED</v>
          </cell>
        </row>
        <row r="269">
          <cell r="G269">
            <v>283000</v>
          </cell>
          <cell r="H269">
            <v>46070</v>
          </cell>
          <cell r="I269">
            <v>46112</v>
          </cell>
          <cell r="J269"/>
          <cell r="K269" t="str">
            <v>DISPATCHED</v>
          </cell>
        </row>
        <row r="270">
          <cell r="G270">
            <v>515000</v>
          </cell>
          <cell r="H270">
            <v>46070</v>
          </cell>
          <cell r="I270">
            <v>46112</v>
          </cell>
          <cell r="J270"/>
          <cell r="K270" t="str">
            <v>IN PRODUCTION</v>
          </cell>
        </row>
        <row r="271">
          <cell r="G271">
            <v>280000</v>
          </cell>
          <cell r="H271">
            <v>46070</v>
          </cell>
          <cell r="I271">
            <v>46112</v>
          </cell>
          <cell r="J271"/>
          <cell r="K271" t="str">
            <v>IN PRODUCTION</v>
          </cell>
        </row>
        <row r="272">
          <cell r="G272">
            <v>280000</v>
          </cell>
          <cell r="H272">
            <v>46070</v>
          </cell>
          <cell r="I272">
            <v>46112</v>
          </cell>
          <cell r="J272">
            <v>46123</v>
          </cell>
          <cell r="K272" t="str">
            <v>DISPATCHED</v>
          </cell>
        </row>
        <row r="273">
          <cell r="G273">
            <v>1549600</v>
          </cell>
          <cell r="H273">
            <v>46070</v>
          </cell>
          <cell r="I273">
            <v>46112</v>
          </cell>
          <cell r="J273">
            <v>46117</v>
          </cell>
          <cell r="K273" t="str">
            <v>DISPATCHED</v>
          </cell>
        </row>
        <row r="274">
          <cell r="G274">
            <v>218550</v>
          </cell>
          <cell r="H274">
            <v>46070</v>
          </cell>
          <cell r="I274">
            <v>46112</v>
          </cell>
          <cell r="J274"/>
          <cell r="K274" t="str">
            <v>IN DESIGN</v>
          </cell>
        </row>
        <row r="275">
          <cell r="G275">
            <v>1999472</v>
          </cell>
          <cell r="H275">
            <v>46070</v>
          </cell>
          <cell r="I275">
            <v>46112</v>
          </cell>
          <cell r="J275"/>
          <cell r="K275" t="str">
            <v>IN DESIGN</v>
          </cell>
        </row>
        <row r="276">
          <cell r="G276">
            <v>420000</v>
          </cell>
          <cell r="H276">
            <v>46070</v>
          </cell>
          <cell r="I276">
            <v>46112</v>
          </cell>
          <cell r="J276">
            <v>46123</v>
          </cell>
          <cell r="K276" t="str">
            <v>DISPATCHED</v>
          </cell>
        </row>
        <row r="277">
          <cell r="G277">
            <v>280000</v>
          </cell>
          <cell r="H277">
            <v>46070</v>
          </cell>
          <cell r="I277">
            <v>46112</v>
          </cell>
          <cell r="J277"/>
          <cell r="K277" t="str">
            <v>IN PRODUCTION</v>
          </cell>
        </row>
        <row r="278">
          <cell r="G278"/>
          <cell r="H278">
            <v>46071</v>
          </cell>
          <cell r="I278">
            <v>46113</v>
          </cell>
          <cell r="J278"/>
          <cell r="K278" t="str">
            <v>UPDATE IT</v>
          </cell>
        </row>
        <row r="279">
          <cell r="G279">
            <v>1270512</v>
          </cell>
          <cell r="H279">
            <v>46072</v>
          </cell>
          <cell r="I279">
            <v>46114</v>
          </cell>
          <cell r="J279"/>
          <cell r="K279" t="str">
            <v>IN PRODUCTION</v>
          </cell>
        </row>
        <row r="280">
          <cell r="G280">
            <v>354907</v>
          </cell>
          <cell r="H280">
            <v>46072</v>
          </cell>
          <cell r="I280">
            <v>46114</v>
          </cell>
          <cell r="J280"/>
          <cell r="K280" t="str">
            <v>DISPATCHED</v>
          </cell>
        </row>
        <row r="281">
          <cell r="G281">
            <v>230000</v>
          </cell>
          <cell r="H281">
            <v>46074</v>
          </cell>
          <cell r="I281">
            <v>46116</v>
          </cell>
          <cell r="J281"/>
          <cell r="K281" t="str">
            <v>ORDERED</v>
          </cell>
        </row>
        <row r="282">
          <cell r="G282">
            <v>860000</v>
          </cell>
          <cell r="H282">
            <v>46074</v>
          </cell>
          <cell r="I282">
            <v>46116</v>
          </cell>
          <cell r="J282"/>
          <cell r="K282" t="str">
            <v>UPDATE IT</v>
          </cell>
        </row>
        <row r="283">
          <cell r="G283">
            <v>436600</v>
          </cell>
          <cell r="H283">
            <v>46076</v>
          </cell>
          <cell r="I283">
            <v>46118</v>
          </cell>
          <cell r="J283"/>
          <cell r="K283" t="str">
            <v>DISPATCHED</v>
          </cell>
        </row>
        <row r="284">
          <cell r="G284">
            <v>456110</v>
          </cell>
          <cell r="H284">
            <v>46078</v>
          </cell>
          <cell r="I284">
            <v>46120</v>
          </cell>
          <cell r="J284"/>
          <cell r="K284" t="str">
            <v>ORDERED</v>
          </cell>
        </row>
        <row r="285">
          <cell r="G285">
            <v>35000</v>
          </cell>
          <cell r="H285">
            <v>46079</v>
          </cell>
          <cell r="I285">
            <v>46121</v>
          </cell>
          <cell r="J285"/>
          <cell r="K285" t="str">
            <v>ORDERED</v>
          </cell>
        </row>
        <row r="286">
          <cell r="G286">
            <v>208912</v>
          </cell>
          <cell r="H286">
            <v>46080</v>
          </cell>
          <cell r="I286">
            <v>46122</v>
          </cell>
          <cell r="J286"/>
          <cell r="K286" t="str">
            <v>UPDATE IT</v>
          </cell>
        </row>
        <row r="287">
          <cell r="G287">
            <v>181087</v>
          </cell>
          <cell r="H287">
            <v>46080</v>
          </cell>
          <cell r="I287">
            <v>46122</v>
          </cell>
          <cell r="J287"/>
          <cell r="K287" t="str">
            <v>UPDATE IT</v>
          </cell>
        </row>
        <row r="288">
          <cell r="G288">
            <v>470000</v>
          </cell>
          <cell r="H288">
            <v>46083</v>
          </cell>
          <cell r="I288">
            <v>46125</v>
          </cell>
          <cell r="J288">
            <v>46089</v>
          </cell>
          <cell r="K288" t="str">
            <v>DISPATCHED</v>
          </cell>
        </row>
        <row r="289">
          <cell r="G289">
            <v>1265000</v>
          </cell>
          <cell r="H289">
            <v>46083</v>
          </cell>
          <cell r="I289">
            <v>46125</v>
          </cell>
          <cell r="J289">
            <v>46089</v>
          </cell>
          <cell r="K289" t="str">
            <v>DISPATCHED</v>
          </cell>
        </row>
        <row r="290">
          <cell r="G290">
            <v>6023000</v>
          </cell>
          <cell r="H290">
            <v>46085</v>
          </cell>
          <cell r="I290">
            <v>46127</v>
          </cell>
          <cell r="J290"/>
          <cell r="K290" t="str">
            <v>IN PRODUCTION</v>
          </cell>
        </row>
        <row r="291">
          <cell r="G291">
            <v>1975000</v>
          </cell>
          <cell r="H291">
            <v>46086</v>
          </cell>
          <cell r="I291">
            <v>46128</v>
          </cell>
          <cell r="J291"/>
          <cell r="K291" t="str">
            <v>IN PRODUCTION</v>
          </cell>
        </row>
        <row r="292">
          <cell r="G292">
            <v>2025000</v>
          </cell>
          <cell r="H292">
            <v>46087</v>
          </cell>
          <cell r="I292">
            <v>46129</v>
          </cell>
          <cell r="J292"/>
          <cell r="K292" t="str">
            <v>IN PRODUCTION</v>
          </cell>
        </row>
        <row r="293">
          <cell r="G293">
            <v>1750000</v>
          </cell>
          <cell r="H293">
            <v>46087</v>
          </cell>
          <cell r="I293">
            <v>46129</v>
          </cell>
          <cell r="J293"/>
          <cell r="K293" t="str">
            <v>IN PRODUCTION</v>
          </cell>
        </row>
        <row r="294">
          <cell r="G294">
            <v>441200</v>
          </cell>
          <cell r="H294">
            <v>46088</v>
          </cell>
          <cell r="I294">
            <v>46130</v>
          </cell>
          <cell r="J294"/>
          <cell r="K294" t="str">
            <v>DISPATCHED</v>
          </cell>
        </row>
        <row r="295">
          <cell r="G295">
            <v>307072</v>
          </cell>
          <cell r="H295">
            <v>46088</v>
          </cell>
          <cell r="I295">
            <v>46130</v>
          </cell>
          <cell r="J295"/>
          <cell r="K295" t="str">
            <v>UPDATE IT</v>
          </cell>
        </row>
        <row r="296">
          <cell r="G296">
            <v>117440.4</v>
          </cell>
          <cell r="H296">
            <v>46022</v>
          </cell>
          <cell r="I296">
            <v>46064</v>
          </cell>
          <cell r="J296"/>
          <cell r="K296" t="str">
            <v>DISPATCHED</v>
          </cell>
        </row>
        <row r="297">
          <cell r="G297">
            <v>319208</v>
          </cell>
          <cell r="H297">
            <v>45740</v>
          </cell>
          <cell r="I297">
            <v>45782</v>
          </cell>
          <cell r="J297"/>
          <cell r="K297" t="str">
            <v>DISPATCHED</v>
          </cell>
        </row>
        <row r="298">
          <cell r="G298">
            <v>1217288</v>
          </cell>
          <cell r="H298">
            <v>46089</v>
          </cell>
          <cell r="I298">
            <v>46131</v>
          </cell>
          <cell r="J298"/>
          <cell r="K298" t="str">
            <v>UPDATE IT</v>
          </cell>
        </row>
        <row r="299">
          <cell r="G299">
            <v>325000</v>
          </cell>
          <cell r="H299">
            <v>46097</v>
          </cell>
          <cell r="I299">
            <v>46139</v>
          </cell>
          <cell r="J299"/>
          <cell r="K299" t="str">
            <v>IN DESIGN</v>
          </cell>
        </row>
        <row r="300">
          <cell r="G300">
            <v>594825</v>
          </cell>
          <cell r="H300">
            <v>46086</v>
          </cell>
          <cell r="I300">
            <v>46128</v>
          </cell>
          <cell r="J300"/>
          <cell r="K300" t="str">
            <v>DISPATCHED</v>
          </cell>
        </row>
        <row r="301">
          <cell r="G301">
            <v>395000</v>
          </cell>
          <cell r="H301">
            <v>46095</v>
          </cell>
          <cell r="I301">
            <v>46137</v>
          </cell>
          <cell r="J301"/>
          <cell r="K301" t="str">
            <v>UNDER APPROVAL</v>
          </cell>
        </row>
        <row r="302">
          <cell r="G302">
            <v>570000</v>
          </cell>
          <cell r="H302">
            <v>46097</v>
          </cell>
          <cell r="I302">
            <v>46139</v>
          </cell>
          <cell r="J302"/>
          <cell r="K302" t="str">
            <v>UPDATE IT</v>
          </cell>
        </row>
        <row r="303">
          <cell r="G303">
            <v>24000</v>
          </cell>
          <cell r="H303">
            <v>46102</v>
          </cell>
          <cell r="I303">
            <v>46144</v>
          </cell>
          <cell r="J303"/>
          <cell r="K303" t="str">
            <v>UPDATE IT</v>
          </cell>
        </row>
        <row r="304">
          <cell r="G304">
            <v>395000</v>
          </cell>
          <cell r="H304">
            <v>46102</v>
          </cell>
          <cell r="I304">
            <v>46144</v>
          </cell>
          <cell r="J304"/>
          <cell r="K304" t="str">
            <v>UNDER APPROVAL</v>
          </cell>
        </row>
        <row r="305">
          <cell r="G305">
            <v>241500</v>
          </cell>
          <cell r="H305">
            <v>46105</v>
          </cell>
          <cell r="I305">
            <v>46147</v>
          </cell>
          <cell r="J305"/>
          <cell r="K305" t="str">
            <v>ORDERED</v>
          </cell>
        </row>
        <row r="306">
          <cell r="G306">
            <v>560000</v>
          </cell>
          <cell r="H306">
            <v>46083</v>
          </cell>
          <cell r="I306">
            <v>46125</v>
          </cell>
          <cell r="J306"/>
          <cell r="K306" t="str">
            <v>IN PRODUCTION</v>
          </cell>
        </row>
        <row r="307">
          <cell r="G307">
            <v>700000</v>
          </cell>
          <cell r="H307">
            <v>46111</v>
          </cell>
          <cell r="I307">
            <v>46153</v>
          </cell>
          <cell r="J307">
            <v>46121</v>
          </cell>
          <cell r="K307" t="str">
            <v>DISPATCHED</v>
          </cell>
        </row>
        <row r="308">
          <cell r="G308">
            <v>280000</v>
          </cell>
          <cell r="H308">
            <v>46083</v>
          </cell>
          <cell r="I308">
            <v>46125</v>
          </cell>
          <cell r="J308">
            <v>46109</v>
          </cell>
          <cell r="K308" t="str">
            <v>DISPATCHED</v>
          </cell>
        </row>
        <row r="309">
          <cell r="G309">
            <v>140000</v>
          </cell>
          <cell r="H309">
            <v>46083</v>
          </cell>
          <cell r="I309">
            <v>46125</v>
          </cell>
          <cell r="J309"/>
          <cell r="K309" t="str">
            <v>IN PRODUCTION</v>
          </cell>
        </row>
        <row r="310">
          <cell r="G310">
            <v>3320000</v>
          </cell>
          <cell r="H310">
            <v>46084</v>
          </cell>
          <cell r="I310">
            <v>46126</v>
          </cell>
          <cell r="J310"/>
          <cell r="K310" t="str">
            <v>UNDER APPROVAL</v>
          </cell>
        </row>
        <row r="311">
          <cell r="G311">
            <v>28875</v>
          </cell>
          <cell r="H311">
            <v>46108</v>
          </cell>
          <cell r="I311">
            <v>46150</v>
          </cell>
          <cell r="J311"/>
          <cell r="K311" t="str">
            <v>DISPATCHED</v>
          </cell>
        </row>
        <row r="312">
          <cell r="G312">
            <v>127592</v>
          </cell>
          <cell r="H312">
            <v>46108</v>
          </cell>
          <cell r="I312">
            <v>46150</v>
          </cell>
          <cell r="J312"/>
          <cell r="K312" t="str">
            <v>ORDERED</v>
          </cell>
        </row>
        <row r="313">
          <cell r="G313">
            <v>148000</v>
          </cell>
          <cell r="H313">
            <v>46111</v>
          </cell>
          <cell r="I313">
            <v>46153</v>
          </cell>
          <cell r="J313"/>
          <cell r="K313" t="str">
            <v>ORDERED</v>
          </cell>
        </row>
        <row r="314">
          <cell r="G314">
            <v>1390000</v>
          </cell>
          <cell r="H314">
            <v>46111</v>
          </cell>
          <cell r="I314">
            <v>46153</v>
          </cell>
          <cell r="J314"/>
          <cell r="K314" t="str">
            <v>ORDERED</v>
          </cell>
        </row>
        <row r="315">
          <cell r="G315">
            <v>125000</v>
          </cell>
          <cell r="H315">
            <v>46111</v>
          </cell>
          <cell r="I315">
            <v>46153</v>
          </cell>
          <cell r="J315"/>
          <cell r="K315" t="str">
            <v>ORDERED</v>
          </cell>
        </row>
        <row r="316">
          <cell r="G316">
            <v>185463</v>
          </cell>
          <cell r="H316">
            <v>46111</v>
          </cell>
          <cell r="I316">
            <v>46153</v>
          </cell>
          <cell r="J316"/>
          <cell r="K316" t="str">
            <v>ORDERED</v>
          </cell>
        </row>
        <row r="317">
          <cell r="G317">
            <v>29537</v>
          </cell>
          <cell r="H317">
            <v>46111</v>
          </cell>
          <cell r="I317">
            <v>46153</v>
          </cell>
          <cell r="J317"/>
          <cell r="K317" t="str">
            <v>ORDERED</v>
          </cell>
        </row>
        <row r="318">
          <cell r="G318">
            <v>98200</v>
          </cell>
          <cell r="H318">
            <v>46105</v>
          </cell>
          <cell r="I318">
            <v>46147</v>
          </cell>
          <cell r="J318"/>
          <cell r="K318" t="str">
            <v>ORDERED</v>
          </cell>
        </row>
        <row r="319">
          <cell r="G319"/>
          <cell r="H319"/>
          <cell r="I319"/>
          <cell r="J319"/>
          <cell r="K319"/>
        </row>
      </sheetData>
      <sheetData sheetId="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044C8E4-68FA-4915-9BAD-5D1BA07353AF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0A2B2D-9034-4D35-B3D5-047A7D6B5883}" name="Table11" displayName="Table11" ref="A1:R126" totalsRowShown="0" headerRowDxfId="98" tableBorderDxfId="97">
  <autoFilter ref="A1:R126" xr:uid="{FB0A2B2D-9034-4D35-B3D5-047A7D6B5883}"/>
  <tableColumns count="18">
    <tableColumn id="1" xr3:uid="{FBB1D05D-913C-4AAD-993D-2B7C2FA4078A}" name="Sr no" dataDxfId="96">
      <calculatedColumnFormula>ROW()-1</calculatedColumnFormula>
    </tableColumn>
    <tableColumn id="2" xr3:uid="{A6A0197E-2203-431E-AACD-7DB8CB651BBF}" name="Date" dataDxfId="95"/>
    <tableColumn id="3" xr3:uid="{A3273B88-1943-412F-9B5B-E9B22B9B2CB6}" name="Company Name" dataDxfId="94"/>
    <tableColumn id="4" xr3:uid="{D18C9636-5003-4362-A447-51494827FB72}" name="Location" dataDxfId="93"/>
    <tableColumn id="5" xr3:uid="{406F2825-D547-4660-AFB0-BDBDA57679CC}" name="States" dataDxfId="92"/>
    <tableColumn id="6" xr3:uid="{E6E22720-D093-4BD6-BBB9-CD15116A2953}" name="Product Type" dataDxfId="91"/>
    <tableColumn id="7" xr3:uid="{74123A77-B16D-4E22-91DD-B899E0B5BAC6}" name="Capacity / Specs" dataDxfId="90"/>
    <tableColumn id="8" xr3:uid="{D24E87D2-9BBA-41E8-B5D2-DB9DF7E574F0}" name="Phone" dataDxfId="89"/>
    <tableColumn id="9" xr3:uid="{4C66E60E-FA41-473F-9D61-335BCF07E46B}" name="Email" dataDxfId="88" dataCellStyle="Hyperlink"/>
    <tableColumn id="10" xr3:uid="{F3646EA3-9B4C-4EA6-B972-4AC4530D9B61}" name="Inquiry Status" dataDxfId="87"/>
    <tableColumn id="11" xr3:uid="{81F95526-10F0-4921-890C-D3D88F282F84}" name="Contact Person" dataDxfId="86"/>
    <tableColumn id="12" xr3:uid="{5F41AC72-2533-4551-A135-3C48B0A9BD3C}" name="Lead Source" dataDxfId="85"/>
    <tableColumn id="13" xr3:uid="{93573ED2-4AF1-43A0-BCAC-4ED30963C26D}" name="Lead Owner" dataDxfId="84"/>
    <tableColumn id="14" xr3:uid="{3A009DD0-C11E-405E-B2FE-D2F2EC0A3177}" name="Quotation No" dataDxfId="83"/>
    <tableColumn id="15" xr3:uid="{026140B6-7B48-41D6-AF2A-C714D8D358C3}" name="Quotation Date" dataDxfId="82"/>
    <tableColumn id="16" xr3:uid="{C1AB9291-84A3-4D53-8C22-7DCA141C1DAF}" name="Expected Order Value" dataDxfId="81"/>
    <tableColumn id="17" xr3:uid="{340E1FE7-70E0-4FF1-B66F-EECEFE0E1807}" name="Quotation Status  " dataDxfId="80"/>
    <tableColumn id="18" xr3:uid="{BB0F125C-B68C-4B3F-A602-8E796BCDFD0E}" name="Order loss Analysis" dataDxfId="7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C2:D33" totalsRowCount="1" headerRowDxfId="78">
  <autoFilter ref="C2:D32" xr:uid="{00000000-0009-0000-0100-000004000000}"/>
  <tableColumns count="2">
    <tableColumn id="1" xr3:uid="{00000000-0010-0000-0200-000001000000}" name="STATES" totalsRowLabel="TOTAL LEADS"/>
    <tableColumn id="2" xr3:uid="{00000000-0010-0000-0200-000002000000}" name="No" totalsRowFunction="su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99A564-3C8B-414A-9B58-FF7EB161D0DA}" name="QUOT" displayName="QUOT" ref="G25:H33" totalsRowShown="0" headerRowDxfId="77" headerRowBorderDxfId="76" tableBorderDxfId="75" totalsRowBorderDxfId="74">
  <autoFilter ref="G25:H33" xr:uid="{D599A564-3C8B-414A-9B58-FF7EB161D0DA}"/>
  <tableColumns count="2">
    <tableColumn id="1" xr3:uid="{34D274D3-F4F0-494D-9827-56F7937DF221}" name="Quotation Status" dataDxfId="73"/>
    <tableColumn id="2" xr3:uid="{3C9D920A-560D-4FB7-9188-44A0E56DC55C}" name="NOS" dataDxfId="72">
      <calculatedColumnFormula>COUNTIF('Lead Tracker'!Q:Q, G26)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FD17EF-DEFA-4919-A26E-BAC5E269BC04}" name="INQ" displayName="INQ" ref="G10:G21" totalsRowShown="0" headerRowDxfId="71" dataDxfId="70" tableBorderDxfId="69">
  <autoFilter ref="G10:G21" xr:uid="{21FD17EF-DEFA-4919-A26E-BAC5E269BC04}"/>
  <tableColumns count="1">
    <tableColumn id="1" xr3:uid="{53AAD3CA-F9AE-47DF-94AF-21115BD430EF}" name="INQUIRY" dataDxfId="6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2EF3C0-319C-499D-822D-8ABBD1C2D4BA}" name="LO" displayName="LO" ref="K2:K7" totalsRowShown="0" headerRowDxfId="67" dataDxfId="65" headerRowBorderDxfId="66" tableBorderDxfId="64" totalsRowBorderDxfId="63">
  <autoFilter ref="K2:K7" xr:uid="{D42EF3C0-319C-499D-822D-8ABBD1C2D4BA}"/>
  <tableColumns count="1">
    <tableColumn id="1" xr3:uid="{F0D050A8-155F-4E46-A3B2-1F8F181C3DA5}" name="LEAD OWNER" dataDxfId="6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58F12C-C8D7-436C-874B-CA0E44417932}" name="Table9" displayName="Table9" ref="G2:G8" totalsRowShown="0" headerRowDxfId="61" headerRowBorderDxfId="60" tableBorderDxfId="59" totalsRowBorderDxfId="58">
  <autoFilter ref="G2:G8" xr:uid="{B358F12C-C8D7-436C-874B-CA0E44417932}"/>
  <tableColumns count="1">
    <tableColumn id="1" xr3:uid="{412496F6-BF4B-4F15-95DB-A90D9E54930B}" name="SALES OVERVIEW" dataDxfId="5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F42B0-5DB6-47C7-9567-56EF2CE76648}" name="Table2" displayName="Table2" ref="K20:L33" totalsRowShown="0">
  <autoFilter ref="K20:L33" xr:uid="{44AF42B0-5DB6-47C7-9567-56EF2CE76648}"/>
  <tableColumns count="2">
    <tableColumn id="1" xr3:uid="{7E7ABC71-BB9D-43B9-8C83-36C6DBFB4563}" name="TYPES OF CRANES" dataDxfId="56"/>
    <tableColumn id="2" xr3:uid="{EB4BD1E4-4D9E-4F76-BFB3-86DC4FE29FC4}" name="NOS">
      <calculatedColumnFormula>COUNTIF('Lead Tracker'!F:F, K21)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C275EA-6D22-4543-8805-597B7FF40D63}" name="Table3" displayName="Table3" ref="N3:P11" totalsRowCount="1" headerRowDxfId="55" headerRowBorderDxfId="54" tableBorderDxfId="53" totalsRowBorderDxfId="52">
  <autoFilter ref="N3:P10" xr:uid="{E8C275EA-6D22-4543-8805-597B7FF40D63}"/>
  <tableColumns count="3">
    <tableColumn id="1" xr3:uid="{5DD08B01-F74F-4A96-9C4F-A0FD696F7FFC}" name="Day" totalsRowFunction="custom" dataDxfId="51" totalsRowDxfId="50">
      <totalsRowFormula>SUBTOTAL(109,N4:N10)</totalsRowFormula>
    </tableColumn>
    <tableColumn id="2" xr3:uid="{C3337624-BF80-4A68-BA35-042B64702E9E}" name="NOS" totalsRowFunction="custom" dataDxfId="49" totalsRowDxfId="48">
      <totalsRowFormula>SUBTOTAL(109,O4:O10)</totalsRowFormula>
    </tableColumn>
    <tableColumn id="3" xr3:uid="{0E3C6EB3-3788-46C4-9B5B-FB71CAD329B4}" name="Amount Formula" totalsRowFunction="custom" dataDxfId="47" totalsRowDxfId="46">
      <totalsRowFormula>SUBTOTAL(109,P4:P10)</totalsRow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108235-89C6-4022-B6B5-0A690E590CE2}" name="Table5" displayName="Table5" ref="R3:T17" totalsRowCount="1" headerRowDxfId="45" dataDxfId="43" headerRowBorderDxfId="44" tableBorderDxfId="42" totalsRowBorderDxfId="41">
  <autoFilter ref="R3:T16" xr:uid="{EE108235-89C6-4022-B6B5-0A690E590CE2}"/>
  <tableColumns count="3">
    <tableColumn id="1" xr3:uid="{E6CA5297-2F5C-4628-AB48-4A4C8DAFB855}" name="Month" dataDxfId="40" totalsRowDxfId="39"/>
    <tableColumn id="2" xr3:uid="{5E89783C-32A0-43CA-94F0-27B5A00DB036}" name="NOS" totalsRowFunction="custom" dataDxfId="38" totalsRowDxfId="37">
      <totalsRowFormula>SUBTOTAL(109,S4:S16)</totalsRowFormula>
    </tableColumn>
    <tableColumn id="3" xr3:uid="{18B5D84E-80F3-42EF-9989-89F6FCD02E2A}" name="Amount Formula" totalsRowFunction="custom" dataDxfId="36" totalsRowDxfId="35">
      <totalsRowFormula>SUBTOTAL(109,T4:T16)</totalsRowFormula>
    </tableColumn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2BD5FE-51C5-4172-BC36-B0DB97B92669}" name="INQ_13" displayName="INQ_13" ref="G36:G47" totalsRowShown="0" headerRowDxfId="34" dataDxfId="33" tableBorderDxfId="32">
  <autoFilter ref="G36:G47" xr:uid="{B32BD5FE-51C5-4172-BC36-B0DB97B92669}"/>
  <tableColumns count="1">
    <tableColumn id="1" xr3:uid="{25CB9309-3DD7-4EDE-AD46-F8A412C03A39}" name="INQUIRY" dataDxf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F5FF42-6E79-459F-996A-D0DF4B1CEA88}" name="Table10" displayName="Table10" ref="F3:P10" totalsRowShown="0" headerRowDxfId="30" dataDxfId="28" headerRowBorderDxfId="29" tableBorderDxfId="27" totalsRowBorderDxfId="26">
  <autoFilter ref="F3:P10" xr:uid="{8AF5FF42-6E79-459F-996A-D0DF4B1CEA88}"/>
  <tableColumns count="11">
    <tableColumn id="1" xr3:uid="{E40514C1-BDC2-4304-BBAC-FE8A965E89D9}" name="NEW" dataDxfId="25">
      <calculatedColumnFormula>COUNTIFS('Lead Tracker'!$L:$L,D4,'Lead Tracker'!$J:$J,$F$3)</calculatedColumnFormula>
    </tableColumn>
    <tableColumn id="2" xr3:uid="{EE51E651-E1F6-485B-AD08-E2BA2C1D4FE6}" name="WIN" dataDxfId="24">
      <calculatedColumnFormula>COUNTIFS('Lead Tracker'!$L:$L,D4,'Lead Tracker'!$J:$J,$G$3)</calculatedColumnFormula>
    </tableColumn>
    <tableColumn id="3" xr3:uid="{9E82A0C5-E78D-4091-BB76-0BFE0EF105A2}" name="LOST" dataDxfId="23">
      <calculatedColumnFormula>COUNTIFS('Lead Tracker'!$L:$L,D4,'Lead Tracker'!$J:$J,$H$3)</calculatedColumnFormula>
    </tableColumn>
    <tableColumn id="4" xr3:uid="{A3DF9EFA-C5DA-4AC0-B9CE-880AC5FD969D}" name="CONTACTED" dataDxfId="22">
      <calculatedColumnFormula>COUNTIFS('Lead Tracker'!$L:$L,D4,'Lead Tracker'!$J:$J,$I$3)</calculatedColumnFormula>
    </tableColumn>
    <tableColumn id="5" xr3:uid="{7C413BA1-6BA9-4AFC-BD4E-02FE5EB7FB39}" name="NOT INTERESTED" dataDxfId="21">
      <calculatedColumnFormula>COUNTIFS('Lead Tracker'!$L:$L,D4,'Lead Tracker'!$J:$J,$J$3)</calculatedColumnFormula>
    </tableColumn>
    <tableColumn id="6" xr3:uid="{A910EA6A-243C-435F-98DE-FFD70F99368A}" name="SITE VISIT REQ." dataDxfId="20">
      <calculatedColumnFormula>COUNTIFS('Lead Tracker'!$L:$L,D4,'Lead Tracker'!$J:$J,$K$3)</calculatedColumnFormula>
    </tableColumn>
    <tableColumn id="7" xr3:uid="{AEDB7ED5-E099-494B-9B9B-5843B00A8EAA}" name="QUOTATION REQ." dataDxfId="19">
      <calculatedColumnFormula>COUNTIFS('Lead Tracker'!$L:$L,D4,'Lead Tracker'!$J:$J,$L$3)</calculatedColumnFormula>
    </tableColumn>
    <tableColumn id="8" xr3:uid="{7500346C-3B09-496C-A9F1-B441E39F3228}" name="NOT RECEIVED" dataDxfId="18">
      <calculatedColumnFormula>COUNTIFS('Lead Tracker'!$L:$L,D4,'Lead Tracker'!$J:$J,$M$3)</calculatedColumnFormula>
    </tableColumn>
    <tableColumn id="9" xr3:uid="{23247A33-AF58-46D1-A58D-AA1621451E2B}" name="FAKE" dataDxfId="17">
      <calculatedColumnFormula>COUNTIFS('Lead Tracker'!$L:$L,D4,'Lead Tracker'!$J:$J,$N$3)</calculatedColumnFormula>
    </tableColumn>
    <tableColumn id="10" xr3:uid="{76438E31-DD9D-48B4-B486-37981B824CEC}" name="FULFILLED" dataDxfId="16">
      <calculatedColumnFormula>COUNTIFS('Lead Tracker'!$L:$L,D4,'Lead Tracker'!$J:$J,$O$3)</calculatedColumnFormula>
    </tableColumn>
    <tableColumn id="11" xr3:uid="{0E41D582-C280-4251-B82D-9DBD38A6950B}" name="QUOTATION SHARED" dataDxfId="15">
      <calculatedColumnFormula>COUNTIFS('Lead Tracker'!$L:$L,D4,'Lead Tracker'!$J:$J,$P$3)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95661-E066-4716-98A7-BEEBFCFFA030}" name="Table43" displayName="Table43" ref="J3:L12" totalsRowShown="0" headerRowDxfId="14" headerRowBorderDxfId="13" tableBorderDxfId="12" totalsRowBorderDxfId="11">
  <autoFilter ref="J3:L12" xr:uid="{D5595EF5-2C29-4571-9FD9-8D6934D74441}"/>
  <tableColumns count="3">
    <tableColumn id="1" xr3:uid="{490ACE9C-FDD9-4EAF-99E6-1197FEAB8C12}" name="CONDITION " dataDxfId="10"/>
    <tableColumn id="2" xr3:uid="{F663B059-5673-47E2-94B7-0977D28FD6D1}" name="ORDERS NO" dataDxfId="9">
      <calculatedColumnFormula>COUNTIFS([1]ORDERS!K2:K916,J4)</calculatedColumnFormula>
    </tableColumn>
    <tableColumn id="3" xr3:uid="{A5224091-49AE-4847-80F8-25D7487B5198}" name="AMOUNT" dataDxfId="8">
      <calculatedColumnFormula>SUMIFS([1]ORDERS!G:G,[1]ORDERS!K:K,J4)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260C82-A4AF-43E8-B5AF-FE33B629AFE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ec04a65-79a7-4dab-bcee-53f9265189e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driyashipping@gmail.com" TargetMode="External"/><Relationship Id="rId21" Type="http://schemas.openxmlformats.org/officeDocument/2006/relationships/hyperlink" Target="mailto:kamsiddha.lif@gmail.com" TargetMode="External"/><Relationship Id="rId42" Type="http://schemas.openxmlformats.org/officeDocument/2006/relationships/hyperlink" Target="mailto:dbcoe.chiefeng@gmail.com" TargetMode="External"/><Relationship Id="rId47" Type="http://schemas.openxmlformats.org/officeDocument/2006/relationships/hyperlink" Target="mailto:store.purchase@shivangitmtbars.com" TargetMode="External"/><Relationship Id="rId63" Type="http://schemas.openxmlformats.org/officeDocument/2006/relationships/hyperlink" Target="mailto:ASuryawanshi@tox-in.com" TargetMode="External"/><Relationship Id="rId68" Type="http://schemas.openxmlformats.org/officeDocument/2006/relationships/hyperlink" Target="mailto:pravin.belhekar@cummins.com" TargetMode="External"/><Relationship Id="rId16" Type="http://schemas.openxmlformats.org/officeDocument/2006/relationships/hyperlink" Target="mailto:%3capplicationengg@impregseal.com" TargetMode="External"/><Relationship Id="rId11" Type="http://schemas.openxmlformats.org/officeDocument/2006/relationships/hyperlink" Target="mailto:pmtdel@pmtcoltd.com" TargetMode="External"/><Relationship Id="rId24" Type="http://schemas.openxmlformats.org/officeDocument/2006/relationships/hyperlink" Target="mailto:basirboghara26@gmail.com" TargetMode="External"/><Relationship Id="rId32" Type="http://schemas.openxmlformats.org/officeDocument/2006/relationships/hyperlink" Target="mailto:AVINASHJAIN59@GMAIL.COM" TargetMode="External"/><Relationship Id="rId37" Type="http://schemas.openxmlformats.org/officeDocument/2006/relationships/hyperlink" Target="mailto:baljeetsainibaljeetkaur5008@gmail.com" TargetMode="External"/><Relationship Id="rId40" Type="http://schemas.openxmlformats.org/officeDocument/2006/relationships/hyperlink" Target="mailto:shindeabhishek004@gmail.com" TargetMode="External"/><Relationship Id="rId45" Type="http://schemas.openxmlformats.org/officeDocument/2006/relationships/hyperlink" Target="mailto:m_k_jaiswal@rediffmail.com" TargetMode="External"/><Relationship Id="rId53" Type="http://schemas.openxmlformats.org/officeDocument/2006/relationships/hyperlink" Target="mailto:vaibhav.randhave@cummins.com" TargetMode="External"/><Relationship Id="rId58" Type="http://schemas.openxmlformats.org/officeDocument/2006/relationships/hyperlink" Target="mailto:vishwakarmaenter123@gmail.com" TargetMode="External"/><Relationship Id="rId66" Type="http://schemas.openxmlformats.org/officeDocument/2006/relationships/hyperlink" Target="mailto:maventratech@gmail.com" TargetMode="External"/><Relationship Id="rId74" Type="http://schemas.openxmlformats.org/officeDocument/2006/relationships/hyperlink" Target="mailto:krunal.karande@gmail.com" TargetMode="External"/><Relationship Id="rId5" Type="http://schemas.openxmlformats.org/officeDocument/2006/relationships/hyperlink" Target="mailto:anil.m@ekamobility.com" TargetMode="External"/><Relationship Id="rId61" Type="http://schemas.openxmlformats.org/officeDocument/2006/relationships/hyperlink" Target="mailto:VShinde@tox-in.com" TargetMode="External"/><Relationship Id="rId19" Type="http://schemas.openxmlformats.org/officeDocument/2006/relationships/hyperlink" Target="mailto:rajiv.gaikwad@dynapac.com" TargetMode="External"/><Relationship Id="rId14" Type="http://schemas.openxmlformats.org/officeDocument/2006/relationships/hyperlink" Target="mailto:-aakrutitooling@gmail.com" TargetMode="External"/><Relationship Id="rId22" Type="http://schemas.openxmlformats.org/officeDocument/2006/relationships/hyperlink" Target="mailto:%3cliftsafesales@gmail.com" TargetMode="External"/><Relationship Id="rId27" Type="http://schemas.openxmlformats.org/officeDocument/2006/relationships/hyperlink" Target="mailto:umsscales@gmail.com" TargetMode="External"/><Relationship Id="rId30" Type="http://schemas.openxmlformats.org/officeDocument/2006/relationships/hyperlink" Target="mailto:arvinddandwate2@gmail.com" TargetMode="External"/><Relationship Id="rId35" Type="http://schemas.openxmlformats.org/officeDocument/2006/relationships/hyperlink" Target="mailto:marketingplus.gg@gmail.com" TargetMode="External"/><Relationship Id="rId43" Type="http://schemas.openxmlformats.org/officeDocument/2006/relationships/hyperlink" Target="mailto:purchase@ikjrolls.com" TargetMode="External"/><Relationship Id="rId48" Type="http://schemas.openxmlformats.org/officeDocument/2006/relationships/hyperlink" Target="mailto:shammorya10@gmail.com" TargetMode="External"/><Relationship Id="rId56" Type="http://schemas.openxmlformats.org/officeDocument/2006/relationships/hyperlink" Target="mailto:gaurav@orgogroup.in" TargetMode="External"/><Relationship Id="rId64" Type="http://schemas.openxmlformats.org/officeDocument/2006/relationships/hyperlink" Target="mailto:arundatkhil@gmail.com" TargetMode="External"/><Relationship Id="rId69" Type="http://schemas.openxmlformats.org/officeDocument/2006/relationships/hyperlink" Target="mailto:Rahulp@jendamark.in" TargetMode="External"/><Relationship Id="rId77" Type="http://schemas.microsoft.com/office/2019/04/relationships/namedSheetView" Target="../namedSheetViews/namedSheetView1.xml"/><Relationship Id="rId8" Type="http://schemas.openxmlformats.org/officeDocument/2006/relationships/hyperlink" Target="mailto:sshambhussingh08893@gmail.com" TargetMode="External"/><Relationship Id="rId51" Type="http://schemas.openxmlformats.org/officeDocument/2006/relationships/hyperlink" Target="mailto:eki1@endo-india.co.in" TargetMode="External"/><Relationship Id="rId72" Type="http://schemas.openxmlformats.org/officeDocument/2006/relationships/hyperlink" Target="mailto:BTapkir@tox-in.com" TargetMode="External"/><Relationship Id="rId3" Type="http://schemas.openxmlformats.org/officeDocument/2006/relationships/hyperlink" Target="mailto:%3cRaviprasad.Savkar@Emerson.com" TargetMode="External"/><Relationship Id="rId12" Type="http://schemas.openxmlformats.org/officeDocument/2006/relationships/hyperlink" Target="mailto:nsnkarthik12@gmail.com" TargetMode="External"/><Relationship Id="rId17" Type="http://schemas.openxmlformats.org/officeDocument/2006/relationships/hyperlink" Target="mailto:purchase.infra@clfprojects.com" TargetMode="External"/><Relationship Id="rId25" Type="http://schemas.openxmlformats.org/officeDocument/2006/relationships/hyperlink" Target="mailto:srimahalakshmi216@gmail.com" TargetMode="External"/><Relationship Id="rId33" Type="http://schemas.openxmlformats.org/officeDocument/2006/relationships/hyperlink" Target="mailto:waseem.shikalkar@gmail.com" TargetMode="External"/><Relationship Id="rId38" Type="http://schemas.openxmlformats.org/officeDocument/2006/relationships/hyperlink" Target="mailto:purchase@xpertmhe.com" TargetMode="External"/><Relationship Id="rId46" Type="http://schemas.openxmlformats.org/officeDocument/2006/relationships/hyperlink" Target="mailto:sanojkr1988@gmail.com" TargetMode="External"/><Relationship Id="rId59" Type="http://schemas.openxmlformats.org/officeDocument/2006/relationships/hyperlink" Target="mailto:weldzone2016@gmail.com" TargetMode="External"/><Relationship Id="rId67" Type="http://schemas.openxmlformats.org/officeDocument/2006/relationships/hyperlink" Target="mailto:yoganna75@gmail.com" TargetMode="External"/><Relationship Id="rId20" Type="http://schemas.openxmlformats.org/officeDocument/2006/relationships/hyperlink" Target="mailto:haidarali.darveshi@hyosung.com" TargetMode="External"/><Relationship Id="rId41" Type="http://schemas.openxmlformats.org/officeDocument/2006/relationships/hyperlink" Target="mailto:pareshb56@yahoo.co.in" TargetMode="External"/><Relationship Id="rId54" Type="http://schemas.openxmlformats.org/officeDocument/2006/relationships/hyperlink" Target="mailto:nvranade@bajajauto.co.in" TargetMode="External"/><Relationship Id="rId62" Type="http://schemas.openxmlformats.org/officeDocument/2006/relationships/hyperlink" Target="mailto:VShinde@tox-in.com" TargetMode="External"/><Relationship Id="rId70" Type="http://schemas.openxmlformats.org/officeDocument/2006/relationships/hyperlink" Target="mailto:rajindustries@msn.com%20%20%20%20%20%20%20%20%20%20%20%20%20%20%20%20%20%20%20info@rajindustries.org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%3cJaywant.Sutar@ksb.com" TargetMode="External"/><Relationship Id="rId6" Type="http://schemas.openxmlformats.org/officeDocument/2006/relationships/hyperlink" Target="mailto:dangat9666@gmail.com" TargetMode="External"/><Relationship Id="rId15" Type="http://schemas.openxmlformats.org/officeDocument/2006/relationships/hyperlink" Target="mailto:enersys.pune@gmail.com" TargetMode="External"/><Relationship Id="rId23" Type="http://schemas.openxmlformats.org/officeDocument/2006/relationships/hyperlink" Target="mailto:mohmmad.aslam04@gmail.com" TargetMode="External"/><Relationship Id="rId28" Type="http://schemas.openxmlformats.org/officeDocument/2006/relationships/hyperlink" Target="mailto:coolatul1994@gmail.com" TargetMode="External"/><Relationship Id="rId36" Type="http://schemas.openxmlformats.org/officeDocument/2006/relationships/hyperlink" Target="mailto:kamsiddha.eng@gmail.com" TargetMode="External"/><Relationship Id="rId49" Type="http://schemas.openxmlformats.org/officeDocument/2006/relationships/hyperlink" Target="mailto:nhariharan62@gmail.com" TargetMode="External"/><Relationship Id="rId57" Type="http://schemas.openxmlformats.org/officeDocument/2006/relationships/hyperlink" Target="mailto:kapilpatel1005@gmail.com" TargetMode="External"/><Relationship Id="rId10" Type="http://schemas.openxmlformats.org/officeDocument/2006/relationships/hyperlink" Target="mailto:yuvraj_kate84@rediffmail.com" TargetMode="External"/><Relationship Id="rId31" Type="http://schemas.openxmlformats.org/officeDocument/2006/relationships/hyperlink" Target="mailto:shubhamwadekar35968@gmail.com" TargetMode="External"/><Relationship Id="rId44" Type="http://schemas.openxmlformats.org/officeDocument/2006/relationships/hyperlink" Target="mailto:lankeshjagadale@gmail.com" TargetMode="External"/><Relationship Id="rId52" Type="http://schemas.openxmlformats.org/officeDocument/2006/relationships/hyperlink" Target="mailto:Bipin@as-cti.com" TargetMode="External"/><Relationship Id="rId60" Type="http://schemas.openxmlformats.org/officeDocument/2006/relationships/hyperlink" Target="mailto:gaurav.dare.111@gmail.om" TargetMode="External"/><Relationship Id="rId65" Type="http://schemas.openxmlformats.org/officeDocument/2006/relationships/hyperlink" Target="mailto:chintamani_industries@yahoo.com" TargetMode="External"/><Relationship Id="rId73" Type="http://schemas.openxmlformats.org/officeDocument/2006/relationships/hyperlink" Target="mailto:mechanize_ind@yahoo.com" TargetMode="External"/><Relationship Id="rId4" Type="http://schemas.openxmlformats.org/officeDocument/2006/relationships/hyperlink" Target="mailto:%3csandeep.naikare@cummins.com" TargetMode="External"/><Relationship Id="rId9" Type="http://schemas.openxmlformats.org/officeDocument/2006/relationships/hyperlink" Target="mailto:chetanyelikar@yahoo.in" TargetMode="External"/><Relationship Id="rId13" Type="http://schemas.openxmlformats.org/officeDocument/2006/relationships/hyperlink" Target="mailto:gufrankhanjanimeerut@gmail.com" TargetMode="External"/><Relationship Id="rId18" Type="http://schemas.openxmlformats.org/officeDocument/2006/relationships/hyperlink" Target="mailto:%3cpratik.patil@jcb.com" TargetMode="External"/><Relationship Id="rId39" Type="http://schemas.openxmlformats.org/officeDocument/2006/relationships/hyperlink" Target="mailto:shinde.abhay333@gmail.com" TargetMode="External"/><Relationship Id="rId34" Type="http://schemas.openxmlformats.org/officeDocument/2006/relationships/hyperlink" Target="mailto:support@buildcheminfra.com" TargetMode="External"/><Relationship Id="rId50" Type="http://schemas.openxmlformats.org/officeDocument/2006/relationships/hyperlink" Target="mailto:kishor.nirmal@sanygroup.com" TargetMode="External"/><Relationship Id="rId55" Type="http://schemas.openxmlformats.org/officeDocument/2006/relationships/hyperlink" Target="mailto:raoshebtele22@yahoo.com" TargetMode="External"/><Relationship Id="rId76" Type="http://schemas.openxmlformats.org/officeDocument/2006/relationships/table" Target="../tables/table1.xml"/><Relationship Id="rId7" Type="http://schemas.openxmlformats.org/officeDocument/2006/relationships/hyperlink" Target="mailto:atharvpasalkar146@gmail.com" TargetMode="External"/><Relationship Id="rId71" Type="http://schemas.openxmlformats.org/officeDocument/2006/relationships/hyperlink" Target="mailto:gujar.pur@araiindia.com" TargetMode="External"/><Relationship Id="rId2" Type="http://schemas.openxmlformats.org/officeDocument/2006/relationships/hyperlink" Target="mailto:%3cJaywant.Sutar@ksb.com" TargetMode="External"/><Relationship Id="rId29" Type="http://schemas.openxmlformats.org/officeDocument/2006/relationships/hyperlink" Target="mailto:arjunkurhade6696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S126"/>
  <sheetViews>
    <sheetView tabSelected="1" zoomScale="70" zoomScaleNormal="70" workbookViewId="0">
      <pane xSplit="3" ySplit="1" topLeftCell="K4" activePane="bottomRight" state="frozen"/>
      <selection pane="topRight" activeCell="D1" sqref="D1"/>
      <selection pane="bottomLeft" activeCell="A2" sqref="A2"/>
      <selection pane="bottomRight" sqref="A1:XFD1"/>
    </sheetView>
  </sheetViews>
  <sheetFormatPr defaultRowHeight="14.4"/>
  <cols>
    <col min="1" max="1" width="9.5546875" customWidth="1"/>
    <col min="2" max="2" width="11.44140625" style="2" customWidth="1"/>
    <col min="3" max="3" width="36.5546875" bestFit="1" customWidth="1"/>
    <col min="4" max="4" width="14.109375" customWidth="1"/>
    <col min="5" max="5" width="16.44140625" bestFit="1" customWidth="1"/>
    <col min="6" max="6" width="18.33203125" bestFit="1" customWidth="1"/>
    <col min="7" max="7" width="36.5546875" style="2" bestFit="1" customWidth="1"/>
    <col min="8" max="8" width="16" style="2" customWidth="1"/>
    <col min="9" max="9" width="30.6640625" style="14" bestFit="1" customWidth="1"/>
    <col min="10" max="10" width="19.33203125" style="1" bestFit="1" customWidth="1"/>
    <col min="11" max="11" width="27.44140625" bestFit="1" customWidth="1"/>
    <col min="12" max="12" width="17" bestFit="1" customWidth="1"/>
    <col min="13" max="13" width="18.6640625" customWidth="1"/>
    <col min="14" max="14" width="36.5546875" bestFit="1" customWidth="1"/>
    <col min="15" max="15" width="22.6640625" style="2" customWidth="1"/>
    <col min="16" max="16" width="30.88671875" style="73" customWidth="1"/>
    <col min="17" max="17" width="25.6640625" customWidth="1"/>
    <col min="18" max="18" width="27.109375" customWidth="1"/>
    <col min="19" max="19" width="22.88671875" customWidth="1"/>
    <col min="20" max="20" width="24.109375" customWidth="1"/>
    <col min="21" max="21" width="11.6640625" bestFit="1" customWidth="1"/>
    <col min="22" max="22" width="8.5546875" bestFit="1" customWidth="1"/>
  </cols>
  <sheetData>
    <row r="1" spans="1:19" s="128" customFormat="1" ht="21" customHeight="1">
      <c r="A1" s="119" t="s">
        <v>0</v>
      </c>
      <c r="B1" s="120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0" t="s">
        <v>6</v>
      </c>
      <c r="H1" s="120" t="s">
        <v>7</v>
      </c>
      <c r="I1" s="122" t="s">
        <v>8</v>
      </c>
      <c r="J1" s="123" t="s">
        <v>9</v>
      </c>
      <c r="K1" s="121" t="s">
        <v>10</v>
      </c>
      <c r="L1" s="124" t="s">
        <v>11</v>
      </c>
      <c r="M1" s="121" t="s">
        <v>12</v>
      </c>
      <c r="N1" s="121" t="s">
        <v>13</v>
      </c>
      <c r="O1" s="120" t="s">
        <v>14</v>
      </c>
      <c r="P1" s="125" t="s">
        <v>15</v>
      </c>
      <c r="Q1" s="121" t="s">
        <v>16</v>
      </c>
      <c r="R1" s="126" t="s">
        <v>17</v>
      </c>
      <c r="S1" s="127" t="s">
        <v>18</v>
      </c>
    </row>
    <row r="2" spans="1:19" ht="27.6">
      <c r="A2" s="99">
        <f t="shared" ref="A2:A33" si="0">ROW()-1</f>
        <v>1</v>
      </c>
      <c r="B2" s="186">
        <v>46113</v>
      </c>
      <c r="C2" s="78" t="s">
        <v>19</v>
      </c>
      <c r="D2" s="78" t="s">
        <v>20</v>
      </c>
      <c r="E2" s="78" t="s">
        <v>21</v>
      </c>
      <c r="F2" s="78" t="s">
        <v>22</v>
      </c>
      <c r="G2" s="78" t="s">
        <v>23</v>
      </c>
      <c r="H2" s="108">
        <v>9767350574</v>
      </c>
      <c r="I2" s="101" t="s">
        <v>24</v>
      </c>
      <c r="J2" s="78" t="s">
        <v>25</v>
      </c>
      <c r="K2" s="78" t="s">
        <v>26</v>
      </c>
      <c r="L2" s="78" t="s">
        <v>27</v>
      </c>
      <c r="M2" s="78" t="s">
        <v>28</v>
      </c>
      <c r="N2" s="227" t="s">
        <v>29</v>
      </c>
      <c r="O2" s="92">
        <v>46113</v>
      </c>
      <c r="P2" s="93">
        <v>450000</v>
      </c>
      <c r="Q2" s="94"/>
      <c r="R2" s="91"/>
    </row>
    <row r="3" spans="1:19" ht="15.6">
      <c r="A3" s="100">
        <f t="shared" si="0"/>
        <v>2</v>
      </c>
      <c r="B3" s="186">
        <v>46113</v>
      </c>
      <c r="C3" s="80" t="s">
        <v>30</v>
      </c>
      <c r="D3" s="80" t="s">
        <v>31</v>
      </c>
      <c r="E3" s="80" t="s">
        <v>21</v>
      </c>
      <c r="F3" s="80" t="s">
        <v>32</v>
      </c>
      <c r="G3" s="80" t="s">
        <v>33</v>
      </c>
      <c r="H3" s="109">
        <v>9970951430</v>
      </c>
      <c r="I3" s="102" t="s">
        <v>34</v>
      </c>
      <c r="J3" s="80" t="s">
        <v>25</v>
      </c>
      <c r="K3" s="81" t="s">
        <v>35</v>
      </c>
      <c r="L3" s="80" t="s">
        <v>36</v>
      </c>
      <c r="M3" s="80" t="s">
        <v>37</v>
      </c>
      <c r="N3" s="95"/>
      <c r="O3" s="96"/>
      <c r="P3" s="97"/>
      <c r="Q3" s="98"/>
      <c r="R3" s="95"/>
    </row>
    <row r="4" spans="1:19" ht="15.6">
      <c r="A4" s="99">
        <f t="shared" si="0"/>
        <v>3</v>
      </c>
      <c r="B4" s="186">
        <v>46113</v>
      </c>
      <c r="C4" s="82"/>
      <c r="D4" s="78"/>
      <c r="E4" s="78"/>
      <c r="F4" s="78" t="s">
        <v>38</v>
      </c>
      <c r="G4" s="78" t="s">
        <v>39</v>
      </c>
      <c r="H4" s="110">
        <v>9146215901</v>
      </c>
      <c r="I4" s="101" t="s">
        <v>40</v>
      </c>
      <c r="J4" s="78" t="s">
        <v>41</v>
      </c>
      <c r="K4" s="83" t="s">
        <v>42</v>
      </c>
      <c r="L4" s="78" t="s">
        <v>43</v>
      </c>
      <c r="M4" s="78" t="s">
        <v>44</v>
      </c>
      <c r="N4" s="91"/>
      <c r="O4" s="92"/>
      <c r="P4" s="93"/>
      <c r="Q4" s="94"/>
      <c r="R4" s="91"/>
    </row>
    <row r="5" spans="1:19" ht="15.6">
      <c r="A5" s="100">
        <f t="shared" si="0"/>
        <v>4</v>
      </c>
      <c r="B5" s="186">
        <v>46113</v>
      </c>
      <c r="C5" s="80" t="s">
        <v>45</v>
      </c>
      <c r="D5" s="80" t="s">
        <v>46</v>
      </c>
      <c r="E5" s="80" t="s">
        <v>21</v>
      </c>
      <c r="F5" s="80" t="s">
        <v>47</v>
      </c>
      <c r="G5" s="80" t="s">
        <v>48</v>
      </c>
      <c r="H5" s="109">
        <v>7249020866</v>
      </c>
      <c r="I5" s="103" t="s">
        <v>49</v>
      </c>
      <c r="J5" s="80" t="s">
        <v>41</v>
      </c>
      <c r="K5" s="81" t="s">
        <v>50</v>
      </c>
      <c r="L5" s="80" t="s">
        <v>43</v>
      </c>
      <c r="M5" s="80" t="s">
        <v>51</v>
      </c>
      <c r="N5" s="95"/>
      <c r="O5" s="96"/>
      <c r="P5" s="97"/>
      <c r="Q5" s="98"/>
      <c r="R5" s="95"/>
    </row>
    <row r="6" spans="1:19" ht="15.6">
      <c r="A6" s="99">
        <f t="shared" si="0"/>
        <v>5</v>
      </c>
      <c r="B6" s="186">
        <v>46113</v>
      </c>
      <c r="C6" s="78"/>
      <c r="D6" s="78" t="s">
        <v>52</v>
      </c>
      <c r="E6" s="78"/>
      <c r="F6" s="78"/>
      <c r="G6" s="78" t="s">
        <v>53</v>
      </c>
      <c r="H6" s="110">
        <v>8080534980</v>
      </c>
      <c r="I6" s="101" t="s">
        <v>52</v>
      </c>
      <c r="J6" s="78" t="s">
        <v>54</v>
      </c>
      <c r="K6" s="83" t="s">
        <v>55</v>
      </c>
      <c r="L6" s="78" t="s">
        <v>43</v>
      </c>
      <c r="M6" s="78" t="s">
        <v>51</v>
      </c>
      <c r="N6" s="91"/>
      <c r="O6" s="92"/>
      <c r="P6" s="93"/>
      <c r="Q6" s="94"/>
      <c r="R6" s="91"/>
    </row>
    <row r="7" spans="1:19" ht="15.6">
      <c r="A7" s="100">
        <f t="shared" si="0"/>
        <v>6</v>
      </c>
      <c r="B7" s="186">
        <v>46113</v>
      </c>
      <c r="C7" s="80" t="s">
        <v>56</v>
      </c>
      <c r="D7" s="80" t="s">
        <v>57</v>
      </c>
      <c r="E7" s="80" t="s">
        <v>21</v>
      </c>
      <c r="F7" s="80" t="s">
        <v>22</v>
      </c>
      <c r="G7" s="80"/>
      <c r="H7" s="111"/>
      <c r="I7" s="104"/>
      <c r="J7" s="80" t="s">
        <v>25</v>
      </c>
      <c r="K7" s="80" t="s">
        <v>58</v>
      </c>
      <c r="L7" s="80" t="s">
        <v>36</v>
      </c>
      <c r="M7" s="80" t="s">
        <v>37</v>
      </c>
      <c r="N7" s="95"/>
      <c r="O7" s="96"/>
      <c r="P7" s="97"/>
      <c r="Q7" s="98"/>
      <c r="R7" s="95"/>
    </row>
    <row r="8" spans="1:19" ht="15.6">
      <c r="A8" s="99">
        <f t="shared" si="0"/>
        <v>7</v>
      </c>
      <c r="B8" s="186">
        <v>46113</v>
      </c>
      <c r="C8" s="78" t="s">
        <v>59</v>
      </c>
      <c r="D8" s="78" t="s">
        <v>57</v>
      </c>
      <c r="E8" s="78" t="s">
        <v>21</v>
      </c>
      <c r="F8" s="78" t="s">
        <v>38</v>
      </c>
      <c r="G8" s="78" t="s">
        <v>60</v>
      </c>
      <c r="H8" s="112"/>
      <c r="I8" s="105"/>
      <c r="J8" s="78" t="s">
        <v>25</v>
      </c>
      <c r="K8" s="78"/>
      <c r="L8" s="78" t="s">
        <v>36</v>
      </c>
      <c r="M8" s="78" t="s">
        <v>37</v>
      </c>
      <c r="N8" s="91"/>
      <c r="O8" s="92"/>
      <c r="P8" s="93"/>
      <c r="Q8" s="94"/>
      <c r="R8" s="91"/>
    </row>
    <row r="9" spans="1:19" ht="15.6">
      <c r="A9" s="100">
        <f t="shared" si="0"/>
        <v>8</v>
      </c>
      <c r="B9" s="186">
        <v>46113</v>
      </c>
      <c r="C9" s="80" t="s">
        <v>61</v>
      </c>
      <c r="D9" s="80" t="s">
        <v>62</v>
      </c>
      <c r="E9" s="80" t="s">
        <v>63</v>
      </c>
      <c r="F9" s="80" t="s">
        <v>64</v>
      </c>
      <c r="G9" s="80" t="s">
        <v>65</v>
      </c>
      <c r="H9" s="111"/>
      <c r="I9" s="103" t="s">
        <v>66</v>
      </c>
      <c r="J9" s="80" t="s">
        <v>25</v>
      </c>
      <c r="K9" s="80" t="s">
        <v>67</v>
      </c>
      <c r="L9" s="80" t="s">
        <v>36</v>
      </c>
      <c r="M9" s="80" t="s">
        <v>37</v>
      </c>
      <c r="N9" s="95" t="s">
        <v>68</v>
      </c>
      <c r="O9" s="96">
        <v>46116</v>
      </c>
      <c r="P9" s="97"/>
      <c r="Q9" s="98" t="s">
        <v>69</v>
      </c>
      <c r="R9" s="95"/>
    </row>
    <row r="10" spans="1:19" ht="15.6">
      <c r="A10" s="99">
        <f t="shared" si="0"/>
        <v>9</v>
      </c>
      <c r="B10" s="186">
        <v>46113</v>
      </c>
      <c r="C10" s="78" t="s">
        <v>70</v>
      </c>
      <c r="D10" s="78" t="s">
        <v>71</v>
      </c>
      <c r="E10" s="78" t="s">
        <v>21</v>
      </c>
      <c r="F10" s="78" t="s">
        <v>47</v>
      </c>
      <c r="G10" s="78" t="s">
        <v>72</v>
      </c>
      <c r="H10" s="113">
        <v>9146185214</v>
      </c>
      <c r="I10" s="101" t="s">
        <v>73</v>
      </c>
      <c r="J10" s="78" t="s">
        <v>25</v>
      </c>
      <c r="K10" s="83" t="s">
        <v>74</v>
      </c>
      <c r="L10" s="78" t="s">
        <v>36</v>
      </c>
      <c r="M10" s="78" t="s">
        <v>28</v>
      </c>
      <c r="N10" s="91"/>
      <c r="O10" s="92"/>
      <c r="P10" s="93"/>
      <c r="Q10" s="94"/>
      <c r="R10" s="91"/>
    </row>
    <row r="11" spans="1:19" ht="15.6">
      <c r="A11" s="100">
        <f t="shared" si="0"/>
        <v>10</v>
      </c>
      <c r="B11" s="186">
        <v>46113</v>
      </c>
      <c r="C11" s="80" t="s">
        <v>75</v>
      </c>
      <c r="D11" s="80" t="s">
        <v>57</v>
      </c>
      <c r="E11" s="80" t="s">
        <v>21</v>
      </c>
      <c r="F11" s="80" t="s">
        <v>47</v>
      </c>
      <c r="G11" s="80" t="s">
        <v>76</v>
      </c>
      <c r="H11" s="111">
        <v>9765559037</v>
      </c>
      <c r="I11" s="103" t="s">
        <v>77</v>
      </c>
      <c r="J11" s="80" t="s">
        <v>25</v>
      </c>
      <c r="K11" s="81" t="s">
        <v>78</v>
      </c>
      <c r="L11" s="80" t="s">
        <v>36</v>
      </c>
      <c r="M11" s="80" t="s">
        <v>37</v>
      </c>
      <c r="N11" s="95" t="s">
        <v>79</v>
      </c>
      <c r="O11" s="96"/>
      <c r="P11" s="97"/>
      <c r="Q11" s="98"/>
      <c r="R11" s="95"/>
    </row>
    <row r="12" spans="1:19" ht="18" customHeight="1">
      <c r="A12" s="99">
        <f t="shared" si="0"/>
        <v>11</v>
      </c>
      <c r="B12" s="186">
        <v>46113</v>
      </c>
      <c r="C12" s="78"/>
      <c r="D12" s="78" t="s">
        <v>80</v>
      </c>
      <c r="E12" s="78" t="s">
        <v>21</v>
      </c>
      <c r="F12" s="78" t="s">
        <v>81</v>
      </c>
      <c r="G12" s="85" t="s">
        <v>82</v>
      </c>
      <c r="H12" s="114">
        <v>9324210241</v>
      </c>
      <c r="I12" s="101" t="s">
        <v>83</v>
      </c>
      <c r="J12" s="78" t="s">
        <v>84</v>
      </c>
      <c r="K12" s="86" t="s">
        <v>85</v>
      </c>
      <c r="L12" s="78" t="s">
        <v>86</v>
      </c>
      <c r="M12" s="78" t="s">
        <v>51</v>
      </c>
      <c r="N12" s="91"/>
      <c r="O12" s="92"/>
      <c r="P12" s="93"/>
      <c r="Q12" s="94"/>
      <c r="R12" s="91"/>
    </row>
    <row r="13" spans="1:19" ht="24">
      <c r="A13" s="100">
        <f t="shared" si="0"/>
        <v>12</v>
      </c>
      <c r="B13" s="186">
        <v>46113</v>
      </c>
      <c r="C13" s="80" t="s">
        <v>87</v>
      </c>
      <c r="D13" s="87" t="s">
        <v>88</v>
      </c>
      <c r="E13" s="80"/>
      <c r="F13" s="80" t="s">
        <v>47</v>
      </c>
      <c r="G13" s="87" t="s">
        <v>89</v>
      </c>
      <c r="H13" s="111">
        <v>9007847150</v>
      </c>
      <c r="I13" s="106" t="s">
        <v>90</v>
      </c>
      <c r="J13" s="80" t="s">
        <v>91</v>
      </c>
      <c r="K13" s="81" t="s">
        <v>92</v>
      </c>
      <c r="L13" s="80" t="s">
        <v>86</v>
      </c>
      <c r="M13" s="80" t="s">
        <v>51</v>
      </c>
      <c r="N13" s="95"/>
      <c r="O13" s="96"/>
      <c r="P13" s="97"/>
      <c r="Q13" s="98"/>
      <c r="R13" s="95"/>
    </row>
    <row r="14" spans="1:19" ht="15.6">
      <c r="A14" s="99">
        <f t="shared" si="0"/>
        <v>13</v>
      </c>
      <c r="B14" s="186">
        <v>46113</v>
      </c>
      <c r="C14" s="78" t="s">
        <v>93</v>
      </c>
      <c r="D14" s="78" t="s">
        <v>94</v>
      </c>
      <c r="E14" s="78" t="s">
        <v>21</v>
      </c>
      <c r="F14" s="78" t="s">
        <v>47</v>
      </c>
      <c r="G14" s="78" t="s">
        <v>76</v>
      </c>
      <c r="H14" s="110">
        <v>9970951430</v>
      </c>
      <c r="I14" s="107" t="s">
        <v>34</v>
      </c>
      <c r="J14" s="78" t="s">
        <v>25</v>
      </c>
      <c r="K14" s="83" t="s">
        <v>35</v>
      </c>
      <c r="L14" s="78" t="s">
        <v>36</v>
      </c>
      <c r="M14" s="78" t="s">
        <v>37</v>
      </c>
      <c r="N14" s="91"/>
      <c r="O14" s="92"/>
      <c r="P14" s="93"/>
      <c r="Q14" s="94"/>
      <c r="R14" s="91"/>
    </row>
    <row r="15" spans="1:19" ht="15.6">
      <c r="A15" s="100">
        <f t="shared" si="0"/>
        <v>14</v>
      </c>
      <c r="B15" s="186">
        <v>46114</v>
      </c>
      <c r="C15" s="80" t="s">
        <v>95</v>
      </c>
      <c r="D15" s="80" t="s">
        <v>96</v>
      </c>
      <c r="E15" s="80" t="s">
        <v>21</v>
      </c>
      <c r="F15" s="80" t="s">
        <v>38</v>
      </c>
      <c r="G15" s="80" t="s">
        <v>97</v>
      </c>
      <c r="H15" s="109">
        <v>8766460470</v>
      </c>
      <c r="I15" s="103" t="s">
        <v>98</v>
      </c>
      <c r="J15" s="80" t="s">
        <v>54</v>
      </c>
      <c r="K15" s="80" t="s">
        <v>99</v>
      </c>
      <c r="L15" s="80" t="s">
        <v>43</v>
      </c>
      <c r="M15" s="80" t="s">
        <v>44</v>
      </c>
      <c r="N15" s="95"/>
      <c r="O15" s="96"/>
      <c r="P15" s="97"/>
      <c r="Q15" s="98"/>
      <c r="R15" s="95"/>
    </row>
    <row r="16" spans="1:19" ht="15.6">
      <c r="A16" s="99">
        <f t="shared" si="0"/>
        <v>15</v>
      </c>
      <c r="B16" s="186">
        <v>46114</v>
      </c>
      <c r="C16" s="78"/>
      <c r="D16" s="78" t="s">
        <v>96</v>
      </c>
      <c r="E16" s="78" t="s">
        <v>21</v>
      </c>
      <c r="F16" s="78" t="s">
        <v>47</v>
      </c>
      <c r="G16" s="78" t="s">
        <v>100</v>
      </c>
      <c r="H16" s="115">
        <v>7385604099</v>
      </c>
      <c r="I16" s="101"/>
      <c r="J16" s="78" t="s">
        <v>101</v>
      </c>
      <c r="K16" s="78" t="s">
        <v>102</v>
      </c>
      <c r="L16" s="78" t="s">
        <v>86</v>
      </c>
      <c r="M16" s="78" t="s">
        <v>51</v>
      </c>
      <c r="N16" s="91"/>
      <c r="O16" s="92"/>
      <c r="P16" s="93"/>
      <c r="Q16" s="94"/>
      <c r="R16" s="91"/>
    </row>
    <row r="17" spans="1:18" ht="15.6">
      <c r="A17" s="100">
        <f t="shared" si="0"/>
        <v>16</v>
      </c>
      <c r="B17" s="186">
        <v>46114</v>
      </c>
      <c r="C17" s="80"/>
      <c r="D17" s="80" t="s">
        <v>103</v>
      </c>
      <c r="E17" s="80"/>
      <c r="F17" s="80" t="s">
        <v>47</v>
      </c>
      <c r="G17" s="80" t="s">
        <v>104</v>
      </c>
      <c r="H17" s="116">
        <v>9883612877</v>
      </c>
      <c r="I17" s="103"/>
      <c r="J17" s="80" t="s">
        <v>101</v>
      </c>
      <c r="K17" s="80" t="s">
        <v>105</v>
      </c>
      <c r="L17" s="80" t="s">
        <v>86</v>
      </c>
      <c r="M17" s="80" t="s">
        <v>51</v>
      </c>
      <c r="N17" s="95"/>
      <c r="O17" s="96"/>
      <c r="P17" s="97"/>
      <c r="Q17" s="98"/>
      <c r="R17" s="95"/>
    </row>
    <row r="18" spans="1:18" ht="15.6">
      <c r="A18" s="99">
        <f t="shared" si="0"/>
        <v>17</v>
      </c>
      <c r="B18" s="186">
        <v>46114</v>
      </c>
      <c r="C18" s="78" t="s">
        <v>106</v>
      </c>
      <c r="D18" s="78" t="s">
        <v>107</v>
      </c>
      <c r="E18" s="78" t="s">
        <v>108</v>
      </c>
      <c r="F18" s="78" t="s">
        <v>32</v>
      </c>
      <c r="G18" s="78" t="s">
        <v>109</v>
      </c>
      <c r="H18" s="115" t="s">
        <v>110</v>
      </c>
      <c r="I18" s="101"/>
      <c r="J18" s="78" t="s">
        <v>25</v>
      </c>
      <c r="K18" s="78" t="s">
        <v>111</v>
      </c>
      <c r="L18" s="78" t="s">
        <v>86</v>
      </c>
      <c r="M18" s="78" t="s">
        <v>51</v>
      </c>
      <c r="N18" s="91"/>
      <c r="O18" s="92"/>
      <c r="P18" s="93"/>
      <c r="Q18" s="94"/>
      <c r="R18" s="91"/>
    </row>
    <row r="19" spans="1:18" ht="20.25" customHeight="1">
      <c r="A19" s="100">
        <f t="shared" si="0"/>
        <v>18</v>
      </c>
      <c r="B19" s="186">
        <v>46115</v>
      </c>
      <c r="C19" s="80" t="s">
        <v>112</v>
      </c>
      <c r="D19" s="81" t="s">
        <v>113</v>
      </c>
      <c r="E19" s="80" t="s">
        <v>21</v>
      </c>
      <c r="F19" s="80" t="s">
        <v>47</v>
      </c>
      <c r="G19" s="80" t="s">
        <v>114</v>
      </c>
      <c r="H19" s="111"/>
      <c r="I19" s="102" t="s">
        <v>115</v>
      </c>
      <c r="J19" s="80" t="s">
        <v>25</v>
      </c>
      <c r="K19" s="80"/>
      <c r="L19" s="84" t="s">
        <v>27</v>
      </c>
      <c r="M19" s="80" t="s">
        <v>51</v>
      </c>
      <c r="N19" s="95" t="s">
        <v>116</v>
      </c>
      <c r="O19" s="96">
        <v>46117</v>
      </c>
      <c r="P19" s="97"/>
      <c r="Q19" s="98" t="s">
        <v>69</v>
      </c>
      <c r="R19" s="95"/>
    </row>
    <row r="20" spans="1:18" ht="23.25" customHeight="1">
      <c r="A20" s="99">
        <f t="shared" si="0"/>
        <v>19</v>
      </c>
      <c r="B20" s="186">
        <v>46115</v>
      </c>
      <c r="C20" s="78" t="s">
        <v>117</v>
      </c>
      <c r="D20" s="78"/>
      <c r="E20" s="78" t="s">
        <v>21</v>
      </c>
      <c r="F20" s="78" t="s">
        <v>22</v>
      </c>
      <c r="G20" s="78" t="s">
        <v>118</v>
      </c>
      <c r="H20" s="112"/>
      <c r="I20" s="107" t="s">
        <v>119</v>
      </c>
      <c r="J20" s="78" t="s">
        <v>25</v>
      </c>
      <c r="K20" s="78"/>
      <c r="L20" s="82" t="s">
        <v>43</v>
      </c>
      <c r="M20" s="78" t="s">
        <v>51</v>
      </c>
      <c r="N20" s="91" t="s">
        <v>120</v>
      </c>
      <c r="O20" s="92">
        <v>46116</v>
      </c>
      <c r="P20" s="93"/>
      <c r="Q20" s="94" t="s">
        <v>69</v>
      </c>
      <c r="R20" s="91"/>
    </row>
    <row r="21" spans="1:18" ht="15.6">
      <c r="A21" s="100">
        <f t="shared" si="0"/>
        <v>20</v>
      </c>
      <c r="B21" s="186">
        <v>46115</v>
      </c>
      <c r="C21" s="77" t="s">
        <v>121</v>
      </c>
      <c r="D21" s="80" t="s">
        <v>122</v>
      </c>
      <c r="E21" s="80" t="s">
        <v>21</v>
      </c>
      <c r="F21" s="80" t="s">
        <v>22</v>
      </c>
      <c r="G21" s="80" t="s">
        <v>123</v>
      </c>
      <c r="H21" s="111"/>
      <c r="I21" s="102" t="s">
        <v>124</v>
      </c>
      <c r="J21" s="80" t="s">
        <v>25</v>
      </c>
      <c r="K21" s="80"/>
      <c r="L21" s="84" t="s">
        <v>27</v>
      </c>
      <c r="M21" s="80" t="s">
        <v>51</v>
      </c>
      <c r="N21" s="95" t="s">
        <v>125</v>
      </c>
      <c r="O21" s="96">
        <v>46116</v>
      </c>
      <c r="P21" s="97"/>
      <c r="Q21" s="98" t="s">
        <v>69</v>
      </c>
      <c r="R21" s="95"/>
    </row>
    <row r="22" spans="1:18" ht="15.6">
      <c r="A22" s="99">
        <f t="shared" si="0"/>
        <v>21</v>
      </c>
      <c r="B22" s="186">
        <v>46115</v>
      </c>
      <c r="C22" s="78" t="s">
        <v>126</v>
      </c>
      <c r="D22" s="78" t="s">
        <v>127</v>
      </c>
      <c r="E22" s="78" t="s">
        <v>21</v>
      </c>
      <c r="F22" s="78" t="s">
        <v>128</v>
      </c>
      <c r="G22" s="78" t="s">
        <v>129</v>
      </c>
      <c r="H22" s="112">
        <v>9960238973</v>
      </c>
      <c r="I22" s="101" t="s">
        <v>130</v>
      </c>
      <c r="J22" s="78" t="s">
        <v>25</v>
      </c>
      <c r="K22" s="83" t="s">
        <v>131</v>
      </c>
      <c r="L22" s="78" t="s">
        <v>43</v>
      </c>
      <c r="M22" s="78" t="s">
        <v>51</v>
      </c>
      <c r="N22" s="91"/>
      <c r="O22" s="92"/>
      <c r="P22" s="93"/>
      <c r="Q22" s="94"/>
      <c r="R22" s="91"/>
    </row>
    <row r="23" spans="1:18" ht="15.6">
      <c r="A23" s="100">
        <f t="shared" si="0"/>
        <v>22</v>
      </c>
      <c r="B23" s="186">
        <v>46115</v>
      </c>
      <c r="C23" s="80" t="s">
        <v>132</v>
      </c>
      <c r="D23" s="80" t="s">
        <v>133</v>
      </c>
      <c r="E23" s="80" t="s">
        <v>21</v>
      </c>
      <c r="F23" s="80" t="s">
        <v>38</v>
      </c>
      <c r="G23" s="80" t="s">
        <v>134</v>
      </c>
      <c r="H23" s="111">
        <v>9923625798</v>
      </c>
      <c r="I23" s="103" t="s">
        <v>135</v>
      </c>
      <c r="J23" s="80" t="s">
        <v>25</v>
      </c>
      <c r="K23" s="81" t="s">
        <v>136</v>
      </c>
      <c r="L23" s="80" t="s">
        <v>43</v>
      </c>
      <c r="M23" s="80" t="s">
        <v>44</v>
      </c>
      <c r="N23" s="95"/>
      <c r="O23" s="96"/>
      <c r="P23" s="97"/>
      <c r="Q23" s="98"/>
      <c r="R23" s="95"/>
    </row>
    <row r="24" spans="1:18" ht="15.6">
      <c r="A24" s="99">
        <f t="shared" si="0"/>
        <v>23</v>
      </c>
      <c r="B24" s="186">
        <v>46115</v>
      </c>
      <c r="C24" s="78"/>
      <c r="D24" s="78" t="s">
        <v>137</v>
      </c>
      <c r="E24" s="78" t="s">
        <v>21</v>
      </c>
      <c r="F24" s="78" t="s">
        <v>38</v>
      </c>
      <c r="G24" s="78" t="s">
        <v>138</v>
      </c>
      <c r="H24" s="112">
        <v>8591226468</v>
      </c>
      <c r="I24" s="105"/>
      <c r="J24" s="78" t="s">
        <v>84</v>
      </c>
      <c r="K24" s="83" t="s">
        <v>139</v>
      </c>
      <c r="L24" s="78" t="s">
        <v>43</v>
      </c>
      <c r="M24" s="78" t="s">
        <v>44</v>
      </c>
      <c r="N24" s="91"/>
      <c r="O24" s="92"/>
      <c r="P24" s="93"/>
      <c r="Q24" s="94"/>
      <c r="R24" s="91"/>
    </row>
    <row r="25" spans="1:18" ht="15.6">
      <c r="A25" s="100">
        <f t="shared" si="0"/>
        <v>24</v>
      </c>
      <c r="B25" s="186">
        <v>46115</v>
      </c>
      <c r="C25" s="80" t="s">
        <v>140</v>
      </c>
      <c r="D25" s="80" t="s">
        <v>141</v>
      </c>
      <c r="E25" s="80" t="s">
        <v>142</v>
      </c>
      <c r="F25" s="80" t="s">
        <v>64</v>
      </c>
      <c r="G25" s="80" t="s">
        <v>143</v>
      </c>
      <c r="H25" s="111">
        <v>9370556327</v>
      </c>
      <c r="I25" s="103" t="s">
        <v>144</v>
      </c>
      <c r="J25" s="80" t="s">
        <v>145</v>
      </c>
      <c r="K25" s="81" t="s">
        <v>146</v>
      </c>
      <c r="L25" s="80" t="s">
        <v>43</v>
      </c>
      <c r="M25" s="80" t="s">
        <v>37</v>
      </c>
      <c r="N25" s="95"/>
      <c r="O25" s="96"/>
      <c r="P25" s="97"/>
      <c r="Q25" s="98"/>
      <c r="R25" s="95"/>
    </row>
    <row r="26" spans="1:18" ht="15.6">
      <c r="A26" s="99">
        <f t="shared" si="0"/>
        <v>25</v>
      </c>
      <c r="B26" s="186">
        <v>46115</v>
      </c>
      <c r="C26" s="78"/>
      <c r="D26" s="78" t="s">
        <v>147</v>
      </c>
      <c r="E26" s="78" t="s">
        <v>63</v>
      </c>
      <c r="F26" s="78" t="s">
        <v>38</v>
      </c>
      <c r="G26" s="78" t="s">
        <v>39</v>
      </c>
      <c r="H26" s="112">
        <v>7708636022</v>
      </c>
      <c r="I26" s="101" t="s">
        <v>148</v>
      </c>
      <c r="J26" s="78" t="s">
        <v>41</v>
      </c>
      <c r="K26" s="78" t="s">
        <v>149</v>
      </c>
      <c r="L26" s="78" t="s">
        <v>43</v>
      </c>
      <c r="M26" s="78" t="s">
        <v>44</v>
      </c>
      <c r="N26" s="91"/>
      <c r="O26" s="92"/>
      <c r="P26" s="93"/>
      <c r="Q26" s="94"/>
      <c r="R26" s="91"/>
    </row>
    <row r="27" spans="1:18" ht="15.6">
      <c r="A27" s="100">
        <f t="shared" si="0"/>
        <v>26</v>
      </c>
      <c r="B27" s="186">
        <v>46115</v>
      </c>
      <c r="C27" s="80" t="s">
        <v>150</v>
      </c>
      <c r="D27" s="80" t="s">
        <v>151</v>
      </c>
      <c r="E27" s="80" t="s">
        <v>142</v>
      </c>
      <c r="F27" s="80" t="s">
        <v>47</v>
      </c>
      <c r="G27" s="80" t="s">
        <v>152</v>
      </c>
      <c r="H27" s="111">
        <v>9997306071</v>
      </c>
      <c r="I27" s="103" t="s">
        <v>153</v>
      </c>
      <c r="J27" s="80" t="s">
        <v>54</v>
      </c>
      <c r="K27" s="80" t="s">
        <v>154</v>
      </c>
      <c r="L27" s="80" t="s">
        <v>43</v>
      </c>
      <c r="M27" s="80" t="s">
        <v>51</v>
      </c>
      <c r="N27" s="95"/>
      <c r="O27" s="96"/>
      <c r="P27" s="97"/>
      <c r="Q27" s="98"/>
      <c r="R27" s="95"/>
    </row>
    <row r="28" spans="1:18" ht="16.5" customHeight="1">
      <c r="A28" s="99">
        <f t="shared" si="0"/>
        <v>27</v>
      </c>
      <c r="B28" s="186">
        <v>46116</v>
      </c>
      <c r="C28" s="78" t="s">
        <v>155</v>
      </c>
      <c r="D28" s="78" t="s">
        <v>156</v>
      </c>
      <c r="E28" s="78" t="s">
        <v>157</v>
      </c>
      <c r="F28" s="78" t="s">
        <v>64</v>
      </c>
      <c r="G28" s="78" t="s">
        <v>158</v>
      </c>
      <c r="H28" s="112">
        <v>9694664945</v>
      </c>
      <c r="I28" s="105" t="s">
        <v>159</v>
      </c>
      <c r="J28" s="78" t="s">
        <v>101</v>
      </c>
      <c r="K28" s="78" t="s">
        <v>160</v>
      </c>
      <c r="L28" s="78" t="s">
        <v>43</v>
      </c>
      <c r="M28" s="78" t="s">
        <v>51</v>
      </c>
      <c r="N28" s="91"/>
      <c r="O28" s="92"/>
      <c r="P28" s="93"/>
      <c r="Q28" s="94"/>
      <c r="R28" s="91"/>
    </row>
    <row r="29" spans="1:18" ht="15.6">
      <c r="A29" s="100">
        <f t="shared" si="0"/>
        <v>28</v>
      </c>
      <c r="B29" s="186">
        <v>46116</v>
      </c>
      <c r="C29" s="80" t="s">
        <v>161</v>
      </c>
      <c r="D29" s="80" t="s">
        <v>162</v>
      </c>
      <c r="E29" s="80" t="s">
        <v>163</v>
      </c>
      <c r="F29" s="80" t="s">
        <v>47</v>
      </c>
      <c r="G29" s="80" t="s">
        <v>164</v>
      </c>
      <c r="H29" s="111">
        <v>6351590630</v>
      </c>
      <c r="I29" s="75" t="s">
        <v>165</v>
      </c>
      <c r="J29" s="80" t="s">
        <v>41</v>
      </c>
      <c r="K29" s="80" t="s">
        <v>166</v>
      </c>
      <c r="L29" s="80" t="s">
        <v>43</v>
      </c>
      <c r="M29" s="80" t="s">
        <v>51</v>
      </c>
      <c r="N29" s="95"/>
      <c r="O29" s="96"/>
      <c r="P29" s="97"/>
      <c r="Q29" s="98"/>
      <c r="R29" s="95"/>
    </row>
    <row r="30" spans="1:18" ht="15.6">
      <c r="A30" s="99">
        <f t="shared" si="0"/>
        <v>29</v>
      </c>
      <c r="B30" s="186">
        <v>46116</v>
      </c>
      <c r="C30" s="78" t="s">
        <v>167</v>
      </c>
      <c r="D30" s="78" t="s">
        <v>168</v>
      </c>
      <c r="E30" s="78" t="s">
        <v>169</v>
      </c>
      <c r="F30" s="78" t="s">
        <v>38</v>
      </c>
      <c r="G30" s="78" t="s">
        <v>170</v>
      </c>
      <c r="H30" s="112">
        <v>9440860225</v>
      </c>
      <c r="I30" s="76" t="s">
        <v>171</v>
      </c>
      <c r="J30" s="78" t="s">
        <v>91</v>
      </c>
      <c r="K30" s="78" t="s">
        <v>172</v>
      </c>
      <c r="L30" s="78" t="s">
        <v>43</v>
      </c>
      <c r="M30" s="78" t="s">
        <v>44</v>
      </c>
      <c r="N30" s="91"/>
      <c r="O30" s="92"/>
      <c r="P30" s="93"/>
      <c r="Q30" s="94"/>
      <c r="R30" s="91"/>
    </row>
    <row r="31" spans="1:18" ht="15.6">
      <c r="A31" s="100">
        <f t="shared" si="0"/>
        <v>30</v>
      </c>
      <c r="B31" s="186">
        <v>46116</v>
      </c>
      <c r="C31" s="80" t="s">
        <v>173</v>
      </c>
      <c r="D31" s="80" t="s">
        <v>174</v>
      </c>
      <c r="E31" s="80" t="s">
        <v>63</v>
      </c>
      <c r="F31" s="80" t="s">
        <v>32</v>
      </c>
      <c r="G31" s="80" t="s">
        <v>175</v>
      </c>
      <c r="H31" s="111">
        <v>7397256036</v>
      </c>
      <c r="I31" s="75" t="s">
        <v>176</v>
      </c>
      <c r="J31" s="80" t="s">
        <v>101</v>
      </c>
      <c r="K31" s="80" t="s">
        <v>177</v>
      </c>
      <c r="L31" s="80" t="s">
        <v>43</v>
      </c>
      <c r="M31" s="80" t="s">
        <v>51</v>
      </c>
      <c r="N31" s="95"/>
      <c r="O31" s="96"/>
      <c r="P31" s="97"/>
      <c r="Q31" s="98"/>
      <c r="R31" s="95"/>
    </row>
    <row r="32" spans="1:18" ht="15.6">
      <c r="A32" s="99">
        <f t="shared" si="0"/>
        <v>31</v>
      </c>
      <c r="B32" s="186">
        <v>46116</v>
      </c>
      <c r="C32" s="78" t="s">
        <v>178</v>
      </c>
      <c r="D32" s="78"/>
      <c r="E32" s="78" t="s">
        <v>142</v>
      </c>
      <c r="F32" s="78" t="s">
        <v>38</v>
      </c>
      <c r="G32" s="78" t="s">
        <v>179</v>
      </c>
      <c r="H32" s="112">
        <v>9443114544</v>
      </c>
      <c r="I32" s="76" t="s">
        <v>180</v>
      </c>
      <c r="J32" s="78" t="s">
        <v>41</v>
      </c>
      <c r="K32" s="78" t="s">
        <v>181</v>
      </c>
      <c r="L32" s="78" t="s">
        <v>43</v>
      </c>
      <c r="M32" s="78" t="s">
        <v>44</v>
      </c>
      <c r="N32" s="91"/>
      <c r="O32" s="92"/>
      <c r="P32" s="93"/>
      <c r="Q32" s="94"/>
      <c r="R32" s="91"/>
    </row>
    <row r="33" spans="1:18" ht="15.6">
      <c r="A33" s="100">
        <f t="shared" si="0"/>
        <v>32</v>
      </c>
      <c r="B33" s="186">
        <v>46116</v>
      </c>
      <c r="C33" s="80"/>
      <c r="D33" s="80"/>
      <c r="E33" s="80" t="s">
        <v>142</v>
      </c>
      <c r="F33" s="80" t="s">
        <v>38</v>
      </c>
      <c r="G33" s="80" t="s">
        <v>182</v>
      </c>
      <c r="H33" s="111">
        <v>9850103500</v>
      </c>
      <c r="I33" s="75" t="s">
        <v>183</v>
      </c>
      <c r="J33" s="80" t="s">
        <v>91</v>
      </c>
      <c r="K33" s="80" t="s">
        <v>184</v>
      </c>
      <c r="L33" s="80" t="s">
        <v>43</v>
      </c>
      <c r="M33" s="80" t="s">
        <v>44</v>
      </c>
      <c r="N33" s="95"/>
      <c r="O33" s="96"/>
      <c r="P33" s="97"/>
      <c r="Q33" s="98"/>
      <c r="R33" s="95"/>
    </row>
    <row r="34" spans="1:18" ht="15.6">
      <c r="A34" s="99">
        <f t="shared" ref="A34:A65" si="1">ROW()-1</f>
        <v>33</v>
      </c>
      <c r="B34" s="186">
        <v>46116</v>
      </c>
      <c r="C34" s="78"/>
      <c r="D34" s="78" t="s">
        <v>185</v>
      </c>
      <c r="E34" s="78" t="s">
        <v>142</v>
      </c>
      <c r="F34" s="78" t="s">
        <v>38</v>
      </c>
      <c r="G34" s="78" t="s">
        <v>97</v>
      </c>
      <c r="H34" s="112">
        <v>9561900219</v>
      </c>
      <c r="I34" s="76" t="s">
        <v>186</v>
      </c>
      <c r="J34" s="78" t="s">
        <v>84</v>
      </c>
      <c r="K34" s="78" t="s">
        <v>187</v>
      </c>
      <c r="L34" s="78" t="s">
        <v>43</v>
      </c>
      <c r="M34" s="78" t="s">
        <v>44</v>
      </c>
      <c r="N34" s="91"/>
      <c r="O34" s="92"/>
      <c r="P34" s="93"/>
      <c r="Q34" s="94"/>
      <c r="R34" s="91"/>
    </row>
    <row r="35" spans="1:18" ht="15.6">
      <c r="A35" s="100">
        <f t="shared" si="1"/>
        <v>34</v>
      </c>
      <c r="B35" s="186">
        <v>46116</v>
      </c>
      <c r="C35" s="79" t="s">
        <v>188</v>
      </c>
      <c r="D35" s="80" t="s">
        <v>189</v>
      </c>
      <c r="E35" s="80" t="s">
        <v>21</v>
      </c>
      <c r="F35" s="80" t="s">
        <v>38</v>
      </c>
      <c r="G35" s="80" t="s">
        <v>190</v>
      </c>
      <c r="H35" s="111">
        <v>9158772627</v>
      </c>
      <c r="I35" s="75" t="s">
        <v>191</v>
      </c>
      <c r="J35" s="80" t="s">
        <v>25</v>
      </c>
      <c r="K35" s="80" t="s">
        <v>192</v>
      </c>
      <c r="L35" s="84" t="s">
        <v>43</v>
      </c>
      <c r="M35" s="80" t="s">
        <v>44</v>
      </c>
      <c r="N35" s="95"/>
      <c r="O35" s="96"/>
      <c r="P35" s="97"/>
      <c r="Q35" s="98"/>
      <c r="R35" s="95"/>
    </row>
    <row r="36" spans="1:18" ht="15.6">
      <c r="A36" s="99">
        <f t="shared" si="1"/>
        <v>35</v>
      </c>
      <c r="B36" s="186">
        <v>46116</v>
      </c>
      <c r="C36" s="78" t="s">
        <v>193</v>
      </c>
      <c r="D36" s="78" t="s">
        <v>194</v>
      </c>
      <c r="E36" s="78" t="s">
        <v>195</v>
      </c>
      <c r="F36" s="78" t="s">
        <v>38</v>
      </c>
      <c r="G36" s="78" t="s">
        <v>134</v>
      </c>
      <c r="H36" s="112">
        <v>9606739416</v>
      </c>
      <c r="I36" s="76" t="s">
        <v>196</v>
      </c>
      <c r="J36" s="78" t="s">
        <v>41</v>
      </c>
      <c r="K36" s="78" t="s">
        <v>197</v>
      </c>
      <c r="L36" s="82" t="s">
        <v>43</v>
      </c>
      <c r="M36" s="78" t="s">
        <v>44</v>
      </c>
      <c r="N36" s="91"/>
      <c r="O36" s="92"/>
      <c r="P36" s="93"/>
      <c r="Q36" s="94"/>
      <c r="R36" s="91"/>
    </row>
    <row r="37" spans="1:18" ht="15.6">
      <c r="A37" s="214">
        <f t="shared" si="1"/>
        <v>36</v>
      </c>
      <c r="B37" s="205">
        <v>46117</v>
      </c>
      <c r="C37" s="209" t="s">
        <v>198</v>
      </c>
      <c r="D37" s="209" t="s">
        <v>199</v>
      </c>
      <c r="E37" s="209" t="s">
        <v>21</v>
      </c>
      <c r="F37" s="209" t="s">
        <v>47</v>
      </c>
      <c r="G37" s="209" t="s">
        <v>200</v>
      </c>
      <c r="H37" s="208"/>
      <c r="I37" s="215" t="s">
        <v>201</v>
      </c>
      <c r="J37" s="209" t="s">
        <v>25</v>
      </c>
      <c r="K37" s="209"/>
      <c r="L37" s="216" t="s">
        <v>27</v>
      </c>
      <c r="M37" s="209" t="s">
        <v>28</v>
      </c>
      <c r="N37" s="217" t="s">
        <v>202</v>
      </c>
      <c r="O37" s="218">
        <v>46117</v>
      </c>
      <c r="P37" s="219"/>
      <c r="Q37" s="220" t="s">
        <v>69</v>
      </c>
      <c r="R37" s="217"/>
    </row>
    <row r="38" spans="1:18" ht="15.6">
      <c r="A38" s="99">
        <f t="shared" si="1"/>
        <v>37</v>
      </c>
      <c r="B38" s="186">
        <v>46118</v>
      </c>
      <c r="C38" s="78" t="s">
        <v>203</v>
      </c>
      <c r="D38" s="78" t="s">
        <v>96</v>
      </c>
      <c r="E38" s="78" t="s">
        <v>21</v>
      </c>
      <c r="F38" s="78" t="s">
        <v>32</v>
      </c>
      <c r="G38" s="78" t="s">
        <v>175</v>
      </c>
      <c r="H38" s="112">
        <v>9158899611</v>
      </c>
      <c r="I38" s="76" t="s">
        <v>204</v>
      </c>
      <c r="J38" s="78" t="s">
        <v>54</v>
      </c>
      <c r="K38" s="78" t="s">
        <v>205</v>
      </c>
      <c r="L38" s="82" t="s">
        <v>43</v>
      </c>
      <c r="M38" s="78" t="s">
        <v>51</v>
      </c>
      <c r="N38" s="91"/>
      <c r="O38" s="92"/>
      <c r="P38" s="93"/>
      <c r="Q38" s="94"/>
      <c r="R38" s="91"/>
    </row>
    <row r="39" spans="1:18" ht="15.6">
      <c r="A39" s="100">
        <f t="shared" si="1"/>
        <v>38</v>
      </c>
      <c r="B39" s="186">
        <v>46118</v>
      </c>
      <c r="C39" s="80" t="s">
        <v>206</v>
      </c>
      <c r="D39" s="80" t="s">
        <v>207</v>
      </c>
      <c r="E39" s="80" t="s">
        <v>21</v>
      </c>
      <c r="F39" s="80" t="s">
        <v>38</v>
      </c>
      <c r="G39" s="80" t="s">
        <v>208</v>
      </c>
      <c r="H39" s="111">
        <v>9765356786</v>
      </c>
      <c r="I39" s="75" t="s">
        <v>209</v>
      </c>
      <c r="J39" s="80" t="s">
        <v>91</v>
      </c>
      <c r="K39" s="80" t="s">
        <v>210</v>
      </c>
      <c r="L39" s="84" t="s">
        <v>43</v>
      </c>
      <c r="M39" s="80" t="s">
        <v>44</v>
      </c>
      <c r="N39" s="95"/>
      <c r="O39" s="96"/>
      <c r="P39" s="97"/>
      <c r="Q39" s="98"/>
      <c r="R39" s="95"/>
    </row>
    <row r="40" spans="1:18" ht="15.6">
      <c r="A40" s="99">
        <f t="shared" si="1"/>
        <v>39</v>
      </c>
      <c r="B40" s="186">
        <v>46118</v>
      </c>
      <c r="C40" s="78" t="s">
        <v>211</v>
      </c>
      <c r="D40" s="78" t="s">
        <v>212</v>
      </c>
      <c r="E40" s="78" t="s">
        <v>21</v>
      </c>
      <c r="F40" s="78" t="s">
        <v>38</v>
      </c>
      <c r="G40" s="78" t="s">
        <v>182</v>
      </c>
      <c r="H40" s="112">
        <v>7776076665</v>
      </c>
      <c r="I40" s="101"/>
      <c r="J40" s="78" t="s">
        <v>213</v>
      </c>
      <c r="K40" s="78" t="s">
        <v>214</v>
      </c>
      <c r="L40" s="82" t="s">
        <v>43</v>
      </c>
      <c r="M40" s="78" t="s">
        <v>44</v>
      </c>
      <c r="N40" s="91"/>
      <c r="O40" s="92"/>
      <c r="P40" s="93"/>
      <c r="Q40" s="94"/>
      <c r="R40" s="91"/>
    </row>
    <row r="41" spans="1:18" ht="15.6">
      <c r="A41" s="100">
        <f t="shared" si="1"/>
        <v>40</v>
      </c>
      <c r="B41" s="186">
        <v>46118</v>
      </c>
      <c r="C41" s="80" t="s">
        <v>215</v>
      </c>
      <c r="D41" s="80" t="s">
        <v>216</v>
      </c>
      <c r="E41" s="80" t="s">
        <v>21</v>
      </c>
      <c r="F41" s="80" t="s">
        <v>128</v>
      </c>
      <c r="G41" s="80" t="s">
        <v>53</v>
      </c>
      <c r="H41" s="111">
        <v>9324811919</v>
      </c>
      <c r="I41" s="75" t="s">
        <v>217</v>
      </c>
      <c r="J41" s="80" t="s">
        <v>101</v>
      </c>
      <c r="K41" s="80" t="s">
        <v>218</v>
      </c>
      <c r="L41" s="84" t="s">
        <v>43</v>
      </c>
      <c r="M41" s="80" t="s">
        <v>51</v>
      </c>
      <c r="N41" s="95"/>
      <c r="O41" s="96"/>
      <c r="P41" s="97"/>
      <c r="Q41" s="98"/>
      <c r="R41" s="95"/>
    </row>
    <row r="42" spans="1:18" ht="15.6">
      <c r="A42" s="99">
        <f t="shared" si="1"/>
        <v>41</v>
      </c>
      <c r="B42" s="186">
        <v>46118</v>
      </c>
      <c r="C42" s="78" t="s">
        <v>219</v>
      </c>
      <c r="D42" s="78" t="s">
        <v>220</v>
      </c>
      <c r="E42" s="78" t="s">
        <v>142</v>
      </c>
      <c r="F42" s="78" t="s">
        <v>32</v>
      </c>
      <c r="G42" s="78" t="s">
        <v>175</v>
      </c>
      <c r="H42" s="112">
        <v>8130300040</v>
      </c>
      <c r="I42" s="76" t="s">
        <v>221</v>
      </c>
      <c r="J42" s="78" t="s">
        <v>101</v>
      </c>
      <c r="K42" s="78" t="s">
        <v>222</v>
      </c>
      <c r="L42" s="82" t="s">
        <v>43</v>
      </c>
      <c r="M42" s="78" t="s">
        <v>51</v>
      </c>
      <c r="N42" s="91"/>
      <c r="O42" s="92"/>
      <c r="P42" s="93"/>
      <c r="Q42" s="94"/>
      <c r="R42" s="91"/>
    </row>
    <row r="43" spans="1:18" ht="15.6">
      <c r="A43" s="214">
        <f t="shared" si="1"/>
        <v>42</v>
      </c>
      <c r="B43" s="205">
        <v>46118</v>
      </c>
      <c r="C43" s="209" t="s">
        <v>223</v>
      </c>
      <c r="D43" s="209" t="s">
        <v>224</v>
      </c>
      <c r="E43" s="209" t="s">
        <v>21</v>
      </c>
      <c r="F43" s="209" t="s">
        <v>38</v>
      </c>
      <c r="G43" s="209" t="s">
        <v>97</v>
      </c>
      <c r="H43" s="208">
        <v>9637320354</v>
      </c>
      <c r="I43" s="210" t="s">
        <v>225</v>
      </c>
      <c r="J43" s="209" t="s">
        <v>25</v>
      </c>
      <c r="K43" s="209" t="s">
        <v>226</v>
      </c>
      <c r="L43" s="216" t="s">
        <v>43</v>
      </c>
      <c r="M43" s="209" t="s">
        <v>44</v>
      </c>
      <c r="N43" s="217" t="s">
        <v>227</v>
      </c>
      <c r="O43" s="218">
        <v>46119</v>
      </c>
      <c r="P43" s="219"/>
      <c r="Q43" s="220" t="s">
        <v>69</v>
      </c>
      <c r="R43" s="217"/>
    </row>
    <row r="44" spans="1:18" ht="15.6">
      <c r="A44" s="214">
        <f t="shared" si="1"/>
        <v>43</v>
      </c>
      <c r="B44" s="205">
        <v>46118</v>
      </c>
      <c r="C44" s="209" t="s">
        <v>228</v>
      </c>
      <c r="D44" s="209" t="s">
        <v>229</v>
      </c>
      <c r="E44" s="209" t="s">
        <v>21</v>
      </c>
      <c r="F44" s="209" t="s">
        <v>47</v>
      </c>
      <c r="G44" s="209"/>
      <c r="H44" s="208"/>
      <c r="I44" s="221" t="s">
        <v>230</v>
      </c>
      <c r="J44" s="209" t="s">
        <v>25</v>
      </c>
      <c r="K44" s="209"/>
      <c r="L44" s="209" t="s">
        <v>231</v>
      </c>
      <c r="M44" s="209" t="s">
        <v>37</v>
      </c>
      <c r="N44" s="217" t="s">
        <v>232</v>
      </c>
      <c r="O44" s="218">
        <v>46118</v>
      </c>
      <c r="P44" s="219"/>
      <c r="Q44" s="220" t="s">
        <v>69</v>
      </c>
      <c r="R44" s="217"/>
    </row>
    <row r="45" spans="1:18" ht="15.6">
      <c r="A45" s="183">
        <f t="shared" si="1"/>
        <v>44</v>
      </c>
      <c r="B45" s="186">
        <v>46119</v>
      </c>
      <c r="C45" s="184" t="s">
        <v>233</v>
      </c>
      <c r="D45" s="184" t="s">
        <v>234</v>
      </c>
      <c r="E45" s="184" t="s">
        <v>108</v>
      </c>
      <c r="F45" s="184" t="s">
        <v>47</v>
      </c>
      <c r="G45" s="185"/>
      <c r="H45" s="112">
        <v>8968593098</v>
      </c>
      <c r="I45" s="103" t="s">
        <v>235</v>
      </c>
      <c r="J45" s="184" t="s">
        <v>54</v>
      </c>
      <c r="K45" s="184"/>
      <c r="L45" s="185" t="s">
        <v>86</v>
      </c>
      <c r="M45" s="80"/>
      <c r="N45" s="95"/>
      <c r="O45" s="96"/>
      <c r="P45" s="97"/>
      <c r="Q45" s="98"/>
      <c r="R45" s="95"/>
    </row>
    <row r="46" spans="1:18" ht="15.6">
      <c r="A46" s="214">
        <f t="shared" si="1"/>
        <v>45</v>
      </c>
      <c r="B46" s="205">
        <v>46119</v>
      </c>
      <c r="C46" s="209" t="s">
        <v>236</v>
      </c>
      <c r="D46" s="209" t="s">
        <v>237</v>
      </c>
      <c r="E46" s="209" t="s">
        <v>21</v>
      </c>
      <c r="F46" s="209" t="s">
        <v>22</v>
      </c>
      <c r="G46" s="209" t="s">
        <v>238</v>
      </c>
      <c r="H46" s="208"/>
      <c r="I46" s="215" t="s">
        <v>239</v>
      </c>
      <c r="J46" s="209" t="s">
        <v>25</v>
      </c>
      <c r="K46" s="209" t="s">
        <v>240</v>
      </c>
      <c r="L46" s="209" t="s">
        <v>36</v>
      </c>
      <c r="M46" s="209" t="s">
        <v>37</v>
      </c>
      <c r="N46" s="217" t="s">
        <v>241</v>
      </c>
      <c r="O46" s="218"/>
      <c r="P46" s="219"/>
      <c r="Q46" s="220" t="s">
        <v>69</v>
      </c>
      <c r="R46" s="217"/>
    </row>
    <row r="47" spans="1:18" ht="15.6">
      <c r="A47" s="100">
        <f t="shared" si="1"/>
        <v>46</v>
      </c>
      <c r="B47" s="186">
        <v>46119</v>
      </c>
      <c r="C47" s="80" t="s">
        <v>242</v>
      </c>
      <c r="D47" s="80" t="s">
        <v>199</v>
      </c>
      <c r="E47" s="80" t="s">
        <v>21</v>
      </c>
      <c r="F47" s="80" t="s">
        <v>38</v>
      </c>
      <c r="G47" s="80" t="s">
        <v>243</v>
      </c>
      <c r="H47" s="111">
        <v>7758036720</v>
      </c>
      <c r="I47" s="75" t="s">
        <v>244</v>
      </c>
      <c r="J47" s="80" t="s">
        <v>245</v>
      </c>
      <c r="K47" s="81" t="s">
        <v>246</v>
      </c>
      <c r="L47" s="80" t="s">
        <v>36</v>
      </c>
      <c r="M47" s="80" t="s">
        <v>44</v>
      </c>
      <c r="N47" s="95" t="s">
        <v>247</v>
      </c>
      <c r="O47" s="96">
        <v>46119</v>
      </c>
      <c r="P47" s="97"/>
      <c r="Q47" s="98" t="s">
        <v>248</v>
      </c>
      <c r="R47" s="95"/>
    </row>
    <row r="48" spans="1:18" ht="15.6">
      <c r="A48" s="99">
        <f t="shared" si="1"/>
        <v>47</v>
      </c>
      <c r="B48" s="186">
        <v>46119</v>
      </c>
      <c r="C48" s="78" t="s">
        <v>249</v>
      </c>
      <c r="D48" s="78" t="s">
        <v>199</v>
      </c>
      <c r="E48" s="78" t="s">
        <v>21</v>
      </c>
      <c r="F48" s="78" t="s">
        <v>32</v>
      </c>
      <c r="G48" s="78" t="s">
        <v>250</v>
      </c>
      <c r="H48" s="112"/>
      <c r="I48" s="107" t="s">
        <v>251</v>
      </c>
      <c r="J48" s="78" t="s">
        <v>245</v>
      </c>
      <c r="K48" s="83" t="s">
        <v>252</v>
      </c>
      <c r="L48" s="78" t="s">
        <v>231</v>
      </c>
      <c r="M48" s="78" t="s">
        <v>51</v>
      </c>
      <c r="N48" s="91" t="s">
        <v>253</v>
      </c>
      <c r="O48" s="92">
        <v>46119</v>
      </c>
      <c r="P48" s="93"/>
      <c r="Q48" s="94" t="s">
        <v>248</v>
      </c>
      <c r="R48" s="91"/>
    </row>
    <row r="49" spans="1:18" ht="15.6">
      <c r="A49" s="214">
        <f t="shared" si="1"/>
        <v>48</v>
      </c>
      <c r="B49" s="205">
        <v>46119</v>
      </c>
      <c r="C49" s="209" t="s">
        <v>254</v>
      </c>
      <c r="D49" s="209" t="s">
        <v>199</v>
      </c>
      <c r="E49" s="209" t="s">
        <v>21</v>
      </c>
      <c r="F49" s="209" t="s">
        <v>38</v>
      </c>
      <c r="G49" s="222" t="s">
        <v>255</v>
      </c>
      <c r="H49" s="208"/>
      <c r="I49" s="215" t="s">
        <v>256</v>
      </c>
      <c r="J49" s="209" t="s">
        <v>25</v>
      </c>
      <c r="K49" s="209"/>
      <c r="L49" s="209" t="s">
        <v>43</v>
      </c>
      <c r="M49" s="209" t="s">
        <v>51</v>
      </c>
      <c r="N49" s="217" t="s">
        <v>257</v>
      </c>
      <c r="O49" s="218">
        <v>46119</v>
      </c>
      <c r="P49" s="219"/>
      <c r="Q49" s="220" t="s">
        <v>69</v>
      </c>
      <c r="R49" s="217"/>
    </row>
    <row r="50" spans="1:18" ht="15.6">
      <c r="A50" s="214">
        <f t="shared" si="1"/>
        <v>49</v>
      </c>
      <c r="B50" s="205">
        <v>46119</v>
      </c>
      <c r="C50" s="209" t="s">
        <v>258</v>
      </c>
      <c r="D50" s="209" t="s">
        <v>199</v>
      </c>
      <c r="E50" s="209" t="s">
        <v>21</v>
      </c>
      <c r="F50" s="209" t="s">
        <v>259</v>
      </c>
      <c r="G50" s="209" t="s">
        <v>260</v>
      </c>
      <c r="H50" s="208">
        <v>9822577592</v>
      </c>
      <c r="I50" s="215" t="s">
        <v>261</v>
      </c>
      <c r="J50" s="209" t="s">
        <v>25</v>
      </c>
      <c r="K50" s="209" t="s">
        <v>262</v>
      </c>
      <c r="L50" s="209" t="s">
        <v>231</v>
      </c>
      <c r="M50" s="209" t="s">
        <v>37</v>
      </c>
      <c r="N50" s="217" t="s">
        <v>263</v>
      </c>
      <c r="O50" s="218">
        <v>46119</v>
      </c>
      <c r="P50" s="219"/>
      <c r="Q50" s="220" t="s">
        <v>69</v>
      </c>
      <c r="R50" s="217"/>
    </row>
    <row r="51" spans="1:18" ht="15.6">
      <c r="A51" s="214">
        <f t="shared" si="1"/>
        <v>50</v>
      </c>
      <c r="B51" s="205">
        <v>46119</v>
      </c>
      <c r="C51" s="209" t="s">
        <v>264</v>
      </c>
      <c r="D51" s="209" t="s">
        <v>199</v>
      </c>
      <c r="E51" s="209" t="s">
        <v>21</v>
      </c>
      <c r="F51" s="209" t="s">
        <v>32</v>
      </c>
      <c r="G51" s="209" t="s">
        <v>265</v>
      </c>
      <c r="H51" s="223">
        <v>8600120115</v>
      </c>
      <c r="I51" s="210" t="s">
        <v>266</v>
      </c>
      <c r="J51" s="209" t="s">
        <v>25</v>
      </c>
      <c r="K51" s="224" t="s">
        <v>267</v>
      </c>
      <c r="L51" s="209" t="s">
        <v>231</v>
      </c>
      <c r="M51" s="209" t="s">
        <v>37</v>
      </c>
      <c r="N51" s="217"/>
      <c r="O51" s="218"/>
      <c r="P51" s="219"/>
      <c r="Q51" s="220"/>
      <c r="R51" s="217"/>
    </row>
    <row r="52" spans="1:18" ht="15.6">
      <c r="A52" s="99">
        <f t="shared" si="1"/>
        <v>51</v>
      </c>
      <c r="B52" s="186">
        <v>46119</v>
      </c>
      <c r="C52" s="78"/>
      <c r="D52" s="78" t="s">
        <v>268</v>
      </c>
      <c r="E52" s="78" t="s">
        <v>269</v>
      </c>
      <c r="F52" s="78" t="s">
        <v>38</v>
      </c>
      <c r="G52" s="78" t="s">
        <v>182</v>
      </c>
      <c r="H52" s="118"/>
      <c r="I52" s="76" t="s">
        <v>270</v>
      </c>
      <c r="J52" s="78" t="s">
        <v>101</v>
      </c>
      <c r="K52" s="83"/>
      <c r="L52" s="82" t="s">
        <v>43</v>
      </c>
      <c r="M52" s="78" t="s">
        <v>44</v>
      </c>
      <c r="N52" s="91"/>
      <c r="O52" s="92"/>
      <c r="P52" s="93"/>
      <c r="Q52" s="220"/>
      <c r="R52" s="91"/>
    </row>
    <row r="53" spans="1:18" ht="15.6">
      <c r="A53" s="100">
        <f t="shared" si="1"/>
        <v>52</v>
      </c>
      <c r="B53" s="186">
        <v>46119</v>
      </c>
      <c r="C53" s="80"/>
      <c r="D53" s="80" t="s">
        <v>271</v>
      </c>
      <c r="E53" s="80" t="s">
        <v>63</v>
      </c>
      <c r="F53" s="80" t="s">
        <v>38</v>
      </c>
      <c r="G53" s="80" t="s">
        <v>272</v>
      </c>
      <c r="H53" s="117">
        <v>9842020245</v>
      </c>
      <c r="I53" s="104"/>
      <c r="J53" s="80" t="s">
        <v>54</v>
      </c>
      <c r="K53" s="81"/>
      <c r="L53" s="84" t="s">
        <v>43</v>
      </c>
      <c r="M53" s="80" t="s">
        <v>44</v>
      </c>
      <c r="N53" s="95"/>
      <c r="O53" s="96"/>
      <c r="P53" s="97"/>
      <c r="Q53" s="220"/>
      <c r="R53" s="95"/>
    </row>
    <row r="54" spans="1:18" ht="15.6">
      <c r="A54" s="214">
        <f t="shared" si="1"/>
        <v>53</v>
      </c>
      <c r="B54" s="205">
        <v>46119</v>
      </c>
      <c r="C54" s="209" t="s">
        <v>273</v>
      </c>
      <c r="D54" s="209" t="s">
        <v>274</v>
      </c>
      <c r="E54" s="209" t="s">
        <v>21</v>
      </c>
      <c r="F54" s="209" t="s">
        <v>38</v>
      </c>
      <c r="G54" s="209" t="s">
        <v>275</v>
      </c>
      <c r="H54" s="223">
        <v>7769969765</v>
      </c>
      <c r="I54" s="210" t="s">
        <v>276</v>
      </c>
      <c r="J54" s="209" t="s">
        <v>25</v>
      </c>
      <c r="K54" s="224" t="s">
        <v>277</v>
      </c>
      <c r="L54" s="216" t="s">
        <v>43</v>
      </c>
      <c r="M54" s="209" t="s">
        <v>44</v>
      </c>
      <c r="N54" s="217"/>
      <c r="O54" s="218"/>
      <c r="P54" s="219"/>
      <c r="Q54" s="220"/>
      <c r="R54" s="217"/>
    </row>
    <row r="55" spans="1:18" ht="15.6">
      <c r="A55" s="100">
        <f t="shared" si="1"/>
        <v>54</v>
      </c>
      <c r="B55" s="186">
        <v>46119</v>
      </c>
      <c r="C55" s="80" t="s">
        <v>278</v>
      </c>
      <c r="D55" s="80" t="s">
        <v>278</v>
      </c>
      <c r="E55" s="80" t="s">
        <v>21</v>
      </c>
      <c r="F55" s="80" t="s">
        <v>32</v>
      </c>
      <c r="G55" s="80" t="s">
        <v>279</v>
      </c>
      <c r="H55" s="117">
        <v>8857033592</v>
      </c>
      <c r="I55" s="75" t="s">
        <v>280</v>
      </c>
      <c r="J55" s="80" t="s">
        <v>41</v>
      </c>
      <c r="K55" s="80" t="s">
        <v>281</v>
      </c>
      <c r="L55" s="84" t="s">
        <v>43</v>
      </c>
      <c r="M55" s="80" t="s">
        <v>51</v>
      </c>
      <c r="N55" s="95"/>
      <c r="O55" s="96"/>
      <c r="P55" s="97"/>
      <c r="Q55" s="220"/>
      <c r="R55" s="95"/>
    </row>
    <row r="56" spans="1:18" ht="15.6">
      <c r="A56" s="99">
        <f t="shared" si="1"/>
        <v>55</v>
      </c>
      <c r="B56" s="186">
        <v>46119</v>
      </c>
      <c r="C56" s="78" t="s">
        <v>282</v>
      </c>
      <c r="D56" s="78" t="s">
        <v>283</v>
      </c>
      <c r="E56" s="78" t="s">
        <v>21</v>
      </c>
      <c r="F56" s="78" t="s">
        <v>64</v>
      </c>
      <c r="G56" s="78" t="s">
        <v>284</v>
      </c>
      <c r="H56" s="118"/>
      <c r="I56" s="105"/>
      <c r="J56" s="78" t="s">
        <v>145</v>
      </c>
      <c r="K56" s="78" t="s">
        <v>285</v>
      </c>
      <c r="L56" s="82" t="s">
        <v>43</v>
      </c>
      <c r="M56" s="78" t="s">
        <v>37</v>
      </c>
      <c r="N56" s="91"/>
      <c r="O56" s="92"/>
      <c r="P56" s="93"/>
      <c r="Q56" s="220"/>
      <c r="R56" s="91"/>
    </row>
    <row r="57" spans="1:18" ht="15.6">
      <c r="A57" s="100">
        <f t="shared" si="1"/>
        <v>56</v>
      </c>
      <c r="B57" s="186">
        <v>46119</v>
      </c>
      <c r="C57" s="80" t="s">
        <v>286</v>
      </c>
      <c r="D57" s="80" t="s">
        <v>287</v>
      </c>
      <c r="E57" s="80" t="s">
        <v>269</v>
      </c>
      <c r="F57" s="80" t="s">
        <v>47</v>
      </c>
      <c r="G57" s="80" t="s">
        <v>288</v>
      </c>
      <c r="H57" s="117">
        <v>9780400793</v>
      </c>
      <c r="I57" s="104"/>
      <c r="J57" s="80" t="s">
        <v>41</v>
      </c>
      <c r="K57" s="80" t="s">
        <v>289</v>
      </c>
      <c r="L57" s="80" t="s">
        <v>86</v>
      </c>
      <c r="M57" s="80" t="s">
        <v>51</v>
      </c>
      <c r="N57" s="95"/>
      <c r="O57" s="96"/>
      <c r="P57" s="97"/>
      <c r="Q57" s="220"/>
      <c r="R57" s="95"/>
    </row>
    <row r="58" spans="1:18" ht="15.6">
      <c r="A58" s="99">
        <f t="shared" si="1"/>
        <v>57</v>
      </c>
      <c r="B58" s="186">
        <v>46119</v>
      </c>
      <c r="C58" s="78" t="s">
        <v>290</v>
      </c>
      <c r="D58" s="78" t="s">
        <v>96</v>
      </c>
      <c r="E58" s="78" t="s">
        <v>21</v>
      </c>
      <c r="F58" s="78" t="s">
        <v>47</v>
      </c>
      <c r="G58" s="78" t="s">
        <v>48</v>
      </c>
      <c r="H58" s="118"/>
      <c r="I58" s="105"/>
      <c r="J58" s="78" t="s">
        <v>101</v>
      </c>
      <c r="K58" s="78" t="s">
        <v>291</v>
      </c>
      <c r="L58" s="82" t="s">
        <v>43</v>
      </c>
      <c r="M58" s="78" t="s">
        <v>51</v>
      </c>
      <c r="N58" s="91"/>
      <c r="O58" s="92"/>
      <c r="P58" s="93"/>
      <c r="Q58" s="220"/>
      <c r="R58" s="91"/>
    </row>
    <row r="59" spans="1:18" ht="15.6">
      <c r="A59" s="214">
        <f t="shared" si="1"/>
        <v>58</v>
      </c>
      <c r="B59" s="205">
        <v>46119</v>
      </c>
      <c r="C59" s="209" t="s">
        <v>242</v>
      </c>
      <c r="D59" s="209" t="s">
        <v>199</v>
      </c>
      <c r="E59" s="209" t="s">
        <v>21</v>
      </c>
      <c r="F59" s="209" t="s">
        <v>38</v>
      </c>
      <c r="G59" s="209" t="s">
        <v>292</v>
      </c>
      <c r="H59" s="223">
        <v>7722050915</v>
      </c>
      <c r="I59" s="210" t="s">
        <v>293</v>
      </c>
      <c r="J59" s="209" t="s">
        <v>25</v>
      </c>
      <c r="K59" s="224" t="s">
        <v>294</v>
      </c>
      <c r="L59" s="209" t="s">
        <v>231</v>
      </c>
      <c r="M59" s="209" t="s">
        <v>44</v>
      </c>
      <c r="N59" s="217"/>
      <c r="O59" s="218"/>
      <c r="P59" s="219"/>
      <c r="Q59" s="220"/>
      <c r="R59" s="217"/>
    </row>
    <row r="60" spans="1:18" ht="15.6">
      <c r="A60" s="214">
        <f t="shared" si="1"/>
        <v>59</v>
      </c>
      <c r="B60" s="205">
        <v>46120</v>
      </c>
      <c r="C60" s="209" t="s">
        <v>295</v>
      </c>
      <c r="D60" s="209" t="s">
        <v>296</v>
      </c>
      <c r="E60" s="209" t="s">
        <v>21</v>
      </c>
      <c r="F60" s="209" t="s">
        <v>38</v>
      </c>
      <c r="G60" s="209" t="s">
        <v>292</v>
      </c>
      <c r="H60" s="208"/>
      <c r="I60" s="225"/>
      <c r="J60" s="209" t="s">
        <v>25</v>
      </c>
      <c r="K60" s="209"/>
      <c r="L60" s="209" t="s">
        <v>27</v>
      </c>
      <c r="M60" s="209" t="s">
        <v>51</v>
      </c>
      <c r="N60" s="217"/>
      <c r="O60" s="218"/>
      <c r="P60" s="219"/>
      <c r="Q60" s="220"/>
      <c r="R60" s="217"/>
    </row>
    <row r="61" spans="1:18" ht="15.6">
      <c r="A61" s="214">
        <f t="shared" si="1"/>
        <v>60</v>
      </c>
      <c r="B61" s="205">
        <v>46120</v>
      </c>
      <c r="C61" s="209" t="s">
        <v>297</v>
      </c>
      <c r="D61" s="216" t="s">
        <v>298</v>
      </c>
      <c r="E61" s="209" t="s">
        <v>169</v>
      </c>
      <c r="F61" s="209" t="s">
        <v>38</v>
      </c>
      <c r="G61" s="222" t="s">
        <v>255</v>
      </c>
      <c r="H61" s="208">
        <v>9567698052</v>
      </c>
      <c r="I61" s="210" t="s">
        <v>299</v>
      </c>
      <c r="J61" s="209" t="s">
        <v>25</v>
      </c>
      <c r="K61" s="209" t="s">
        <v>300</v>
      </c>
      <c r="L61" s="209" t="s">
        <v>231</v>
      </c>
      <c r="M61" s="209" t="s">
        <v>44</v>
      </c>
      <c r="N61" s="217"/>
      <c r="O61" s="218"/>
      <c r="P61" s="219"/>
      <c r="Q61" s="220"/>
      <c r="R61" s="217"/>
    </row>
    <row r="62" spans="1:18" ht="15.6">
      <c r="A62" s="99">
        <f t="shared" si="1"/>
        <v>61</v>
      </c>
      <c r="B62" s="186">
        <v>46120</v>
      </c>
      <c r="C62" s="78" t="s">
        <v>301</v>
      </c>
      <c r="D62" s="78" t="s">
        <v>302</v>
      </c>
      <c r="E62" s="78" t="s">
        <v>21</v>
      </c>
      <c r="F62" s="78" t="s">
        <v>32</v>
      </c>
      <c r="G62" s="78" t="s">
        <v>109</v>
      </c>
      <c r="H62" s="112">
        <v>9370694025</v>
      </c>
      <c r="I62" s="76" t="s">
        <v>303</v>
      </c>
      <c r="J62" s="78" t="s">
        <v>84</v>
      </c>
      <c r="K62" s="78" t="s">
        <v>304</v>
      </c>
      <c r="L62" s="82" t="s">
        <v>86</v>
      </c>
      <c r="M62" s="78" t="s">
        <v>51</v>
      </c>
      <c r="N62" s="91"/>
      <c r="O62" s="92"/>
      <c r="P62" s="93"/>
      <c r="Q62" s="220"/>
      <c r="R62" s="91"/>
    </row>
    <row r="63" spans="1:18" ht="15.6">
      <c r="A63" s="100">
        <f t="shared" si="1"/>
        <v>62</v>
      </c>
      <c r="B63" s="186">
        <v>46120</v>
      </c>
      <c r="C63" s="80"/>
      <c r="D63" s="80"/>
      <c r="E63" s="80"/>
      <c r="F63" s="80" t="s">
        <v>47</v>
      </c>
      <c r="G63" s="88" t="s">
        <v>305</v>
      </c>
      <c r="H63" s="111">
        <v>7373390090</v>
      </c>
      <c r="I63" s="104"/>
      <c r="J63" s="80" t="s">
        <v>101</v>
      </c>
      <c r="K63" s="80" t="s">
        <v>306</v>
      </c>
      <c r="L63" s="84" t="s">
        <v>86</v>
      </c>
      <c r="M63" s="80" t="s">
        <v>51</v>
      </c>
      <c r="N63" s="95"/>
      <c r="O63" s="96"/>
      <c r="P63" s="97"/>
      <c r="Q63" s="220"/>
      <c r="R63" s="95"/>
    </row>
    <row r="64" spans="1:18" ht="15.6">
      <c r="A64" s="99">
        <f t="shared" si="1"/>
        <v>63</v>
      </c>
      <c r="B64" s="186">
        <v>46120</v>
      </c>
      <c r="C64" s="78" t="s">
        <v>307</v>
      </c>
      <c r="D64" s="78" t="s">
        <v>308</v>
      </c>
      <c r="E64" s="78" t="s">
        <v>21</v>
      </c>
      <c r="F64" s="78" t="s">
        <v>47</v>
      </c>
      <c r="G64" s="89" t="s">
        <v>309</v>
      </c>
      <c r="H64" s="112">
        <v>9764000241</v>
      </c>
      <c r="I64" s="105"/>
      <c r="J64" s="78" t="s">
        <v>41</v>
      </c>
      <c r="K64" s="78" t="s">
        <v>310</v>
      </c>
      <c r="L64" s="78" t="s">
        <v>43</v>
      </c>
      <c r="M64" s="78" t="s">
        <v>51</v>
      </c>
      <c r="N64" s="91"/>
      <c r="O64" s="92"/>
      <c r="P64" s="93"/>
      <c r="Q64" s="220"/>
      <c r="R64" s="91"/>
    </row>
    <row r="65" spans="1:18" ht="15.6">
      <c r="A65" s="100">
        <f t="shared" si="1"/>
        <v>64</v>
      </c>
      <c r="B65" s="186">
        <v>46120</v>
      </c>
      <c r="C65" s="80" t="s">
        <v>311</v>
      </c>
      <c r="D65" s="80" t="s">
        <v>311</v>
      </c>
      <c r="E65" s="80" t="s">
        <v>21</v>
      </c>
      <c r="F65" s="80" t="s">
        <v>47</v>
      </c>
      <c r="G65" s="88" t="s">
        <v>312</v>
      </c>
      <c r="H65" s="111">
        <v>9730558867</v>
      </c>
      <c r="I65" s="75" t="s">
        <v>313</v>
      </c>
      <c r="J65" s="80" t="s">
        <v>84</v>
      </c>
      <c r="K65" s="80" t="s">
        <v>314</v>
      </c>
      <c r="L65" s="80" t="s">
        <v>43</v>
      </c>
      <c r="M65" s="80" t="s">
        <v>51</v>
      </c>
      <c r="N65" s="95"/>
      <c r="O65" s="96"/>
      <c r="P65" s="97"/>
      <c r="Q65" s="220"/>
      <c r="R65" s="95"/>
    </row>
    <row r="66" spans="1:18" ht="15.6">
      <c r="A66" s="214">
        <f t="shared" ref="A66:A92" si="2">ROW()-1</f>
        <v>65</v>
      </c>
      <c r="B66" s="205">
        <v>46121</v>
      </c>
      <c r="C66" s="209" t="s">
        <v>315</v>
      </c>
      <c r="D66" s="209" t="s">
        <v>199</v>
      </c>
      <c r="E66" s="209" t="s">
        <v>21</v>
      </c>
      <c r="F66" s="209" t="s">
        <v>259</v>
      </c>
      <c r="G66" s="209"/>
      <c r="H66" s="208"/>
      <c r="I66" s="225"/>
      <c r="J66" s="209" t="s">
        <v>25</v>
      </c>
      <c r="K66" s="209"/>
      <c r="L66" s="209" t="s">
        <v>231</v>
      </c>
      <c r="M66" s="209" t="s">
        <v>37</v>
      </c>
      <c r="N66" s="217" t="s">
        <v>316</v>
      </c>
      <c r="O66" s="218">
        <v>46122</v>
      </c>
      <c r="P66" s="219"/>
      <c r="Q66" s="220" t="s">
        <v>69</v>
      </c>
      <c r="R66" s="217"/>
    </row>
    <row r="67" spans="1:18" ht="15.6">
      <c r="A67" s="100">
        <f t="shared" si="2"/>
        <v>66</v>
      </c>
      <c r="B67" s="186">
        <v>46121</v>
      </c>
      <c r="C67" s="80" t="s">
        <v>317</v>
      </c>
      <c r="D67" s="80" t="s">
        <v>318</v>
      </c>
      <c r="E67" s="80" t="s">
        <v>21</v>
      </c>
      <c r="F67" s="80" t="s">
        <v>38</v>
      </c>
      <c r="G67" s="90" t="s">
        <v>97</v>
      </c>
      <c r="H67" s="111">
        <v>9403565656</v>
      </c>
      <c r="I67" s="75" t="s">
        <v>319</v>
      </c>
      <c r="J67" s="80" t="s">
        <v>54</v>
      </c>
      <c r="K67" s="80" t="s">
        <v>320</v>
      </c>
      <c r="L67" s="80" t="s">
        <v>43</v>
      </c>
      <c r="M67" s="80" t="s">
        <v>44</v>
      </c>
      <c r="N67" s="95"/>
      <c r="O67" s="96"/>
      <c r="P67" s="97"/>
      <c r="Q67" s="98"/>
      <c r="R67" s="95"/>
    </row>
    <row r="68" spans="1:18" ht="15.6">
      <c r="A68" s="99">
        <f t="shared" si="2"/>
        <v>67</v>
      </c>
      <c r="B68" s="186">
        <v>46121</v>
      </c>
      <c r="C68" s="78"/>
      <c r="D68" s="78" t="s">
        <v>321</v>
      </c>
      <c r="E68" s="78" t="s">
        <v>142</v>
      </c>
      <c r="F68" s="78" t="s">
        <v>64</v>
      </c>
      <c r="G68" s="89" t="s">
        <v>322</v>
      </c>
      <c r="H68" s="112">
        <v>7835907263</v>
      </c>
      <c r="I68" s="105"/>
      <c r="J68" s="78" t="s">
        <v>145</v>
      </c>
      <c r="K68" s="78"/>
      <c r="L68" s="78" t="s">
        <v>43</v>
      </c>
      <c r="M68" s="78" t="s">
        <v>37</v>
      </c>
      <c r="N68" s="91"/>
      <c r="O68" s="92"/>
      <c r="P68" s="93"/>
      <c r="Q68" s="94"/>
      <c r="R68" s="91"/>
    </row>
    <row r="69" spans="1:18" ht="15.6">
      <c r="A69" s="214">
        <f t="shared" si="2"/>
        <v>68</v>
      </c>
      <c r="B69" s="205">
        <v>46121</v>
      </c>
      <c r="C69" s="209" t="s">
        <v>323</v>
      </c>
      <c r="D69" s="209" t="s">
        <v>199</v>
      </c>
      <c r="E69" s="209" t="s">
        <v>21</v>
      </c>
      <c r="F69" s="209" t="s">
        <v>259</v>
      </c>
      <c r="G69" s="222" t="s">
        <v>324</v>
      </c>
      <c r="H69" s="208"/>
      <c r="I69" s="210" t="s">
        <v>325</v>
      </c>
      <c r="J69" s="209" t="s">
        <v>25</v>
      </c>
      <c r="K69" s="209"/>
      <c r="L69" s="209" t="s">
        <v>231</v>
      </c>
      <c r="M69" s="209" t="s">
        <v>37</v>
      </c>
      <c r="N69" s="217" t="s">
        <v>326</v>
      </c>
      <c r="O69" s="218"/>
      <c r="P69" s="219"/>
      <c r="Q69" s="220"/>
      <c r="R69" s="217"/>
    </row>
    <row r="70" spans="1:18" ht="15.6">
      <c r="A70" s="214">
        <f t="shared" si="2"/>
        <v>69</v>
      </c>
      <c r="B70" s="205">
        <v>46121</v>
      </c>
      <c r="C70" s="209" t="s">
        <v>327</v>
      </c>
      <c r="D70" s="216" t="s">
        <v>328</v>
      </c>
      <c r="E70" s="209" t="s">
        <v>21</v>
      </c>
      <c r="F70" s="209" t="s">
        <v>38</v>
      </c>
      <c r="G70" s="209" t="s">
        <v>329</v>
      </c>
      <c r="H70" s="208" t="s">
        <v>330</v>
      </c>
      <c r="I70" s="210" t="s">
        <v>331</v>
      </c>
      <c r="J70" s="209" t="s">
        <v>25</v>
      </c>
      <c r="K70" s="224" t="s">
        <v>332</v>
      </c>
      <c r="L70" s="209" t="s">
        <v>231</v>
      </c>
      <c r="M70" s="209" t="s">
        <v>28</v>
      </c>
      <c r="N70" s="217" t="s">
        <v>333</v>
      </c>
      <c r="O70" s="218">
        <v>46122</v>
      </c>
      <c r="P70" s="219"/>
      <c r="Q70" s="220" t="s">
        <v>69</v>
      </c>
      <c r="R70" s="217"/>
    </row>
    <row r="71" spans="1:18" ht="15.6">
      <c r="A71" s="214">
        <f t="shared" si="2"/>
        <v>70</v>
      </c>
      <c r="B71" s="205">
        <v>46121</v>
      </c>
      <c r="C71" s="209"/>
      <c r="D71" s="209" t="s">
        <v>334</v>
      </c>
      <c r="E71" s="209" t="s">
        <v>163</v>
      </c>
      <c r="F71" s="209" t="s">
        <v>47</v>
      </c>
      <c r="G71" s="209" t="s">
        <v>335</v>
      </c>
      <c r="H71" s="208">
        <v>9924546462</v>
      </c>
      <c r="I71" s="210" t="s">
        <v>336</v>
      </c>
      <c r="J71" s="209" t="s">
        <v>91</v>
      </c>
      <c r="K71" s="209"/>
      <c r="L71" s="216" t="s">
        <v>86</v>
      </c>
      <c r="M71" s="209" t="s">
        <v>51</v>
      </c>
      <c r="N71" s="217"/>
      <c r="O71" s="218"/>
      <c r="P71" s="219"/>
      <c r="Q71" s="220"/>
      <c r="R71" s="217"/>
    </row>
    <row r="72" spans="1:18" ht="15.6">
      <c r="A72" s="214">
        <f t="shared" si="2"/>
        <v>71</v>
      </c>
      <c r="B72" s="205">
        <v>46122</v>
      </c>
      <c r="C72" s="209" t="s">
        <v>337</v>
      </c>
      <c r="D72" s="209" t="s">
        <v>338</v>
      </c>
      <c r="E72" s="209" t="s">
        <v>21</v>
      </c>
      <c r="F72" s="209" t="s">
        <v>128</v>
      </c>
      <c r="G72" s="209" t="s">
        <v>53</v>
      </c>
      <c r="H72" s="208">
        <v>9921993346</v>
      </c>
      <c r="I72" s="225"/>
      <c r="J72" s="209" t="s">
        <v>101</v>
      </c>
      <c r="K72" s="209"/>
      <c r="L72" s="209" t="s">
        <v>43</v>
      </c>
      <c r="M72" s="209" t="s">
        <v>51</v>
      </c>
      <c r="N72" s="217"/>
      <c r="O72" s="218"/>
      <c r="P72" s="219"/>
      <c r="Q72" s="220"/>
      <c r="R72" s="217"/>
    </row>
    <row r="73" spans="1:18" ht="15.6">
      <c r="A73" s="204">
        <f t="shared" si="2"/>
        <v>72</v>
      </c>
      <c r="B73" s="205">
        <v>46122</v>
      </c>
      <c r="C73" s="207" t="s">
        <v>339</v>
      </c>
      <c r="D73" s="207" t="s">
        <v>340</v>
      </c>
      <c r="E73" s="207" t="s">
        <v>195</v>
      </c>
      <c r="F73" s="207" t="s">
        <v>38</v>
      </c>
      <c r="G73" s="207" t="s">
        <v>341</v>
      </c>
      <c r="H73" s="208"/>
      <c r="I73" s="210" t="s">
        <v>342</v>
      </c>
      <c r="J73" s="78" t="s">
        <v>101</v>
      </c>
      <c r="K73" s="207"/>
      <c r="L73" s="207" t="s">
        <v>43</v>
      </c>
      <c r="M73" s="209" t="s">
        <v>44</v>
      </c>
      <c r="N73" s="217"/>
      <c r="O73" s="218"/>
      <c r="P73" s="219"/>
      <c r="Q73" s="220"/>
      <c r="R73" s="217"/>
    </row>
    <row r="74" spans="1:18" ht="15.6">
      <c r="A74" s="204">
        <f t="shared" si="2"/>
        <v>73</v>
      </c>
      <c r="B74" s="205">
        <v>46122.602777777778</v>
      </c>
      <c r="C74" s="206" t="s">
        <v>343</v>
      </c>
      <c r="D74" s="206"/>
      <c r="E74" s="206"/>
      <c r="F74" s="207" t="s">
        <v>47</v>
      </c>
      <c r="G74" s="207"/>
      <c r="H74" s="208">
        <v>9767035430</v>
      </c>
      <c r="I74" s="206"/>
      <c r="J74" s="207" t="s">
        <v>101</v>
      </c>
      <c r="K74" s="206"/>
      <c r="L74" s="207" t="s">
        <v>86</v>
      </c>
      <c r="M74" s="209" t="s">
        <v>51</v>
      </c>
      <c r="N74" s="217"/>
      <c r="O74" s="218"/>
      <c r="P74" s="219"/>
      <c r="Q74" s="220"/>
      <c r="R74" s="217"/>
    </row>
    <row r="75" spans="1:18" ht="15.6">
      <c r="A75" s="204">
        <f t="shared" si="2"/>
        <v>74</v>
      </c>
      <c r="B75" s="205">
        <v>46122.615972222222</v>
      </c>
      <c r="C75" s="206" t="s">
        <v>344</v>
      </c>
      <c r="D75" s="206" t="s">
        <v>199</v>
      </c>
      <c r="E75" s="206" t="s">
        <v>21</v>
      </c>
      <c r="F75" s="207" t="s">
        <v>47</v>
      </c>
      <c r="G75" s="207"/>
      <c r="H75" s="208">
        <v>9702282453</v>
      </c>
      <c r="I75" s="206"/>
      <c r="J75" s="207" t="s">
        <v>345</v>
      </c>
      <c r="K75" s="206" t="s">
        <v>346</v>
      </c>
      <c r="L75" s="207" t="s">
        <v>86</v>
      </c>
      <c r="M75" s="209" t="s">
        <v>51</v>
      </c>
      <c r="N75" s="217"/>
      <c r="O75" s="218"/>
      <c r="P75" s="219"/>
      <c r="Q75" s="220"/>
      <c r="R75" s="217"/>
    </row>
    <row r="76" spans="1:18" ht="15.6">
      <c r="A76" s="204">
        <f t="shared" si="2"/>
        <v>75</v>
      </c>
      <c r="B76" s="205">
        <v>46122.768750000003</v>
      </c>
      <c r="C76" s="206" t="s">
        <v>347</v>
      </c>
      <c r="D76" s="206"/>
      <c r="E76" s="206"/>
      <c r="F76" s="207" t="s">
        <v>47</v>
      </c>
      <c r="G76" s="207"/>
      <c r="H76" s="208">
        <v>8866146055</v>
      </c>
      <c r="I76" s="210"/>
      <c r="J76" s="207" t="s">
        <v>101</v>
      </c>
      <c r="K76" s="206"/>
      <c r="L76" s="207" t="s">
        <v>86</v>
      </c>
      <c r="M76" s="209" t="s">
        <v>51</v>
      </c>
      <c r="N76" s="217"/>
      <c r="O76" s="218"/>
      <c r="P76" s="219"/>
      <c r="Q76" s="220"/>
      <c r="R76" s="217"/>
    </row>
    <row r="77" spans="1:18" ht="15.6">
      <c r="A77" s="204">
        <f t="shared" si="2"/>
        <v>76</v>
      </c>
      <c r="B77" s="205">
        <v>46123</v>
      </c>
      <c r="C77" s="207" t="s">
        <v>348</v>
      </c>
      <c r="D77" s="207" t="s">
        <v>349</v>
      </c>
      <c r="E77" s="207" t="s">
        <v>350</v>
      </c>
      <c r="F77" s="207" t="s">
        <v>32</v>
      </c>
      <c r="G77" s="207" t="s">
        <v>351</v>
      </c>
      <c r="H77" s="208">
        <v>9826697787</v>
      </c>
      <c r="I77" s="210" t="s">
        <v>352</v>
      </c>
      <c r="J77" s="207" t="s">
        <v>91</v>
      </c>
      <c r="K77" s="207" t="s">
        <v>353</v>
      </c>
      <c r="L77" s="207" t="s">
        <v>43</v>
      </c>
      <c r="M77" s="209" t="s">
        <v>51</v>
      </c>
      <c r="N77" s="217"/>
      <c r="O77" s="218"/>
      <c r="P77" s="219"/>
      <c r="Q77" s="220"/>
      <c r="R77" s="217"/>
    </row>
    <row r="78" spans="1:18" ht="15.6">
      <c r="A78" s="204">
        <f t="shared" si="2"/>
        <v>77</v>
      </c>
      <c r="B78" s="205">
        <v>46123.725694444445</v>
      </c>
      <c r="C78" s="206" t="s">
        <v>354</v>
      </c>
      <c r="D78" s="206" t="s">
        <v>355</v>
      </c>
      <c r="E78" s="206" t="s">
        <v>356</v>
      </c>
      <c r="F78" s="207" t="s">
        <v>47</v>
      </c>
      <c r="G78" s="207"/>
      <c r="H78" s="208">
        <v>9494154547</v>
      </c>
      <c r="I78" s="210" t="s">
        <v>357</v>
      </c>
      <c r="J78" s="207" t="s">
        <v>41</v>
      </c>
      <c r="K78" s="206" t="s">
        <v>358</v>
      </c>
      <c r="L78" s="207" t="s">
        <v>86</v>
      </c>
      <c r="M78" s="209" t="s">
        <v>51</v>
      </c>
      <c r="N78" s="217"/>
      <c r="O78" s="218"/>
      <c r="P78" s="219"/>
      <c r="Q78" s="220"/>
      <c r="R78" s="217"/>
    </row>
    <row r="79" spans="1:18" ht="15.6">
      <c r="A79" s="204">
        <f t="shared" si="2"/>
        <v>78</v>
      </c>
      <c r="B79" s="205">
        <v>46125</v>
      </c>
      <c r="C79" s="207" t="s">
        <v>359</v>
      </c>
      <c r="D79" s="207" t="s">
        <v>199</v>
      </c>
      <c r="E79" s="207" t="s">
        <v>21</v>
      </c>
      <c r="F79" s="207" t="s">
        <v>38</v>
      </c>
      <c r="G79" s="207" t="s">
        <v>360</v>
      </c>
      <c r="H79" s="208">
        <v>9380727062</v>
      </c>
      <c r="I79" s="210"/>
      <c r="J79" s="207" t="s">
        <v>345</v>
      </c>
      <c r="K79" s="207" t="s">
        <v>361</v>
      </c>
      <c r="L79" s="207" t="s">
        <v>86</v>
      </c>
      <c r="M79" s="209" t="s">
        <v>44</v>
      </c>
      <c r="N79" s="217"/>
      <c r="O79" s="218"/>
      <c r="P79" s="219"/>
      <c r="Q79" s="220"/>
      <c r="R79" s="217"/>
    </row>
    <row r="80" spans="1:18" ht="15.6">
      <c r="A80" s="204">
        <f t="shared" si="2"/>
        <v>79</v>
      </c>
      <c r="B80" s="205">
        <v>46125</v>
      </c>
      <c r="C80" s="207" t="s">
        <v>362</v>
      </c>
      <c r="D80" s="207" t="s">
        <v>363</v>
      </c>
      <c r="E80" s="207" t="s">
        <v>364</v>
      </c>
      <c r="F80" s="207" t="s">
        <v>32</v>
      </c>
      <c r="G80" s="207"/>
      <c r="H80" s="208">
        <v>7896329983</v>
      </c>
      <c r="I80" s="210"/>
      <c r="J80" s="207" t="s">
        <v>91</v>
      </c>
      <c r="K80" s="206" t="s">
        <v>365</v>
      </c>
      <c r="L80" s="207" t="s">
        <v>86</v>
      </c>
      <c r="M80" s="209" t="s">
        <v>51</v>
      </c>
      <c r="N80" s="206"/>
      <c r="O80" s="207"/>
      <c r="P80" s="226"/>
      <c r="Q80" s="220"/>
      <c r="R80" s="206"/>
    </row>
    <row r="81" spans="1:18" ht="15.6">
      <c r="A81" s="204">
        <f t="shared" si="2"/>
        <v>80</v>
      </c>
      <c r="B81" s="205">
        <v>46125</v>
      </c>
      <c r="C81" s="207" t="s">
        <v>366</v>
      </c>
      <c r="D81" s="207" t="s">
        <v>367</v>
      </c>
      <c r="E81" s="207" t="s">
        <v>21</v>
      </c>
      <c r="F81" s="207" t="s">
        <v>128</v>
      </c>
      <c r="G81" s="207" t="s">
        <v>368</v>
      </c>
      <c r="H81" s="208">
        <v>9112920002</v>
      </c>
      <c r="I81" s="210" t="s">
        <v>369</v>
      </c>
      <c r="J81" s="207" t="s">
        <v>91</v>
      </c>
      <c r="K81" s="207" t="s">
        <v>370</v>
      </c>
      <c r="L81" s="207" t="s">
        <v>43</v>
      </c>
      <c r="M81" s="209" t="s">
        <v>51</v>
      </c>
      <c r="N81" s="217"/>
      <c r="O81" s="218"/>
      <c r="P81" s="219"/>
      <c r="Q81" s="220"/>
      <c r="R81" s="217"/>
    </row>
    <row r="82" spans="1:18" ht="15.6">
      <c r="A82" s="204">
        <f t="shared" si="2"/>
        <v>81</v>
      </c>
      <c r="B82" s="205">
        <v>46125</v>
      </c>
      <c r="C82" s="207" t="s">
        <v>371</v>
      </c>
      <c r="D82" s="207" t="s">
        <v>372</v>
      </c>
      <c r="E82" s="207" t="s">
        <v>142</v>
      </c>
      <c r="F82" s="207" t="s">
        <v>47</v>
      </c>
      <c r="G82" s="207" t="s">
        <v>351</v>
      </c>
      <c r="H82" s="208">
        <v>9927244404</v>
      </c>
      <c r="I82" s="210" t="s">
        <v>373</v>
      </c>
      <c r="J82" s="207" t="s">
        <v>91</v>
      </c>
      <c r="K82" s="207" t="s">
        <v>374</v>
      </c>
      <c r="L82" s="207" t="s">
        <v>43</v>
      </c>
      <c r="M82" s="209" t="s">
        <v>51</v>
      </c>
      <c r="N82" s="217"/>
      <c r="O82" s="218"/>
      <c r="P82" s="219"/>
      <c r="Q82" s="220"/>
      <c r="R82" s="217"/>
    </row>
    <row r="83" spans="1:18" s="264" customFormat="1" ht="15.6">
      <c r="A83" s="251">
        <f t="shared" si="2"/>
        <v>82</v>
      </c>
      <c r="B83" s="252">
        <v>46125</v>
      </c>
      <c r="C83" s="253" t="s">
        <v>375</v>
      </c>
      <c r="D83" s="254" t="s">
        <v>376</v>
      </c>
      <c r="E83" s="255" t="s">
        <v>142</v>
      </c>
      <c r="F83" s="255" t="s">
        <v>32</v>
      </c>
      <c r="G83" s="255"/>
      <c r="H83" s="256">
        <v>9955331208</v>
      </c>
      <c r="I83" s="257" t="s">
        <v>377</v>
      </c>
      <c r="J83" s="255" t="s">
        <v>145</v>
      </c>
      <c r="K83" s="258" t="s">
        <v>378</v>
      </c>
      <c r="L83" s="255" t="s">
        <v>86</v>
      </c>
      <c r="M83" s="259" t="s">
        <v>51</v>
      </c>
      <c r="N83" s="260"/>
      <c r="O83" s="261"/>
      <c r="P83" s="262"/>
      <c r="Q83" s="263"/>
      <c r="R83" s="260"/>
    </row>
    <row r="84" spans="1:18" ht="15.6">
      <c r="A84" s="204">
        <f t="shared" si="2"/>
        <v>83</v>
      </c>
      <c r="B84" s="205">
        <v>46125</v>
      </c>
      <c r="C84" s="211" t="s">
        <v>379</v>
      </c>
      <c r="D84" s="207" t="s">
        <v>380</v>
      </c>
      <c r="E84" s="207" t="s">
        <v>364</v>
      </c>
      <c r="F84" s="207" t="s">
        <v>32</v>
      </c>
      <c r="G84" s="207"/>
      <c r="H84" s="208">
        <v>7896329983</v>
      </c>
      <c r="I84" s="210"/>
      <c r="J84" s="207" t="s">
        <v>101</v>
      </c>
      <c r="K84" s="211" t="s">
        <v>365</v>
      </c>
      <c r="L84" s="207" t="s">
        <v>86</v>
      </c>
      <c r="M84" s="209" t="s">
        <v>51</v>
      </c>
      <c r="N84" s="217"/>
      <c r="O84" s="218"/>
      <c r="P84" s="219"/>
      <c r="Q84" s="220"/>
      <c r="R84" s="217"/>
    </row>
    <row r="85" spans="1:18" ht="15.6">
      <c r="A85" s="204">
        <f t="shared" si="2"/>
        <v>84</v>
      </c>
      <c r="B85" s="205">
        <v>46125</v>
      </c>
      <c r="C85" s="207" t="s">
        <v>381</v>
      </c>
      <c r="D85" s="211" t="s">
        <v>62</v>
      </c>
      <c r="E85" s="207" t="s">
        <v>382</v>
      </c>
      <c r="F85" s="207" t="s">
        <v>47</v>
      </c>
      <c r="G85" s="207" t="s">
        <v>383</v>
      </c>
      <c r="H85" s="208">
        <v>9109211469</v>
      </c>
      <c r="I85" s="210" t="s">
        <v>384</v>
      </c>
      <c r="J85" s="207" t="s">
        <v>25</v>
      </c>
      <c r="K85" s="207" t="s">
        <v>385</v>
      </c>
      <c r="L85" s="207" t="s">
        <v>43</v>
      </c>
      <c r="M85" s="209" t="s">
        <v>51</v>
      </c>
      <c r="N85" s="217"/>
      <c r="O85" s="218"/>
      <c r="P85" s="219"/>
      <c r="Q85" s="220"/>
      <c r="R85" s="217"/>
    </row>
    <row r="86" spans="1:18" ht="15.6">
      <c r="A86" s="204">
        <f t="shared" si="2"/>
        <v>85</v>
      </c>
      <c r="B86" s="205">
        <v>46125</v>
      </c>
      <c r="C86" s="207" t="s">
        <v>386</v>
      </c>
      <c r="D86" s="207" t="s">
        <v>387</v>
      </c>
      <c r="E86" s="207" t="s">
        <v>21</v>
      </c>
      <c r="F86" s="207" t="s">
        <v>38</v>
      </c>
      <c r="G86" s="207" t="s">
        <v>388</v>
      </c>
      <c r="H86" s="208">
        <v>7350928634</v>
      </c>
      <c r="I86" s="212" t="s">
        <v>389</v>
      </c>
      <c r="J86" s="207" t="s">
        <v>41</v>
      </c>
      <c r="K86" s="207" t="s">
        <v>386</v>
      </c>
      <c r="L86" s="207" t="s">
        <v>43</v>
      </c>
      <c r="M86" s="209" t="s">
        <v>44</v>
      </c>
      <c r="N86" s="217"/>
      <c r="O86" s="218"/>
      <c r="P86" s="219"/>
      <c r="Q86" s="220"/>
      <c r="R86" s="217"/>
    </row>
    <row r="87" spans="1:18" ht="15.6">
      <c r="A87" s="204">
        <f t="shared" si="2"/>
        <v>86</v>
      </c>
      <c r="B87" s="205">
        <v>46125</v>
      </c>
      <c r="C87" s="207" t="s">
        <v>390</v>
      </c>
      <c r="D87" s="207"/>
      <c r="E87" s="207"/>
      <c r="F87" s="207" t="s">
        <v>22</v>
      </c>
      <c r="G87" s="213" t="s">
        <v>391</v>
      </c>
      <c r="H87" s="208">
        <v>9881717449</v>
      </c>
      <c r="I87" s="212" t="s">
        <v>392</v>
      </c>
      <c r="J87" s="209" t="s">
        <v>25</v>
      </c>
      <c r="K87" s="207" t="s">
        <v>393</v>
      </c>
      <c r="L87" s="207" t="s">
        <v>231</v>
      </c>
      <c r="M87" s="209" t="s">
        <v>28</v>
      </c>
      <c r="N87" s="217" t="s">
        <v>394</v>
      </c>
      <c r="O87" s="218">
        <v>46125</v>
      </c>
      <c r="P87" s="219"/>
      <c r="Q87" s="220"/>
      <c r="R87" s="217"/>
    </row>
    <row r="88" spans="1:18" ht="15.6">
      <c r="A88" s="204">
        <f t="shared" si="2"/>
        <v>87</v>
      </c>
      <c r="B88" s="205">
        <v>46126</v>
      </c>
      <c r="C88" s="207" t="s">
        <v>395</v>
      </c>
      <c r="D88" s="207" t="s">
        <v>396</v>
      </c>
      <c r="E88" s="207" t="s">
        <v>21</v>
      </c>
      <c r="F88" s="207" t="s">
        <v>38</v>
      </c>
      <c r="G88" s="213" t="s">
        <v>397</v>
      </c>
      <c r="H88" s="208">
        <v>9665511982</v>
      </c>
      <c r="I88" s="212" t="s">
        <v>398</v>
      </c>
      <c r="J88" s="209" t="s">
        <v>25</v>
      </c>
      <c r="K88" s="207" t="s">
        <v>399</v>
      </c>
      <c r="L88" s="207" t="s">
        <v>231</v>
      </c>
      <c r="M88" s="209" t="s">
        <v>28</v>
      </c>
      <c r="N88" s="217"/>
      <c r="O88" s="218"/>
      <c r="P88" s="219"/>
      <c r="Q88" s="220"/>
      <c r="R88" s="217"/>
    </row>
    <row r="89" spans="1:18" ht="15.6">
      <c r="A89" s="204">
        <f t="shared" si="2"/>
        <v>88</v>
      </c>
      <c r="B89" s="205">
        <v>46126</v>
      </c>
      <c r="C89" s="207" t="s">
        <v>400</v>
      </c>
      <c r="D89" s="211" t="s">
        <v>401</v>
      </c>
      <c r="E89" s="207" t="s">
        <v>63</v>
      </c>
      <c r="F89" s="207" t="s">
        <v>32</v>
      </c>
      <c r="G89" s="207" t="s">
        <v>402</v>
      </c>
      <c r="H89" s="208">
        <v>9360635558</v>
      </c>
      <c r="I89" s="212" t="s">
        <v>403</v>
      </c>
      <c r="J89" s="209" t="s">
        <v>25</v>
      </c>
      <c r="K89" s="207" t="s">
        <v>404</v>
      </c>
      <c r="L89" s="207" t="s">
        <v>43</v>
      </c>
      <c r="M89" s="209" t="s">
        <v>44</v>
      </c>
      <c r="N89" s="217"/>
      <c r="O89" s="218"/>
      <c r="P89" s="219"/>
      <c r="Q89" s="220"/>
      <c r="R89" s="217"/>
    </row>
    <row r="90" spans="1:18" ht="15.6">
      <c r="A90" s="204">
        <f t="shared" si="2"/>
        <v>89</v>
      </c>
      <c r="B90" s="205">
        <v>46126</v>
      </c>
      <c r="C90" s="207" t="s">
        <v>405</v>
      </c>
      <c r="D90" s="207" t="s">
        <v>199</v>
      </c>
      <c r="E90" s="207" t="s">
        <v>21</v>
      </c>
      <c r="F90" s="207" t="s">
        <v>22</v>
      </c>
      <c r="G90" s="211" t="s">
        <v>406</v>
      </c>
      <c r="H90" s="208">
        <v>9021200819</v>
      </c>
      <c r="I90" s="212" t="s">
        <v>407</v>
      </c>
      <c r="J90" s="209" t="s">
        <v>25</v>
      </c>
      <c r="K90" s="207" t="s">
        <v>408</v>
      </c>
      <c r="L90" s="207" t="s">
        <v>231</v>
      </c>
      <c r="M90" s="209" t="s">
        <v>44</v>
      </c>
      <c r="N90" s="217" t="s">
        <v>409</v>
      </c>
      <c r="O90" s="218">
        <v>46126</v>
      </c>
      <c r="P90" s="219"/>
      <c r="Q90" s="220"/>
      <c r="R90" s="217"/>
    </row>
    <row r="91" spans="1:18" ht="15.6">
      <c r="A91" s="204">
        <f t="shared" si="2"/>
        <v>90</v>
      </c>
      <c r="B91" s="205">
        <v>46126</v>
      </c>
      <c r="C91" s="207" t="s">
        <v>410</v>
      </c>
      <c r="D91" s="207" t="s">
        <v>411</v>
      </c>
      <c r="E91" s="207" t="s">
        <v>21</v>
      </c>
      <c r="F91" s="207" t="s">
        <v>47</v>
      </c>
      <c r="G91" s="211" t="s">
        <v>412</v>
      </c>
      <c r="H91" s="208">
        <v>8600120115</v>
      </c>
      <c r="I91" s="212" t="s">
        <v>413</v>
      </c>
      <c r="J91" s="209" t="s">
        <v>25</v>
      </c>
      <c r="K91" s="207" t="s">
        <v>267</v>
      </c>
      <c r="L91" s="207" t="s">
        <v>231</v>
      </c>
      <c r="M91" s="209" t="s">
        <v>37</v>
      </c>
      <c r="N91" s="217"/>
      <c r="O91" s="218"/>
      <c r="P91" s="219"/>
      <c r="Q91" s="220"/>
      <c r="R91" s="217"/>
    </row>
    <row r="92" spans="1:18" ht="28.8">
      <c r="A92" s="204">
        <f t="shared" si="2"/>
        <v>91</v>
      </c>
      <c r="B92" s="205">
        <v>46126</v>
      </c>
      <c r="C92" s="211" t="s">
        <v>414</v>
      </c>
      <c r="D92" s="207" t="s">
        <v>415</v>
      </c>
      <c r="E92" s="207" t="s">
        <v>21</v>
      </c>
      <c r="F92" s="207" t="s">
        <v>32</v>
      </c>
      <c r="G92" s="211" t="s">
        <v>416</v>
      </c>
      <c r="H92" s="208">
        <v>9013295927</v>
      </c>
      <c r="I92" s="212" t="s">
        <v>417</v>
      </c>
      <c r="J92" s="209" t="s">
        <v>25</v>
      </c>
      <c r="K92" s="207" t="s">
        <v>418</v>
      </c>
      <c r="L92" s="207" t="s">
        <v>231</v>
      </c>
      <c r="M92" s="209" t="s">
        <v>37</v>
      </c>
      <c r="N92" s="217"/>
      <c r="O92" s="218"/>
      <c r="P92" s="219"/>
      <c r="Q92" s="220"/>
      <c r="R92" s="217"/>
    </row>
    <row r="93" spans="1:18" ht="15.6">
      <c r="A93" s="204">
        <f t="shared" ref="A93:A99" si="3">ROW()-1</f>
        <v>92</v>
      </c>
      <c r="B93" s="205">
        <v>46126</v>
      </c>
      <c r="C93" s="207" t="s">
        <v>419</v>
      </c>
      <c r="D93" s="207" t="s">
        <v>199</v>
      </c>
      <c r="E93" s="207" t="s">
        <v>21</v>
      </c>
      <c r="F93" s="207" t="s">
        <v>38</v>
      </c>
      <c r="G93" s="207" t="s">
        <v>420</v>
      </c>
      <c r="H93" s="208">
        <v>9623553952</v>
      </c>
      <c r="I93" s="212" t="s">
        <v>421</v>
      </c>
      <c r="J93" s="209" t="s">
        <v>91</v>
      </c>
      <c r="K93" s="207" t="s">
        <v>422</v>
      </c>
      <c r="L93" s="207" t="s">
        <v>43</v>
      </c>
      <c r="M93" s="209"/>
      <c r="N93" s="217"/>
      <c r="O93" s="218"/>
      <c r="P93" s="219"/>
      <c r="Q93" s="220"/>
      <c r="R93" s="217"/>
    </row>
    <row r="94" spans="1:18" ht="15.6">
      <c r="A94" s="204">
        <f t="shared" si="3"/>
        <v>93</v>
      </c>
      <c r="B94" s="205">
        <v>46126</v>
      </c>
      <c r="C94" s="207" t="s">
        <v>423</v>
      </c>
      <c r="D94" s="207" t="s">
        <v>199</v>
      </c>
      <c r="E94" s="207" t="s">
        <v>21</v>
      </c>
      <c r="F94" s="207" t="s">
        <v>38</v>
      </c>
      <c r="G94" s="207" t="s">
        <v>424</v>
      </c>
      <c r="H94" s="208">
        <v>9987274888</v>
      </c>
      <c r="I94" s="212" t="s">
        <v>425</v>
      </c>
      <c r="J94" s="209" t="s">
        <v>25</v>
      </c>
      <c r="K94" s="207" t="s">
        <v>426</v>
      </c>
      <c r="L94" s="207" t="s">
        <v>231</v>
      </c>
      <c r="M94" s="209" t="s">
        <v>37</v>
      </c>
      <c r="N94" s="217" t="s">
        <v>427</v>
      </c>
      <c r="O94" s="218">
        <v>46126</v>
      </c>
      <c r="P94" s="219" t="s">
        <v>428</v>
      </c>
      <c r="Q94" s="220"/>
      <c r="R94" s="217"/>
    </row>
    <row r="95" spans="1:18" ht="15.6">
      <c r="A95" s="204">
        <f t="shared" si="3"/>
        <v>94</v>
      </c>
      <c r="B95" s="205">
        <v>46126</v>
      </c>
      <c r="C95" s="207" t="s">
        <v>429</v>
      </c>
      <c r="D95" s="207" t="s">
        <v>430</v>
      </c>
      <c r="E95" s="207" t="s">
        <v>21</v>
      </c>
      <c r="F95" s="207" t="s">
        <v>32</v>
      </c>
      <c r="G95" s="207" t="s">
        <v>431</v>
      </c>
      <c r="H95" s="208">
        <v>9373127716</v>
      </c>
      <c r="I95" s="212" t="s">
        <v>432</v>
      </c>
      <c r="J95" s="209" t="s">
        <v>145</v>
      </c>
      <c r="K95" s="207" t="s">
        <v>433</v>
      </c>
      <c r="L95" s="207" t="s">
        <v>43</v>
      </c>
      <c r="M95" s="209" t="s">
        <v>51</v>
      </c>
      <c r="N95" s="217"/>
      <c r="O95" s="218"/>
      <c r="P95" s="219"/>
      <c r="Q95" s="220"/>
      <c r="R95" s="217"/>
    </row>
    <row r="96" spans="1:18" ht="15.6">
      <c r="A96" s="204">
        <f t="shared" si="3"/>
        <v>95</v>
      </c>
      <c r="B96" s="205">
        <v>46126</v>
      </c>
      <c r="C96" s="207" t="s">
        <v>434</v>
      </c>
      <c r="D96" s="207" t="s">
        <v>435</v>
      </c>
      <c r="E96" s="207" t="s">
        <v>21</v>
      </c>
      <c r="F96" s="207" t="s">
        <v>38</v>
      </c>
      <c r="G96" s="207" t="s">
        <v>436</v>
      </c>
      <c r="H96" s="208">
        <v>9890355831</v>
      </c>
      <c r="I96" s="212" t="s">
        <v>437</v>
      </c>
      <c r="J96" s="209" t="s">
        <v>54</v>
      </c>
      <c r="K96" s="207" t="s">
        <v>438</v>
      </c>
      <c r="L96" s="207" t="s">
        <v>43</v>
      </c>
      <c r="M96" s="209" t="s">
        <v>44</v>
      </c>
      <c r="N96" s="217"/>
      <c r="O96" s="218"/>
      <c r="P96" s="219"/>
      <c r="Q96" s="220"/>
      <c r="R96" s="217"/>
    </row>
    <row r="97" spans="1:19" ht="15.6">
      <c r="A97" s="204">
        <f t="shared" si="3"/>
        <v>96</v>
      </c>
      <c r="B97" s="205">
        <v>46126</v>
      </c>
      <c r="C97" s="207" t="s">
        <v>439</v>
      </c>
      <c r="D97" s="207" t="s">
        <v>440</v>
      </c>
      <c r="E97" s="207" t="s">
        <v>142</v>
      </c>
      <c r="F97" s="207" t="s">
        <v>32</v>
      </c>
      <c r="G97" s="207" t="s">
        <v>436</v>
      </c>
      <c r="H97" s="208">
        <v>8853613504</v>
      </c>
      <c r="I97" s="212" t="s">
        <v>441</v>
      </c>
      <c r="J97" s="209" t="s">
        <v>145</v>
      </c>
      <c r="K97" s="207" t="s">
        <v>442</v>
      </c>
      <c r="L97" s="207" t="s">
        <v>43</v>
      </c>
      <c r="M97" s="209" t="s">
        <v>51</v>
      </c>
      <c r="N97" s="217"/>
      <c r="O97" s="218"/>
      <c r="P97" s="219"/>
      <c r="Q97" s="220"/>
      <c r="R97" s="217"/>
    </row>
    <row r="98" spans="1:19" ht="15.6">
      <c r="A98" s="204">
        <f t="shared" si="3"/>
        <v>97</v>
      </c>
      <c r="B98" s="205">
        <v>46126</v>
      </c>
      <c r="C98" s="207" t="s">
        <v>443</v>
      </c>
      <c r="D98" s="207" t="s">
        <v>411</v>
      </c>
      <c r="E98" s="207" t="s">
        <v>21</v>
      </c>
      <c r="F98" s="207" t="s">
        <v>32</v>
      </c>
      <c r="G98" s="207" t="s">
        <v>444</v>
      </c>
      <c r="H98" s="208">
        <v>9005754410</v>
      </c>
      <c r="I98" s="212" t="s">
        <v>445</v>
      </c>
      <c r="J98" s="209" t="s">
        <v>25</v>
      </c>
      <c r="K98" s="207"/>
      <c r="L98" s="207" t="s">
        <v>86</v>
      </c>
      <c r="M98" s="209" t="s">
        <v>51</v>
      </c>
      <c r="N98" s="217"/>
      <c r="O98" s="218"/>
      <c r="P98" s="219"/>
      <c r="Q98" s="220"/>
      <c r="R98" s="217"/>
    </row>
    <row r="99" spans="1:19" ht="15.6">
      <c r="A99" s="204">
        <f t="shared" si="3"/>
        <v>98</v>
      </c>
      <c r="B99" s="205">
        <v>46126</v>
      </c>
      <c r="C99" s="207" t="s">
        <v>446</v>
      </c>
      <c r="D99" s="207" t="s">
        <v>411</v>
      </c>
      <c r="E99" s="207" t="s">
        <v>21</v>
      </c>
      <c r="F99" s="207" t="s">
        <v>47</v>
      </c>
      <c r="G99" s="207" t="s">
        <v>447</v>
      </c>
      <c r="H99" s="208">
        <v>8689894020</v>
      </c>
      <c r="I99" s="212" t="s">
        <v>448</v>
      </c>
      <c r="J99" s="207" t="s">
        <v>145</v>
      </c>
      <c r="K99" s="207" t="s">
        <v>449</v>
      </c>
      <c r="L99" s="207" t="s">
        <v>86</v>
      </c>
      <c r="M99" s="209" t="s">
        <v>51</v>
      </c>
      <c r="N99" s="217"/>
      <c r="O99" s="218"/>
      <c r="P99" s="219"/>
      <c r="Q99" s="220"/>
      <c r="R99" s="217"/>
    </row>
    <row r="100" spans="1:19" ht="15.6">
      <c r="A100" s="204">
        <f t="shared" ref="A100:A101" si="4">ROW()-1</f>
        <v>99</v>
      </c>
      <c r="B100" s="205">
        <v>46126</v>
      </c>
      <c r="C100" s="207" t="s">
        <v>450</v>
      </c>
      <c r="D100" s="207"/>
      <c r="E100" s="207" t="s">
        <v>21</v>
      </c>
      <c r="F100" s="207" t="s">
        <v>32</v>
      </c>
      <c r="G100" s="207" t="s">
        <v>451</v>
      </c>
      <c r="H100" s="208">
        <v>9044104660</v>
      </c>
      <c r="I100" s="212"/>
      <c r="J100" s="207" t="s">
        <v>145</v>
      </c>
      <c r="K100" s="207" t="s">
        <v>452</v>
      </c>
      <c r="L100" s="207" t="s">
        <v>86</v>
      </c>
      <c r="M100" s="209" t="s">
        <v>51</v>
      </c>
      <c r="N100" s="217"/>
      <c r="O100" s="218"/>
      <c r="P100" s="219"/>
      <c r="Q100" s="220"/>
      <c r="R100" s="217"/>
    </row>
    <row r="101" spans="1:19" ht="15.6">
      <c r="A101" s="204">
        <f t="shared" si="4"/>
        <v>100</v>
      </c>
      <c r="B101" s="205">
        <v>46126</v>
      </c>
      <c r="C101" s="207" t="s">
        <v>453</v>
      </c>
      <c r="D101" s="207" t="s">
        <v>454</v>
      </c>
      <c r="E101" s="207" t="s">
        <v>21</v>
      </c>
      <c r="F101" s="207" t="s">
        <v>38</v>
      </c>
      <c r="G101" s="207" t="s">
        <v>455</v>
      </c>
      <c r="H101" s="208">
        <v>9011683393</v>
      </c>
      <c r="I101" s="212" t="s">
        <v>456</v>
      </c>
      <c r="J101" s="207" t="s">
        <v>145</v>
      </c>
      <c r="K101" s="207" t="s">
        <v>457</v>
      </c>
      <c r="L101" s="207" t="s">
        <v>86</v>
      </c>
      <c r="M101" s="209" t="s">
        <v>44</v>
      </c>
      <c r="N101" s="217"/>
      <c r="O101" s="218"/>
      <c r="P101" s="219"/>
      <c r="Q101" s="220"/>
      <c r="R101" s="217"/>
    </row>
    <row r="102" spans="1:19" ht="15.6">
      <c r="A102" s="204">
        <f t="shared" ref="A102:A120" si="5">ROW()-1</f>
        <v>101</v>
      </c>
      <c r="B102" s="205">
        <v>46127</v>
      </c>
      <c r="C102" s="207" t="s">
        <v>458</v>
      </c>
      <c r="D102" s="207" t="s">
        <v>199</v>
      </c>
      <c r="E102" s="207" t="s">
        <v>21</v>
      </c>
      <c r="F102" s="207" t="s">
        <v>22</v>
      </c>
      <c r="G102" s="207" t="s">
        <v>459</v>
      </c>
      <c r="H102" s="208"/>
      <c r="I102" s="212" t="s">
        <v>460</v>
      </c>
      <c r="J102" s="207" t="s">
        <v>145</v>
      </c>
      <c r="K102" s="207" t="s">
        <v>461</v>
      </c>
      <c r="L102" s="207" t="s">
        <v>231</v>
      </c>
      <c r="M102" s="209" t="s">
        <v>51</v>
      </c>
      <c r="N102" s="217"/>
      <c r="O102" s="218"/>
      <c r="P102" s="219"/>
      <c r="Q102" s="220"/>
      <c r="R102" s="217"/>
    </row>
    <row r="103" spans="1:19" ht="15.6">
      <c r="A103" s="183">
        <f t="shared" si="5"/>
        <v>102</v>
      </c>
      <c r="B103" s="205">
        <v>46127</v>
      </c>
      <c r="C103" s="207" t="s">
        <v>458</v>
      </c>
      <c r="D103" s="228" t="s">
        <v>199</v>
      </c>
      <c r="E103" s="207" t="s">
        <v>21</v>
      </c>
      <c r="F103" s="228" t="s">
        <v>38</v>
      </c>
      <c r="G103" s="185" t="s">
        <v>462</v>
      </c>
      <c r="H103" s="112"/>
      <c r="I103" s="229" t="s">
        <v>460</v>
      </c>
      <c r="J103" s="207" t="s">
        <v>463</v>
      </c>
      <c r="K103" s="207" t="s">
        <v>461</v>
      </c>
      <c r="L103" s="185" t="s">
        <v>231</v>
      </c>
      <c r="M103" s="209" t="s">
        <v>51</v>
      </c>
      <c r="N103" s="95"/>
      <c r="O103" s="96"/>
      <c r="P103" s="97"/>
      <c r="Q103" s="98"/>
      <c r="R103" s="95"/>
    </row>
    <row r="104" spans="1:19" ht="15.6">
      <c r="A104" s="183">
        <f t="shared" si="5"/>
        <v>103</v>
      </c>
      <c r="B104" s="186">
        <v>46127</v>
      </c>
      <c r="C104" s="207" t="s">
        <v>458</v>
      </c>
      <c r="D104" s="184" t="s">
        <v>199</v>
      </c>
      <c r="E104" s="207" t="s">
        <v>21</v>
      </c>
      <c r="F104" s="228" t="s">
        <v>22</v>
      </c>
      <c r="G104" s="185" t="s">
        <v>464</v>
      </c>
      <c r="H104" s="112">
        <v>8530999013</v>
      </c>
      <c r="I104" s="229" t="s">
        <v>465</v>
      </c>
      <c r="J104" s="207" t="s">
        <v>145</v>
      </c>
      <c r="K104" s="228" t="s">
        <v>466</v>
      </c>
      <c r="L104" s="185" t="s">
        <v>231</v>
      </c>
      <c r="M104" s="209" t="s">
        <v>51</v>
      </c>
      <c r="N104" s="95"/>
      <c r="O104" s="96"/>
      <c r="P104" s="97"/>
      <c r="Q104" s="98"/>
      <c r="R104" s="95"/>
    </row>
    <row r="105" spans="1:19" ht="15.6">
      <c r="A105" s="204">
        <f t="shared" si="5"/>
        <v>104</v>
      </c>
      <c r="B105" s="205">
        <v>46127</v>
      </c>
      <c r="C105" s="207" t="s">
        <v>467</v>
      </c>
      <c r="D105" s="230" t="s">
        <v>199</v>
      </c>
      <c r="E105" s="207" t="s">
        <v>21</v>
      </c>
      <c r="F105" s="230" t="s">
        <v>38</v>
      </c>
      <c r="G105" s="207" t="s">
        <v>182</v>
      </c>
      <c r="H105" s="208">
        <v>8999942939</v>
      </c>
      <c r="I105" s="212" t="s">
        <v>468</v>
      </c>
      <c r="J105" s="207" t="s">
        <v>41</v>
      </c>
      <c r="K105" s="230" t="s">
        <v>469</v>
      </c>
      <c r="L105" s="207" t="s">
        <v>43</v>
      </c>
      <c r="M105" s="209" t="s">
        <v>44</v>
      </c>
      <c r="N105" s="217"/>
      <c r="O105" s="218"/>
      <c r="P105" s="219"/>
      <c r="Q105" s="220"/>
      <c r="R105" s="217"/>
    </row>
    <row r="106" spans="1:19" ht="43.2">
      <c r="A106" s="204">
        <f t="shared" si="5"/>
        <v>105</v>
      </c>
      <c r="B106" s="205">
        <v>46127</v>
      </c>
      <c r="C106" s="207" t="s">
        <v>470</v>
      </c>
      <c r="D106" s="230" t="s">
        <v>199</v>
      </c>
      <c r="E106" s="207" t="s">
        <v>21</v>
      </c>
      <c r="F106" s="230" t="s">
        <v>38</v>
      </c>
      <c r="G106" s="211" t="s">
        <v>471</v>
      </c>
      <c r="H106" s="208">
        <v>9422086578</v>
      </c>
      <c r="I106" s="212" t="s">
        <v>472</v>
      </c>
      <c r="J106" s="207" t="s">
        <v>25</v>
      </c>
      <c r="K106" s="230" t="s">
        <v>473</v>
      </c>
      <c r="L106" s="207" t="s">
        <v>43</v>
      </c>
      <c r="M106" s="209" t="s">
        <v>474</v>
      </c>
      <c r="N106" s="217"/>
      <c r="O106" s="218"/>
      <c r="P106" s="219"/>
      <c r="Q106" s="220"/>
      <c r="R106" s="217"/>
    </row>
    <row r="107" spans="1:19" ht="15.6">
      <c r="A107" s="204">
        <f t="shared" si="5"/>
        <v>106</v>
      </c>
      <c r="B107" s="205">
        <v>46127</v>
      </c>
      <c r="C107" s="207" t="s">
        <v>475</v>
      </c>
      <c r="D107" s="230" t="s">
        <v>476</v>
      </c>
      <c r="E107" s="230" t="s">
        <v>142</v>
      </c>
      <c r="F107" s="230" t="s">
        <v>47</v>
      </c>
      <c r="G107" s="207" t="s">
        <v>477</v>
      </c>
      <c r="H107" s="208">
        <v>7982466305</v>
      </c>
      <c r="I107" s="212" t="s">
        <v>478</v>
      </c>
      <c r="J107" s="207" t="s">
        <v>91</v>
      </c>
      <c r="K107" s="230" t="s">
        <v>479</v>
      </c>
      <c r="L107" s="207" t="s">
        <v>43</v>
      </c>
      <c r="M107" s="209" t="s">
        <v>51</v>
      </c>
      <c r="N107" s="217"/>
      <c r="O107" s="218"/>
      <c r="P107" s="219"/>
      <c r="Q107" s="220"/>
      <c r="R107" s="217"/>
    </row>
    <row r="108" spans="1:19" ht="15.6">
      <c r="A108" s="204">
        <f t="shared" si="5"/>
        <v>107</v>
      </c>
      <c r="B108" s="205">
        <v>46127</v>
      </c>
      <c r="C108" s="207" t="s">
        <v>480</v>
      </c>
      <c r="D108" s="230" t="s">
        <v>481</v>
      </c>
      <c r="E108" s="230" t="s">
        <v>195</v>
      </c>
      <c r="F108" s="230" t="s">
        <v>38</v>
      </c>
      <c r="G108" s="211" t="s">
        <v>482</v>
      </c>
      <c r="H108" s="208">
        <v>9632378753</v>
      </c>
      <c r="I108" s="212" t="s">
        <v>483</v>
      </c>
      <c r="J108" s="207" t="s">
        <v>101</v>
      </c>
      <c r="K108" s="230" t="s">
        <v>484</v>
      </c>
      <c r="L108" s="207" t="s">
        <v>43</v>
      </c>
      <c r="M108" s="209" t="s">
        <v>44</v>
      </c>
      <c r="N108" s="217"/>
      <c r="O108" s="218"/>
      <c r="P108" s="219"/>
      <c r="Q108" s="220"/>
      <c r="R108" s="217"/>
    </row>
    <row r="109" spans="1:19" ht="15.6">
      <c r="A109" s="231">
        <f t="shared" si="5"/>
        <v>108</v>
      </c>
      <c r="B109" s="205">
        <v>46127</v>
      </c>
      <c r="C109" s="232" t="s">
        <v>485</v>
      </c>
      <c r="D109" s="207" t="s">
        <v>199</v>
      </c>
      <c r="E109" s="207" t="s">
        <v>21</v>
      </c>
      <c r="F109" s="2" t="s">
        <v>32</v>
      </c>
      <c r="G109" s="232" t="s">
        <v>175</v>
      </c>
      <c r="H109" s="233">
        <v>9860953699</v>
      </c>
      <c r="I109" s="234"/>
      <c r="J109" s="207" t="s">
        <v>91</v>
      </c>
      <c r="K109" s="2" t="s">
        <v>486</v>
      </c>
      <c r="L109" s="232" t="s">
        <v>43</v>
      </c>
      <c r="M109" s="209" t="s">
        <v>51</v>
      </c>
      <c r="N109" s="235"/>
      <c r="O109" s="236"/>
      <c r="P109" s="237"/>
      <c r="Q109" s="238"/>
      <c r="R109" s="235"/>
    </row>
    <row r="110" spans="1:19" ht="28.8">
      <c r="A110" s="204">
        <f t="shared" si="5"/>
        <v>109</v>
      </c>
      <c r="B110" s="205">
        <v>46127</v>
      </c>
      <c r="C110" s="211" t="s">
        <v>487</v>
      </c>
      <c r="D110" s="230" t="s">
        <v>488</v>
      </c>
      <c r="E110" s="230" t="s">
        <v>21</v>
      </c>
      <c r="F110" s="230" t="s">
        <v>22</v>
      </c>
      <c r="G110" s="211" t="s">
        <v>489</v>
      </c>
      <c r="H110" s="208">
        <v>7030223252</v>
      </c>
      <c r="I110" s="212" t="s">
        <v>490</v>
      </c>
      <c r="J110" s="207" t="s">
        <v>25</v>
      </c>
      <c r="K110" s="239" t="s">
        <v>491</v>
      </c>
      <c r="L110" s="207" t="s">
        <v>231</v>
      </c>
      <c r="M110" s="209" t="s">
        <v>51</v>
      </c>
      <c r="N110" s="217"/>
      <c r="O110" s="218"/>
      <c r="P110" s="219"/>
      <c r="Q110" s="220"/>
      <c r="R110" s="217"/>
    </row>
    <row r="111" spans="1:19" ht="28.8">
      <c r="A111" s="204">
        <f t="shared" si="5"/>
        <v>110</v>
      </c>
      <c r="B111" s="205">
        <v>46127</v>
      </c>
      <c r="C111" s="207" t="s">
        <v>492</v>
      </c>
      <c r="D111" s="230" t="s">
        <v>199</v>
      </c>
      <c r="E111" s="230" t="s">
        <v>21</v>
      </c>
      <c r="F111" s="230" t="s">
        <v>32</v>
      </c>
      <c r="G111" s="211" t="s">
        <v>493</v>
      </c>
      <c r="H111" s="208">
        <v>8956405244</v>
      </c>
      <c r="I111" s="212" t="s">
        <v>494</v>
      </c>
      <c r="J111" s="207" t="s">
        <v>463</v>
      </c>
      <c r="K111" s="230" t="s">
        <v>495</v>
      </c>
      <c r="L111" s="207" t="s">
        <v>231</v>
      </c>
      <c r="M111" s="209" t="s">
        <v>51</v>
      </c>
      <c r="N111" s="217"/>
      <c r="O111" s="218"/>
      <c r="P111" s="219"/>
      <c r="Q111" s="220"/>
      <c r="R111" s="217"/>
    </row>
    <row r="112" spans="1:19" ht="28.8">
      <c r="A112" s="204">
        <f t="shared" si="5"/>
        <v>111</v>
      </c>
      <c r="B112" s="205">
        <v>46127</v>
      </c>
      <c r="C112" s="207" t="s">
        <v>496</v>
      </c>
      <c r="D112" s="230" t="s">
        <v>199</v>
      </c>
      <c r="E112" s="230" t="s">
        <v>21</v>
      </c>
      <c r="F112" s="230" t="s">
        <v>38</v>
      </c>
      <c r="G112" s="211" t="s">
        <v>497</v>
      </c>
      <c r="H112" s="208" t="s">
        <v>498</v>
      </c>
      <c r="I112" s="212" t="s">
        <v>499</v>
      </c>
      <c r="J112" s="207" t="s">
        <v>54</v>
      </c>
      <c r="K112" s="230" t="s">
        <v>500</v>
      </c>
      <c r="L112" s="207" t="s">
        <v>501</v>
      </c>
      <c r="M112" s="209" t="s">
        <v>474</v>
      </c>
      <c r="N112" s="217"/>
      <c r="O112" s="218"/>
      <c r="P112" s="219"/>
      <c r="Q112" s="220"/>
      <c r="R112" s="217"/>
      <c r="S112" s="14" t="s">
        <v>502</v>
      </c>
    </row>
    <row r="113" spans="1:18" ht="28.8">
      <c r="A113" s="183">
        <f t="shared" si="5"/>
        <v>112</v>
      </c>
      <c r="B113" s="186">
        <v>46128</v>
      </c>
      <c r="C113" s="184" t="s">
        <v>503</v>
      </c>
      <c r="D113" s="230" t="s">
        <v>199</v>
      </c>
      <c r="E113" s="230" t="s">
        <v>21</v>
      </c>
      <c r="F113" s="184" t="s">
        <v>47</v>
      </c>
      <c r="G113" s="185" t="s">
        <v>504</v>
      </c>
      <c r="H113" s="112" t="s">
        <v>505</v>
      </c>
      <c r="I113" s="229" t="s">
        <v>506</v>
      </c>
      <c r="J113" s="184" t="s">
        <v>25</v>
      </c>
      <c r="K113" s="184" t="s">
        <v>507</v>
      </c>
      <c r="L113" s="185" t="s">
        <v>501</v>
      </c>
      <c r="M113" s="209" t="s">
        <v>51</v>
      </c>
      <c r="N113" s="95"/>
      <c r="O113" s="96"/>
      <c r="P113" s="97"/>
      <c r="Q113" s="98"/>
      <c r="R113" s="95"/>
    </row>
    <row r="114" spans="1:18" ht="28.8">
      <c r="A114" s="183">
        <f t="shared" si="5"/>
        <v>113</v>
      </c>
      <c r="B114" s="186">
        <v>46128</v>
      </c>
      <c r="C114" s="240" t="s">
        <v>508</v>
      </c>
      <c r="D114" s="230" t="s">
        <v>199</v>
      </c>
      <c r="E114" s="230" t="s">
        <v>21</v>
      </c>
      <c r="F114" s="184" t="s">
        <v>128</v>
      </c>
      <c r="G114" s="185" t="s">
        <v>509</v>
      </c>
      <c r="H114" s="112">
        <v>9405854646</v>
      </c>
      <c r="I114" s="229" t="s">
        <v>510</v>
      </c>
      <c r="J114" s="184" t="s">
        <v>54</v>
      </c>
      <c r="K114" s="184" t="s">
        <v>511</v>
      </c>
      <c r="L114" s="185" t="s">
        <v>231</v>
      </c>
      <c r="M114" s="209" t="s">
        <v>51</v>
      </c>
      <c r="N114" s="95"/>
      <c r="O114" s="96"/>
      <c r="P114" s="97"/>
      <c r="Q114" s="98"/>
      <c r="R114" s="95"/>
    </row>
    <row r="115" spans="1:18" ht="15.6">
      <c r="A115" s="183">
        <f t="shared" si="5"/>
        <v>114</v>
      </c>
      <c r="B115" s="186">
        <v>46128</v>
      </c>
      <c r="C115" s="184" t="s">
        <v>458</v>
      </c>
      <c r="D115" s="184" t="s">
        <v>199</v>
      </c>
      <c r="E115" s="207" t="s">
        <v>21</v>
      </c>
      <c r="F115" s="184" t="s">
        <v>22</v>
      </c>
      <c r="G115" s="241" t="s">
        <v>512</v>
      </c>
      <c r="H115" s="112">
        <v>9552508678</v>
      </c>
      <c r="I115" s="229" t="s">
        <v>513</v>
      </c>
      <c r="J115" s="184" t="s">
        <v>25</v>
      </c>
      <c r="K115" s="184" t="s">
        <v>514</v>
      </c>
      <c r="L115" s="185" t="s">
        <v>231</v>
      </c>
      <c r="M115" s="209" t="s">
        <v>51</v>
      </c>
      <c r="N115" s="95"/>
      <c r="O115" s="96"/>
      <c r="P115" s="97"/>
      <c r="Q115" s="98"/>
      <c r="R115" s="95"/>
    </row>
    <row r="116" spans="1:18" ht="15.6">
      <c r="A116" s="183">
        <f t="shared" si="5"/>
        <v>115</v>
      </c>
      <c r="B116" s="186">
        <v>46129</v>
      </c>
      <c r="C116" s="184" t="s">
        <v>515</v>
      </c>
      <c r="D116" s="184" t="s">
        <v>199</v>
      </c>
      <c r="E116" s="207" t="s">
        <v>21</v>
      </c>
      <c r="F116" s="184" t="s">
        <v>32</v>
      </c>
      <c r="G116" s="241" t="s">
        <v>516</v>
      </c>
      <c r="H116" s="112">
        <v>9822032966</v>
      </c>
      <c r="I116" s="229" t="s">
        <v>517</v>
      </c>
      <c r="J116" s="184" t="s">
        <v>145</v>
      </c>
      <c r="K116" s="184" t="s">
        <v>518</v>
      </c>
      <c r="L116" s="185" t="s">
        <v>43</v>
      </c>
      <c r="M116" s="209" t="s">
        <v>51</v>
      </c>
      <c r="N116" s="95"/>
      <c r="O116" s="96"/>
      <c r="P116" s="97"/>
      <c r="Q116" s="98"/>
      <c r="R116" s="95"/>
    </row>
    <row r="117" spans="1:18" ht="15.6">
      <c r="A117" s="183">
        <f t="shared" si="5"/>
        <v>116</v>
      </c>
      <c r="B117" s="186">
        <v>46129</v>
      </c>
      <c r="C117" s="184" t="s">
        <v>519</v>
      </c>
      <c r="D117" s="184" t="s">
        <v>520</v>
      </c>
      <c r="E117" s="184" t="s">
        <v>21</v>
      </c>
      <c r="F117" s="184" t="s">
        <v>32</v>
      </c>
      <c r="G117" s="185" t="s">
        <v>521</v>
      </c>
      <c r="H117" s="112">
        <v>7020203828</v>
      </c>
      <c r="I117" s="229" t="s">
        <v>522</v>
      </c>
      <c r="J117" s="184" t="s">
        <v>145</v>
      </c>
      <c r="K117" s="184" t="s">
        <v>523</v>
      </c>
      <c r="L117" s="185" t="s">
        <v>43</v>
      </c>
      <c r="M117" s="209" t="s">
        <v>51</v>
      </c>
      <c r="N117" s="95"/>
      <c r="O117" s="96"/>
      <c r="P117" s="97"/>
      <c r="Q117" s="98"/>
      <c r="R117" s="95"/>
    </row>
    <row r="118" spans="1:18" ht="15.6">
      <c r="A118" s="183">
        <f t="shared" si="5"/>
        <v>117</v>
      </c>
      <c r="B118" s="186">
        <v>46129</v>
      </c>
      <c r="C118" s="184" t="s">
        <v>524</v>
      </c>
      <c r="D118" s="184" t="s">
        <v>525</v>
      </c>
      <c r="E118" s="184" t="s">
        <v>21</v>
      </c>
      <c r="F118" s="184" t="s">
        <v>128</v>
      </c>
      <c r="G118" s="185" t="s">
        <v>526</v>
      </c>
      <c r="H118" s="112">
        <v>9529243930</v>
      </c>
      <c r="I118" s="229"/>
      <c r="J118" s="184" t="s">
        <v>145</v>
      </c>
      <c r="K118" s="184" t="s">
        <v>527</v>
      </c>
      <c r="L118" s="185" t="s">
        <v>43</v>
      </c>
      <c r="M118" s="209" t="s">
        <v>51</v>
      </c>
      <c r="N118" s="95"/>
      <c r="O118" s="96"/>
      <c r="P118" s="97"/>
      <c r="Q118" s="98"/>
      <c r="R118" s="95"/>
    </row>
    <row r="119" spans="1:18" ht="15.6">
      <c r="A119" s="183">
        <f t="shared" si="5"/>
        <v>118</v>
      </c>
      <c r="B119" s="186">
        <v>46129</v>
      </c>
      <c r="C119" s="184" t="s">
        <v>524</v>
      </c>
      <c r="D119" s="184" t="s">
        <v>528</v>
      </c>
      <c r="E119" s="184" t="s">
        <v>142</v>
      </c>
      <c r="F119" s="184" t="s">
        <v>128</v>
      </c>
      <c r="G119" s="185" t="s">
        <v>526</v>
      </c>
      <c r="H119" s="112"/>
      <c r="I119" s="229"/>
      <c r="J119" s="184" t="s">
        <v>145</v>
      </c>
      <c r="K119" s="184" t="s">
        <v>529</v>
      </c>
      <c r="L119" s="185" t="s">
        <v>43</v>
      </c>
      <c r="M119" s="209" t="s">
        <v>51</v>
      </c>
      <c r="N119" s="95"/>
      <c r="O119" s="96"/>
      <c r="P119" s="97"/>
      <c r="Q119" s="98"/>
      <c r="R119" s="95"/>
    </row>
    <row r="120" spans="1:18" ht="28.8">
      <c r="A120" s="183">
        <f t="shared" si="5"/>
        <v>119</v>
      </c>
      <c r="B120" s="205">
        <v>46129</v>
      </c>
      <c r="C120" s="244" t="s">
        <v>530</v>
      </c>
      <c r="D120" s="244"/>
      <c r="E120" s="244"/>
      <c r="F120" s="207" t="s">
        <v>22</v>
      </c>
      <c r="G120" s="249" t="s">
        <v>531</v>
      </c>
      <c r="H120" s="208">
        <v>9064126231</v>
      </c>
      <c r="I120" s="244"/>
      <c r="J120" s="207" t="s">
        <v>145</v>
      </c>
      <c r="K120" s="244" t="s">
        <v>532</v>
      </c>
      <c r="L120" s="207" t="s">
        <v>86</v>
      </c>
      <c r="M120" s="209" t="s">
        <v>44</v>
      </c>
      <c r="N120" s="95"/>
      <c r="O120" s="96"/>
      <c r="P120" s="97"/>
      <c r="Q120" s="98"/>
      <c r="R120" s="95"/>
    </row>
    <row r="121" spans="1:18" ht="15.6">
      <c r="A121" s="183">
        <f t="shared" ref="A121:A126" si="6">ROW()-1</f>
        <v>120</v>
      </c>
      <c r="B121" s="205">
        <v>46129</v>
      </c>
      <c r="C121" s="244" t="s">
        <v>533</v>
      </c>
      <c r="D121" s="244"/>
      <c r="E121" s="244" t="s">
        <v>21</v>
      </c>
      <c r="F121" s="207" t="s">
        <v>38</v>
      </c>
      <c r="G121" s="249" t="s">
        <v>534</v>
      </c>
      <c r="H121" s="208">
        <v>9850958590</v>
      </c>
      <c r="I121" s="244"/>
      <c r="J121" s="207" t="s">
        <v>41</v>
      </c>
      <c r="K121" s="207"/>
      <c r="L121" s="207" t="s">
        <v>86</v>
      </c>
      <c r="M121" s="209" t="s">
        <v>44</v>
      </c>
      <c r="N121" s="95"/>
      <c r="O121" s="96"/>
      <c r="P121" s="97"/>
      <c r="Q121" s="98"/>
      <c r="R121" s="95"/>
    </row>
    <row r="122" spans="1:18" ht="15.6">
      <c r="A122" s="243">
        <f t="shared" si="6"/>
        <v>121</v>
      </c>
      <c r="B122" s="205">
        <v>46129</v>
      </c>
      <c r="C122" s="244" t="s">
        <v>535</v>
      </c>
      <c r="D122" s="244" t="s">
        <v>536</v>
      </c>
      <c r="E122" s="244" t="s">
        <v>536</v>
      </c>
      <c r="F122" s="232" t="s">
        <v>47</v>
      </c>
      <c r="G122" s="249" t="s">
        <v>537</v>
      </c>
      <c r="H122" s="208">
        <v>7973139536</v>
      </c>
      <c r="I122" s="244"/>
      <c r="J122" s="207" t="s">
        <v>145</v>
      </c>
      <c r="K122" s="232" t="s">
        <v>538</v>
      </c>
      <c r="L122" s="207" t="s">
        <v>86</v>
      </c>
      <c r="M122" s="250" t="s">
        <v>51</v>
      </c>
      <c r="N122" s="245"/>
      <c r="O122" s="246"/>
      <c r="P122" s="247"/>
      <c r="Q122" s="248"/>
      <c r="R122" s="245"/>
    </row>
    <row r="123" spans="1:18" ht="28.8">
      <c r="A123" s="243">
        <f t="shared" si="6"/>
        <v>122</v>
      </c>
      <c r="B123" s="205">
        <v>46129</v>
      </c>
      <c r="C123" s="244" t="s">
        <v>539</v>
      </c>
      <c r="D123" s="244" t="s">
        <v>540</v>
      </c>
      <c r="E123" s="244" t="s">
        <v>269</v>
      </c>
      <c r="F123" s="232" t="s">
        <v>38</v>
      </c>
      <c r="G123" s="249" t="s">
        <v>541</v>
      </c>
      <c r="H123" s="208">
        <v>9877364630</v>
      </c>
      <c r="I123" s="244" t="s">
        <v>542</v>
      </c>
      <c r="J123" s="207" t="s">
        <v>91</v>
      </c>
      <c r="K123" s="232" t="s">
        <v>543</v>
      </c>
      <c r="L123" s="207" t="s">
        <v>86</v>
      </c>
      <c r="M123" s="250" t="s">
        <v>44</v>
      </c>
      <c r="N123" s="245"/>
      <c r="O123" s="246"/>
      <c r="P123" s="247"/>
      <c r="Q123" s="248"/>
      <c r="R123" s="245"/>
    </row>
    <row r="124" spans="1:18" ht="15.6">
      <c r="A124" s="243">
        <f t="shared" si="6"/>
        <v>123</v>
      </c>
      <c r="B124" s="205">
        <v>46129</v>
      </c>
      <c r="C124" s="244" t="s">
        <v>544</v>
      </c>
      <c r="D124" s="244" t="s">
        <v>545</v>
      </c>
      <c r="E124" s="244" t="s">
        <v>157</v>
      </c>
      <c r="F124" s="232" t="s">
        <v>38</v>
      </c>
      <c r="G124" s="249" t="s">
        <v>546</v>
      </c>
      <c r="H124" s="208">
        <v>9413068790</v>
      </c>
      <c r="I124" s="244"/>
      <c r="J124" s="207" t="s">
        <v>101</v>
      </c>
      <c r="K124" s="232" t="s">
        <v>547</v>
      </c>
      <c r="L124" s="207" t="s">
        <v>86</v>
      </c>
      <c r="M124" s="250" t="s">
        <v>44</v>
      </c>
      <c r="N124" s="245"/>
      <c r="O124" s="246"/>
      <c r="P124" s="247"/>
      <c r="Q124" s="248"/>
      <c r="R124" s="245"/>
    </row>
    <row r="125" spans="1:18" ht="28.8">
      <c r="A125" s="243">
        <f t="shared" si="6"/>
        <v>124</v>
      </c>
      <c r="B125" s="205">
        <v>46129</v>
      </c>
      <c r="C125" s="244" t="s">
        <v>548</v>
      </c>
      <c r="D125" s="244" t="s">
        <v>549</v>
      </c>
      <c r="E125" s="244" t="s">
        <v>269</v>
      </c>
      <c r="F125" s="232" t="s">
        <v>38</v>
      </c>
      <c r="G125" s="249" t="s">
        <v>550</v>
      </c>
      <c r="H125" s="208">
        <v>9814573184</v>
      </c>
      <c r="I125" s="244" t="s">
        <v>551</v>
      </c>
      <c r="J125" s="207" t="s">
        <v>91</v>
      </c>
      <c r="K125" s="232" t="s">
        <v>552</v>
      </c>
      <c r="L125" s="207" t="s">
        <v>86</v>
      </c>
      <c r="M125" s="250" t="s">
        <v>44</v>
      </c>
      <c r="N125" s="245"/>
      <c r="O125" s="246"/>
      <c r="P125" s="247"/>
      <c r="Q125" s="248"/>
      <c r="R125" s="245"/>
    </row>
    <row r="126" spans="1:18" ht="28.8">
      <c r="A126" s="243">
        <f t="shared" si="6"/>
        <v>125</v>
      </c>
      <c r="B126" s="205">
        <v>46129</v>
      </c>
      <c r="C126" s="244" t="s">
        <v>553</v>
      </c>
      <c r="D126" s="244" t="s">
        <v>554</v>
      </c>
      <c r="E126" s="244" t="s">
        <v>21</v>
      </c>
      <c r="F126" s="232" t="s">
        <v>38</v>
      </c>
      <c r="G126" s="249" t="s">
        <v>555</v>
      </c>
      <c r="H126" s="208">
        <v>7373980909</v>
      </c>
      <c r="I126" s="244" t="s">
        <v>556</v>
      </c>
      <c r="J126" s="207" t="s">
        <v>41</v>
      </c>
      <c r="K126" s="232" t="s">
        <v>557</v>
      </c>
      <c r="L126" s="207" t="s">
        <v>86</v>
      </c>
      <c r="M126" s="250" t="s">
        <v>44</v>
      </c>
      <c r="N126" s="245"/>
      <c r="O126" s="246"/>
      <c r="P126" s="247"/>
      <c r="Q126" s="248"/>
      <c r="R126" s="245"/>
    </row>
  </sheetData>
  <dataConsolidate/>
  <dataValidations count="7">
    <dataValidation allowBlank="1" sqref="H7:H9 H11 H60:H61 H66:H70 H19:H50 H72:H98 H102:H119 H127:H871 S2:S498" xr:uid="{00000000-0002-0000-0000-000000000000}"/>
    <dataValidation type="list" allowBlank="1" sqref="C64 F2:F126" xr:uid="{00000000-0002-0000-0000-000002000000}">
      <formula1>"Modification,LCS,Monorail,EOT Crane,Jib Crane,Hoist,Gantry Crane,Manipulator,Scissor lifter,Manipulator, Others,Underslung, Goliath"</formula1>
    </dataValidation>
    <dataValidation type="list" allowBlank="1" showInputMessage="1" showErrorMessage="1" sqref="Q70:Q102 Q2:Q66" xr:uid="{809BF940-FFBF-4B87-B3E2-68257823CEC4}">
      <formula1>INDIRECT("QUOT[Quotation Status]")</formula1>
    </dataValidation>
    <dataValidation type="list" allowBlank="1" showInputMessage="1" showErrorMessage="1" sqref="M2:M126" xr:uid="{00000000-0002-0000-0000-000008000000}">
      <formula1>INDIRECT("LO[LEAD OWNER]")</formula1>
    </dataValidation>
    <dataValidation type="list" allowBlank="1" showInputMessage="1" showErrorMessage="1" sqref="J2:J126" xr:uid="{00000000-0002-0000-0000-000004000000}">
      <formula1>INDIRECT("INQ[INQUIRY]")</formula1>
    </dataValidation>
    <dataValidation type="list" allowBlank="1" showInputMessage="1" showErrorMessage="1" sqref="L2:L126" xr:uid="{00000000-0002-0000-0000-000007000000}">
      <formula1>INDIRECT("Table9[SALES OVERVIEW]")</formula1>
    </dataValidation>
    <dataValidation type="list" allowBlank="1" sqref="U2:U498" xr:uid="{00000000-0002-0000-0000-000001000000}">
      <formula1>"Not Started,In Progress,Received, Cancelled"</formula1>
    </dataValidation>
  </dataValidations>
  <hyperlinks>
    <hyperlink ref="I14" r:id="rId1" xr:uid="{D2F7E472-9976-485D-A6BA-40743A6E9130}"/>
    <hyperlink ref="I3" r:id="rId2" xr:uid="{C8673F3C-4AD8-4374-B052-8D9001CCCE9D}"/>
    <hyperlink ref="I11" r:id="rId3" xr:uid="{4002D72C-CAA0-4015-B5EB-8330F93FD7DD}"/>
    <hyperlink ref="I10" r:id="rId4" xr:uid="{0FD495B6-464C-4A2F-B235-4B746C0FC931}"/>
    <hyperlink ref="I9" r:id="rId5" display="'anil.m@ekamobility.com'" xr:uid="{C6183FE2-84BE-4BBB-974A-8975B32EB845}"/>
    <hyperlink ref="I4" r:id="rId6" xr:uid="{6718BCDA-6D0C-4711-B7AC-4D77038DC2AB}"/>
    <hyperlink ref="I5" r:id="rId7" xr:uid="{0BDF43B5-A138-4C66-857B-111D6406FFEF}"/>
    <hyperlink ref="I15" r:id="rId8" xr:uid="{F13F366E-F659-4972-84A0-0E1363953642}"/>
    <hyperlink ref="I22" r:id="rId9" xr:uid="{5974E6A9-85C9-4D10-9162-780316A1B6B8}"/>
    <hyperlink ref="I23" r:id="rId10" xr:uid="{AFEF0A46-9504-4AC4-994D-926E9FB9CEDB}"/>
    <hyperlink ref="I25" r:id="rId11" xr:uid="{F8A023DF-8577-4890-9C8A-0A907359EF8B}"/>
    <hyperlink ref="I26" r:id="rId12" xr:uid="{6FABB031-8A06-4785-88DC-448E2A73CA5A}"/>
    <hyperlink ref="I27" r:id="rId13" xr:uid="{CAE7EC5B-0F62-4124-9D6F-1D9DAEA65FEF}"/>
    <hyperlink ref="I19" r:id="rId14" xr:uid="{21EAF431-93CB-414C-855E-87AB5C20AED9}"/>
    <hyperlink ref="I20" r:id="rId15" xr:uid="{53E72DFF-23D9-4C01-96DD-16AEFC2CB3DF}"/>
    <hyperlink ref="I21" r:id="rId16" xr:uid="{27EC220C-1B55-4514-820B-F68E6E6D15C0}"/>
    <hyperlink ref="I37" r:id="rId17" display="'purchase.infra@clfprojects.com'" xr:uid="{EA93122E-3EB0-4291-A2C8-DC81963B06C0}"/>
    <hyperlink ref="I44" r:id="rId18" xr:uid="{7466BC2E-8B39-481D-AF98-6C5192BE52EC}"/>
    <hyperlink ref="I46" r:id="rId19" display="'rajiv.gaikwad@dynapac.com'" xr:uid="{2C35E624-5167-4E36-997D-B0216808F8DB}"/>
    <hyperlink ref="I48" r:id="rId20" display="'haidarali.darveshi@hyosung.com'" xr:uid="{7B4C6D64-5654-4908-B503-ECD3E1BF82DD}"/>
    <hyperlink ref="I49" r:id="rId21" display="'kamsiddha.lif@gmail.com'" xr:uid="{04F44AB6-44D8-4E2E-976A-A1F95B239A21}"/>
    <hyperlink ref="I50" r:id="rId22" xr:uid="{400E1E12-9B89-46C2-8D05-20D6FCD303FC}"/>
    <hyperlink ref="I28" r:id="rId23" xr:uid="{CD5DD20A-C830-4C5B-ADA6-E59699EEE662}"/>
    <hyperlink ref="I29" r:id="rId24" xr:uid="{FEE78355-79CF-497B-BBDB-1CE119899DF4}"/>
    <hyperlink ref="I30" r:id="rId25" xr:uid="{A5822D98-2A32-4E6A-9361-B47DEEDBF0C7}"/>
    <hyperlink ref="I31" r:id="rId26" xr:uid="{02504231-A286-4113-B08B-9E0706DEC43F}"/>
    <hyperlink ref="I32" r:id="rId27" xr:uid="{07AA774B-0B0E-4E26-9529-1BAB6644675B}"/>
    <hyperlink ref="I33" r:id="rId28" xr:uid="{1DA83D8C-1FF3-47F6-9782-CD580AAE8009}"/>
    <hyperlink ref="I34" r:id="rId29" xr:uid="{4E04488F-77BC-4024-B208-BFCC15620516}"/>
    <hyperlink ref="I35" r:id="rId30" xr:uid="{55F3DE03-2C4A-435A-AF8B-8B6ED73B4DAC}"/>
    <hyperlink ref="I36" r:id="rId31" xr:uid="{F1730CAE-0E15-4F6F-A9C3-1481EB6868C7}"/>
    <hyperlink ref="I38" r:id="rId32" xr:uid="{9B8439CC-376F-4EDB-92BC-C73C22881365}"/>
    <hyperlink ref="I39" r:id="rId33" xr:uid="{0C04187B-82B4-4941-9A75-1B1A0093029A}"/>
    <hyperlink ref="I41" r:id="rId34" xr:uid="{CE01EC3F-E451-4CBB-B41F-1091581566C8}"/>
    <hyperlink ref="I42" r:id="rId35" xr:uid="{FE4E588A-BAA3-497E-A15D-C6D779B2DCB1}"/>
    <hyperlink ref="I43" r:id="rId36" xr:uid="{65D64F23-BD7C-4F2A-B67E-86A7963BBFB5}"/>
    <hyperlink ref="I52" r:id="rId37" xr:uid="{844F0736-5996-412A-9789-462FE6BAE0AB}"/>
    <hyperlink ref="I54" r:id="rId38" xr:uid="{E096F913-1539-48CE-887B-FC683E7A8D45}"/>
    <hyperlink ref="I55" r:id="rId39" xr:uid="{9BB49680-9789-4229-88D0-031F9633AF06}"/>
    <hyperlink ref="I65" r:id="rId40" xr:uid="{98388348-AB72-4C27-8723-4A96987B0AD4}"/>
    <hyperlink ref="I67" r:id="rId41" xr:uid="{08489453-9618-4019-843C-0A72C7DDE206}"/>
    <hyperlink ref="I73" r:id="rId42" xr:uid="{9BB8D4D3-C4D7-4CA0-BDAF-4BCEF5B43D67}"/>
    <hyperlink ref="I45" r:id="rId43" xr:uid="{0419859A-D78D-49B4-A12A-D1A78EBA267E}"/>
    <hyperlink ref="I81" r:id="rId44" xr:uid="{DED89EEA-0E24-4A62-833A-8D1D1A928487}"/>
    <hyperlink ref="I77" r:id="rId45" xr:uid="{C49F76BE-258C-4406-B1D0-05012A159FDA}"/>
    <hyperlink ref="I83" r:id="rId46" xr:uid="{FC5AE3DF-5F99-45F2-9456-F4AA32DD8516}"/>
    <hyperlink ref="I85" r:id="rId47" xr:uid="{1DB1EE0D-D0B0-4D80-BABB-D59231CB8371}"/>
    <hyperlink ref="I86" r:id="rId48" xr:uid="{045FCFE0-E42E-4E10-B82C-E0F8B14CB485}"/>
    <hyperlink ref="I89" r:id="rId49" xr:uid="{103AC04E-8AF4-48CD-B7D2-94D0561C1D84}"/>
    <hyperlink ref="I90" r:id="rId50" xr:uid="{7ABD5A3F-AF7D-429B-A1CC-1B1DC4334097}"/>
    <hyperlink ref="I91" r:id="rId51" xr:uid="{18D04733-793A-4237-958F-9E28830CF09D}"/>
    <hyperlink ref="I92" r:id="rId52" xr:uid="{B037EFBF-616E-4776-9C27-15FC8EE89DC8}"/>
    <hyperlink ref="I88" r:id="rId53" xr:uid="{2FD333EC-6830-4C16-B18E-F25503ED0BE6}"/>
    <hyperlink ref="I87" r:id="rId54" xr:uid="{51ACD511-CEB4-48C5-ABBA-12D5903B57D6}"/>
    <hyperlink ref="I93" r:id="rId55" xr:uid="{60B0EE9D-8B18-411E-ACD9-E1EDE4799B06}"/>
    <hyperlink ref="I94" r:id="rId56" xr:uid="{5E269F1B-1B73-4318-9E02-09815941D042}"/>
    <hyperlink ref="I95" r:id="rId57" xr:uid="{E2A57162-8CB5-413C-B50C-1C92C40B69DA}"/>
    <hyperlink ref="I96" r:id="rId58" xr:uid="{F79BB358-B73E-4FC4-A962-F9CC4ABCA8B2}"/>
    <hyperlink ref="I97" r:id="rId59" xr:uid="{04AC1FA7-CAC4-496B-8D4A-969CC8ECFE8F}"/>
    <hyperlink ref="I98" r:id="rId60" xr:uid="{77A8EDD9-FF45-43FB-890D-E1B2EA0F20E0}"/>
    <hyperlink ref="I102" r:id="rId61" xr:uid="{8FABED18-90AD-4357-A41B-145BDEF51D44}"/>
    <hyperlink ref="I103" r:id="rId62" xr:uid="{BE132A19-495D-499A-802D-D515041719DC}"/>
    <hyperlink ref="I104" r:id="rId63" xr:uid="{A0643C88-7B23-4B86-96DA-C2D4B6C7B841}"/>
    <hyperlink ref="I105" r:id="rId64" xr:uid="{4195E401-ABB6-4E44-BE2F-74E86A187C25}"/>
    <hyperlink ref="I106" r:id="rId65" xr:uid="{9D0885FC-15C6-43A1-84E8-E81056284D72}"/>
    <hyperlink ref="I107" r:id="rId66" xr:uid="{7011B9D2-621A-4779-A3C5-94567B5D5F9D}"/>
    <hyperlink ref="I108" r:id="rId67" xr:uid="{57F2A688-187A-49DD-8B59-0EE6921A6BAA}"/>
    <hyperlink ref="I110" r:id="rId68" xr:uid="{12F8B14B-A84B-4AE2-8A59-B9E96420482D}"/>
    <hyperlink ref="I111" r:id="rId69" xr:uid="{B13F58F1-115A-46AA-B0D3-B830C779665B}"/>
    <hyperlink ref="I113" r:id="rId70" display="rajindustries@msn.com                   info@rajindustries.org " xr:uid="{240DC82E-F3DB-47F5-9198-71BD686A4D3D}"/>
    <hyperlink ref="I114" r:id="rId71" xr:uid="{78C2605F-3B7C-49C1-A8FD-DBCD45A913F5}"/>
    <hyperlink ref="I115" r:id="rId72" xr:uid="{E6BC161C-75D1-4AA5-A3C6-B533362DECA0}"/>
    <hyperlink ref="I116" r:id="rId73" xr:uid="{C707B9B6-53D3-486D-9EF3-A47CF2583477}"/>
    <hyperlink ref="I117" r:id="rId74" xr:uid="{1523B0F4-0BB3-4C7C-A3DA-FBC039AA915E}"/>
  </hyperlinks>
  <pageMargins left="0.75" right="0.75" top="1" bottom="1" header="0.5" footer="0.5"/>
  <pageSetup paperSize="5" fitToWidth="0" fitToHeight="0" orientation="portrait" r:id="rId75"/>
  <tableParts count="1">
    <tablePart r:id="rId7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'DATA SHEET'!$C$3:$C$32</xm:f>
          </x14:formula1>
          <xm:sqref>E2:E119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J192"/>
  <sheetViews>
    <sheetView zoomScale="70" zoomScaleNormal="70" workbookViewId="0">
      <selection activeCell="B5" sqref="B5"/>
    </sheetView>
  </sheetViews>
  <sheetFormatPr defaultRowHeight="14.4"/>
  <cols>
    <col min="1" max="1" width="4.33203125" customWidth="1"/>
    <col min="2" max="2" width="20" customWidth="1"/>
    <col min="4" max="4" width="19.33203125" customWidth="1"/>
    <col min="5" max="5" width="13.5546875" customWidth="1"/>
    <col min="6" max="6" width="12.6640625" customWidth="1"/>
    <col min="7" max="7" width="6.88671875" customWidth="1"/>
    <col min="8" max="8" width="37.109375" customWidth="1"/>
    <col min="9" max="9" width="18.88671875" customWidth="1"/>
    <col min="12" max="12" width="11.109375" customWidth="1"/>
  </cols>
  <sheetData>
    <row r="1" spans="1:36" ht="15" customHeight="1" thickBo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36" ht="36" customHeight="1" thickBot="1">
      <c r="A2" s="8"/>
      <c r="B2" s="316" t="s">
        <v>558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8"/>
      <c r="O2" s="318"/>
      <c r="P2" s="317"/>
      <c r="Q2" s="317"/>
      <c r="R2" s="317"/>
      <c r="S2" s="317"/>
      <c r="T2" s="317"/>
      <c r="U2" s="317"/>
      <c r="V2" s="317"/>
      <c r="W2" s="319">
        <f ca="1">TODAY()</f>
        <v>46132</v>
      </c>
      <c r="X2" s="320"/>
      <c r="Y2" s="321"/>
    </row>
    <row r="3" spans="1:36" ht="21.75" customHeight="1" thickBot="1">
      <c r="A3" s="7"/>
      <c r="B3" s="56" t="s">
        <v>559</v>
      </c>
      <c r="C3" s="7"/>
      <c r="D3" s="61" t="s">
        <v>560</v>
      </c>
      <c r="E3" s="62" t="s">
        <v>561</v>
      </c>
      <c r="F3" s="62" t="s">
        <v>562</v>
      </c>
      <c r="G3" s="7"/>
      <c r="H3" s="64" t="s">
        <v>563</v>
      </c>
      <c r="I3" s="63" t="s">
        <v>564</v>
      </c>
      <c r="K3" s="55" t="s">
        <v>565</v>
      </c>
      <c r="L3" s="265" t="s">
        <v>566</v>
      </c>
      <c r="N3" s="322" t="s">
        <v>567</v>
      </c>
      <c r="O3" s="323"/>
      <c r="P3" s="7"/>
      <c r="Q3" s="7"/>
      <c r="R3" s="7"/>
      <c r="S3" s="7"/>
      <c r="T3" s="7"/>
      <c r="U3" s="7"/>
      <c r="V3" s="7"/>
      <c r="W3" s="7"/>
      <c r="X3" s="7"/>
      <c r="Y3" s="9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39.75" customHeight="1" thickBot="1">
      <c r="A4" s="7"/>
      <c r="B4" s="55">
        <f>Table5[[#Totals],[NOS]]</f>
        <v>125</v>
      </c>
      <c r="D4" s="59">
        <f ca="1">'DATA SHEET'!L11</f>
        <v>0</v>
      </c>
      <c r="E4" s="59">
        <f ca="1">'DATA SHEET'!L12</f>
        <v>0</v>
      </c>
      <c r="F4" s="60">
        <f ca="1">'DATA SHEET'!L17</f>
        <v>0</v>
      </c>
      <c r="H4" s="65">
        <f>'DATA SHEET'!L14</f>
        <v>450000</v>
      </c>
      <c r="I4" s="66">
        <f>'DATA SHEET'!L15</f>
        <v>0</v>
      </c>
      <c r="K4" s="55">
        <f>'DATA SHEET'!L16</f>
        <v>125</v>
      </c>
      <c r="L4" s="265">
        <f ca="1">'DATA SHEET'!L13</f>
        <v>125</v>
      </c>
      <c r="N4" s="324">
        <f>'DATA SHEET'!H11</f>
        <v>17</v>
      </c>
      <c r="O4" s="325"/>
      <c r="P4" s="7"/>
      <c r="Q4" s="7"/>
      <c r="R4" s="7"/>
      <c r="S4" s="7"/>
      <c r="T4" s="7"/>
      <c r="U4" s="7"/>
      <c r="V4" s="7"/>
      <c r="W4" s="7"/>
      <c r="X4" s="7"/>
      <c r="Y4" s="9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>
      <c r="A5" s="7"/>
      <c r="B5" s="1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9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>
      <c r="A6" s="7"/>
      <c r="B6" s="10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9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>
      <c r="A7" s="7"/>
      <c r="B7" s="1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9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>
      <c r="A8" s="7"/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9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>
      <c r="A9" s="7"/>
      <c r="B9" s="10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9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>
      <c r="A10" s="7"/>
      <c r="B10" s="1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9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>
      <c r="A11" s="7"/>
      <c r="B11" s="10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9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>
      <c r="A12" s="7"/>
      <c r="B12" s="10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9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>
      <c r="A13" s="7"/>
      <c r="B13" s="1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9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>
      <c r="A14" s="7"/>
      <c r="B14" s="1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9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>
      <c r="A15" s="7"/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9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>
      <c r="A16" s="7"/>
      <c r="B16" s="10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9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>
      <c r="A17" s="7"/>
      <c r="B17" s="10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9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>
      <c r="A18" s="7"/>
      <c r="B18" s="10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9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>
      <c r="A19" s="7"/>
      <c r="B19" s="10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9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>
      <c r="A20" s="7"/>
      <c r="B20" s="1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9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>
      <c r="A21" s="7"/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9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>
      <c r="A22" s="7"/>
      <c r="B22" s="10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9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>
      <c r="A23" s="7"/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9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>
      <c r="A24" s="7"/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9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>
      <c r="A25" s="7"/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9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>
      <c r="A26" s="7"/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9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>
      <c r="A27" s="7"/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9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>
      <c r="A28" s="7"/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9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>
      <c r="A29" s="7"/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9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>
      <c r="A30" s="7"/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9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>
      <c r="A31" s="7"/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9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>
      <c r="A32" s="7"/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9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>
      <c r="A33" s="7"/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>
      <c r="A34" s="7"/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9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>
      <c r="A35" s="7"/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9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>
      <c r="A36" s="7"/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9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>
      <c r="A37" s="7"/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9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>
      <c r="A38" s="7"/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9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>
      <c r="A39" s="7"/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9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>
      <c r="A40" s="7"/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9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>
      <c r="A41" s="7"/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9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>
      <c r="A42" s="7"/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9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>
      <c r="A43" s="7"/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9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>
      <c r="A44" s="7"/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9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>
      <c r="A45" s="7"/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9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>
      <c r="A46" s="7"/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9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>
      <c r="A47" s="7"/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9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>
      <c r="A48" s="7"/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9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>
      <c r="A49" s="7"/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9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>
      <c r="A50" s="7"/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9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>
      <c r="A51" s="7"/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9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>
      <c r="A52" s="7"/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9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>
      <c r="A53" s="7"/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9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>
      <c r="A54" s="7"/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9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>
      <c r="A55" s="7"/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9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>
      <c r="A56" s="7"/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9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>
      <c r="A57" s="7"/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9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>
      <c r="A58" s="7"/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9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>
      <c r="A59" s="7"/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9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>
      <c r="A60" s="7"/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9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>
      <c r="A61" s="7"/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9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>
      <c r="A62" s="7"/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9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>
      <c r="A63" s="7"/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9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>
      <c r="A64" s="7"/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9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>
      <c r="A65" s="7"/>
      <c r="B65" s="1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9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>
      <c r="A66" s="7"/>
      <c r="B66" s="1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9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>
      <c r="A67" s="7"/>
      <c r="B67" s="1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9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>
      <c r="A68" s="7"/>
      <c r="B68" s="1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9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>
      <c r="A69" s="7"/>
      <c r="B69" s="1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9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>
      <c r="A70" s="7"/>
      <c r="B70" s="1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9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>
      <c r="A71" s="7"/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9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>
      <c r="A72" s="7"/>
      <c r="B72" s="10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9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>
      <c r="A73" s="7"/>
      <c r="B73" s="10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9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>
      <c r="A74" s="7"/>
      <c r="B74" s="10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9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>
      <c r="A75" s="7"/>
      <c r="B75" s="10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9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>
      <c r="A76" s="7"/>
      <c r="B76" s="1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9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>
      <c r="A77" s="7"/>
      <c r="B77" s="1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9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>
      <c r="A78" s="7"/>
      <c r="B78" s="10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9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>
      <c r="A79" s="7"/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9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>
      <c r="A80" s="7"/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9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>
      <c r="A81" s="7"/>
      <c r="B81" s="10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9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>
      <c r="A82" s="7"/>
      <c r="B82" s="10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9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>
      <c r="A83" s="7"/>
      <c r="B83" s="10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9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>
      <c r="A84" s="7"/>
      <c r="B84" s="10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9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>
      <c r="A85" s="7"/>
      <c r="B85" s="10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9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>
      <c r="A86" s="7"/>
      <c r="B86" s="1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9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>
      <c r="A87" s="7"/>
      <c r="B87" s="1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9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>
      <c r="A88" s="7"/>
      <c r="B88" s="1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9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>
      <c r="A89" s="7"/>
      <c r="B89" s="1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9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>
      <c r="A90" s="7"/>
      <c r="B90" s="1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9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>
      <c r="A91" s="7"/>
      <c r="B91" s="1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9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>
      <c r="A92" s="7"/>
      <c r="B92" s="1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9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>
      <c r="A93" s="7"/>
      <c r="B93" s="1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9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>
      <c r="A94" s="7"/>
      <c r="B94" s="1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9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>
      <c r="A95" s="7"/>
      <c r="B95" s="1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9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>
      <c r="A96" s="7"/>
      <c r="B96" s="1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9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>
      <c r="A97" s="7"/>
      <c r="B97" s="1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9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>
      <c r="A98" s="7"/>
      <c r="B98" s="1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9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>
      <c r="A99" s="7"/>
      <c r="B99" s="1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9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>
      <c r="A100" s="7"/>
      <c r="B100" s="1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9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>
      <c r="A101" s="7"/>
      <c r="B101" s="1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9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>
      <c r="A102" s="7"/>
      <c r="B102" s="1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9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>
      <c r="A103" s="7"/>
      <c r="B103" s="1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9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>
      <c r="A104" s="7"/>
      <c r="B104" s="1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9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>
      <c r="A105" s="7"/>
      <c r="B105" s="1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9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>
      <c r="A106" s="7"/>
      <c r="B106" s="1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9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>
      <c r="A107" s="7"/>
      <c r="B107" s="1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9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>
      <c r="A108" s="7"/>
      <c r="B108" s="1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9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>
      <c r="A109" s="7"/>
      <c r="B109" s="1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9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>
      <c r="A110" s="7"/>
      <c r="B110" s="1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9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>
      <c r="A111" s="7"/>
      <c r="B111" s="1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9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>
      <c r="A112" s="7"/>
      <c r="B112" s="1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9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>
      <c r="A113" s="7"/>
      <c r="B113" s="10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9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>
      <c r="A114" s="7"/>
      <c r="B114" s="10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9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>
      <c r="A115" s="7"/>
      <c r="B115" s="10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9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>
      <c r="A116" s="7"/>
      <c r="B116" s="1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9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>
      <c r="A117" s="7"/>
      <c r="B117" s="10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9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>
      <c r="A118" s="7"/>
      <c r="B118" s="10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>
      <c r="A119" s="7"/>
      <c r="B119" s="10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9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>
      <c r="A120" s="7"/>
      <c r="B120" s="10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9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>
      <c r="A121" s="7"/>
      <c r="B121" s="10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9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>
      <c r="A122" s="7"/>
      <c r="B122" s="10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9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>
      <c r="A123" s="7"/>
      <c r="B123" s="1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9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>
      <c r="A124" s="7"/>
      <c r="B124" s="1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9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>
      <c r="A125" s="7"/>
      <c r="B125" s="1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9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>
      <c r="A126" s="7"/>
      <c r="B126" s="1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9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>
      <c r="A127" s="7"/>
      <c r="B127" s="1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9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>
      <c r="A128" s="7"/>
      <c r="B128" s="1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9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>
      <c r="A129" s="7"/>
      <c r="B129" s="1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9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>
      <c r="A130" s="7"/>
      <c r="B130" s="1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9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>
      <c r="A131" s="7"/>
      <c r="B131" s="1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9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>
      <c r="A132" s="7"/>
      <c r="B132" s="1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9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>
      <c r="A133" s="7"/>
      <c r="B133" s="1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9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>
      <c r="A134" s="7"/>
      <c r="B134" s="1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9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>
      <c r="A135" s="7"/>
      <c r="B135" s="1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9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>
      <c r="A136" s="7"/>
      <c r="B136" s="1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9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>
      <c r="A137" s="7"/>
      <c r="B137" s="1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9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>
      <c r="A138" s="7"/>
      <c r="B138" s="1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9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>
      <c r="A139" s="7"/>
      <c r="B139" s="1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9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>
      <c r="A140" s="7"/>
      <c r="B140" s="1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9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>
      <c r="A141" s="7"/>
      <c r="B141" s="1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9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>
      <c r="A142" s="7"/>
      <c r="B142" s="1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9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>
      <c r="A143" s="7"/>
      <c r="B143" s="1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9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>
      <c r="A144" s="7"/>
      <c r="B144" s="1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9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>
      <c r="A145" s="7"/>
      <c r="B145" s="1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9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>
      <c r="A146" s="7"/>
      <c r="B146" s="1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9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>
      <c r="A147" s="7"/>
      <c r="B147" s="1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9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>
      <c r="A148" s="7"/>
      <c r="B148" s="1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9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>
      <c r="A149" s="7"/>
      <c r="B149" s="1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9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>
      <c r="A150" s="7"/>
      <c r="B150" s="1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>
      <c r="A151" s="7"/>
      <c r="B151" s="1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>
      <c r="A152" s="7"/>
      <c r="B152" s="1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9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>
      <c r="A153" s="7"/>
      <c r="B153" s="1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>
      <c r="A154" s="7"/>
      <c r="B154" s="1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>
      <c r="A155" s="7"/>
      <c r="B155" s="1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1:36">
      <c r="A156" s="7"/>
      <c r="B156" s="1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1:36">
      <c r="A157" s="7"/>
      <c r="B157" s="1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1:36">
      <c r="A158" s="7"/>
      <c r="B158" s="1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1:36">
      <c r="A159" s="7"/>
      <c r="B159" s="1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1:36">
      <c r="A160" s="7"/>
      <c r="B160" s="1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1:36">
      <c r="A161" s="7"/>
      <c r="B161" s="1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1:36">
      <c r="A162" s="7"/>
      <c r="B162" s="1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1:36">
      <c r="A163" s="7"/>
      <c r="B163" s="1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>
      <c r="A164" s="7"/>
      <c r="B164" s="1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1:36">
      <c r="A165" s="7"/>
      <c r="B165" s="1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1:36">
      <c r="A166" s="7"/>
      <c r="B166" s="1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>
      <c r="A167" s="7"/>
      <c r="B167" s="1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1:36">
      <c r="A168" s="7"/>
      <c r="B168" s="1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1:36">
      <c r="A169" s="7"/>
      <c r="B169" s="1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1:36">
      <c r="A170" s="7"/>
      <c r="B170" s="1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1:36">
      <c r="A171" s="7"/>
      <c r="B171" s="1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1:36">
      <c r="A172" s="7"/>
      <c r="B172" s="1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1:36" ht="15" thickBot="1">
      <c r="A173" s="7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3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1:3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1:3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1:3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1:3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1:3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1:3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1:3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1:3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1:3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1:3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1:3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1:3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1:3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1:3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1:3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1:3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</sheetData>
  <mergeCells count="4">
    <mergeCell ref="B2:V2"/>
    <mergeCell ref="W2:Y2"/>
    <mergeCell ref="N3:O3"/>
    <mergeCell ref="N4:O4"/>
  </mergeCells>
  <pageMargins left="0.35433070866141736" right="0.35433070866141736" top="0.39370078740157483" bottom="0.59055118110236227" header="0" footer="0"/>
  <pageSetup paperSize="9" scale="3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C2:T47"/>
  <sheetViews>
    <sheetView topLeftCell="C1" zoomScale="130" zoomScaleNormal="130" workbookViewId="0">
      <selection activeCell="L22" sqref="L22"/>
    </sheetView>
  </sheetViews>
  <sheetFormatPr defaultRowHeight="14.4"/>
  <cols>
    <col min="3" max="3" width="23.44140625" customWidth="1"/>
    <col min="4" max="4" width="11" customWidth="1"/>
    <col min="7" max="7" width="22" customWidth="1"/>
    <col min="8" max="8" width="11" customWidth="1"/>
    <col min="11" max="11" width="23.5546875" customWidth="1"/>
    <col min="12" max="12" width="18.5546875" customWidth="1"/>
    <col min="14" max="14" width="16.88671875" customWidth="1"/>
    <col min="15" max="15" width="13.5546875" customWidth="1"/>
    <col min="16" max="16" width="17.6640625" customWidth="1"/>
    <col min="18" max="18" width="13.6640625" customWidth="1"/>
    <col min="19" max="19" width="9.33203125" customWidth="1"/>
    <col min="20" max="20" width="17.5546875" customWidth="1"/>
  </cols>
  <sheetData>
    <row r="2" spans="3:20" ht="22.5" customHeight="1">
      <c r="C2" s="3" t="s">
        <v>568</v>
      </c>
      <c r="D2" s="4" t="s">
        <v>569</v>
      </c>
      <c r="G2" s="44" t="s">
        <v>570</v>
      </c>
      <c r="H2" s="45"/>
      <c r="I2" s="7"/>
      <c r="K2" s="67" t="s">
        <v>571</v>
      </c>
      <c r="L2" s="68" t="s">
        <v>572</v>
      </c>
      <c r="N2" s="326" t="s">
        <v>573</v>
      </c>
      <c r="O2" s="327"/>
      <c r="P2" s="328"/>
      <c r="Q2" s="26"/>
      <c r="R2" s="326" t="s">
        <v>574</v>
      </c>
      <c r="S2" s="327"/>
      <c r="T2" s="328"/>
    </row>
    <row r="3" spans="3:20" ht="13.5" customHeight="1">
      <c r="C3" t="s">
        <v>356</v>
      </c>
      <c r="D3">
        <f>COUNTIF('Lead Tracker'!E:E,"Andhra Pradesh")</f>
        <v>1</v>
      </c>
      <c r="G3" s="46" t="s">
        <v>27</v>
      </c>
      <c r="H3" s="41">
        <f>COUNTIF('Lead Tracker'!L:L, G3)</f>
        <v>5</v>
      </c>
      <c r="I3" s="7"/>
      <c r="K3" s="69" t="s">
        <v>28</v>
      </c>
      <c r="L3" s="70">
        <f>COUNTIF('Lead Tracker'!M:M, K3)</f>
        <v>6</v>
      </c>
      <c r="N3" s="27" t="s">
        <v>575</v>
      </c>
      <c r="O3" s="24" t="s">
        <v>576</v>
      </c>
      <c r="P3" s="28" t="s">
        <v>577</v>
      </c>
      <c r="R3" s="34" t="s">
        <v>578</v>
      </c>
      <c r="S3" s="25" t="s">
        <v>576</v>
      </c>
      <c r="T3" s="35" t="s">
        <v>577</v>
      </c>
    </row>
    <row r="4" spans="3:20" ht="15.75" customHeight="1">
      <c r="C4" t="s">
        <v>579</v>
      </c>
      <c r="D4">
        <f>COUNTIF('Lead Tracker'!E:E,"Andhra Pradesh")</f>
        <v>1</v>
      </c>
      <c r="G4" s="46" t="s">
        <v>36</v>
      </c>
      <c r="H4" s="41">
        <f>COUNTIF('Lead Tracker'!L:L, G4)</f>
        <v>9</v>
      </c>
      <c r="I4" s="7"/>
      <c r="K4" s="71" t="s">
        <v>37</v>
      </c>
      <c r="L4" s="70">
        <f>COUNTIF('Lead Tracker'!M:M, K4)</f>
        <v>18</v>
      </c>
      <c r="N4" s="29" t="s">
        <v>580</v>
      </c>
      <c r="O4" s="20">
        <f ca="1">COUNTIFS('Lead Tracker'!B:B, TODAY()-WEEKDAY(TODAY(),2)+1)</f>
        <v>0</v>
      </c>
      <c r="P4" s="30">
        <f ca="1">SUMIFS('Lead Tracker'!P:P, 'Lead Tracker'!B:B, TODAY()-WEEKDAY(TODAY(),2)+1)</f>
        <v>0</v>
      </c>
      <c r="R4" s="182">
        <v>46113</v>
      </c>
      <c r="S4" s="37">
        <f>COUNTIFS('Lead Tracker'!B:B,"&gt;="&amp;DATE(2026,4,1),'Lead Tracker'!B:B,"&lt;="&amp;DATE(2026,4,30))</f>
        <v>125</v>
      </c>
      <c r="T4" s="36">
        <f>SUMIFS('Lead Tracker'!P:P,'Lead Tracker'!B:B,"&gt;="&amp;DATE(2026,4,1),'Lead Tracker'!B:B,"&lt;="&amp;DATE(2026,4,30))</f>
        <v>450000</v>
      </c>
    </row>
    <row r="5" spans="3:20" ht="15.6">
      <c r="C5" t="s">
        <v>364</v>
      </c>
      <c r="D5">
        <f>COUNTIF('Lead Tracker'!E:E,"Assam")</f>
        <v>2</v>
      </c>
      <c r="G5" s="46" t="s">
        <v>231</v>
      </c>
      <c r="H5" s="41">
        <f>COUNTIF('Lead Tracker'!L:L, G5)</f>
        <v>22</v>
      </c>
      <c r="I5" s="7"/>
      <c r="K5" s="69" t="s">
        <v>474</v>
      </c>
      <c r="L5" s="70">
        <f>COUNTIF('Lead Tracker'!M:M, K5)</f>
        <v>2</v>
      </c>
      <c r="N5" s="29" t="s">
        <v>581</v>
      </c>
      <c r="O5" s="20">
        <f ca="1">COUNTIFS('Lead Tracker'!B:B, TODAY()-WEEKDAY(TODAY(),2)+2)</f>
        <v>0</v>
      </c>
      <c r="P5" s="30">
        <f ca="1">SUMIFS('Lead Tracker'!P:P, 'Lead Tracker'!B:B, TODAY()-WEEKDAY(TODAY(),2)+2)</f>
        <v>0</v>
      </c>
      <c r="R5" s="182">
        <v>46143</v>
      </c>
      <c r="S5" s="37">
        <f>COUNTIFS('Lead Tracker'!B:B,"&gt;="&amp;DATE(2026,5,1),'Lead Tracker'!B:B,"&lt;="&amp;DATE(2026,5,31))</f>
        <v>0</v>
      </c>
      <c r="T5" s="36">
        <f>SUMIFS('Lead Tracker'!P:P,'Lead Tracker'!B:B,"&gt;="&amp;DATE(2026,5,1),'Lead Tracker'!B:B,"&lt;="&amp;DATE(2026,5,31))</f>
        <v>0</v>
      </c>
    </row>
    <row r="6" spans="3:20" ht="15.6">
      <c r="C6" t="s">
        <v>582</v>
      </c>
      <c r="D6">
        <f>COUNTIF('Lead Tracker'!E:E,"Bihar")</f>
        <v>0</v>
      </c>
      <c r="G6" s="46" t="s">
        <v>43</v>
      </c>
      <c r="H6" s="41">
        <f>COUNTIF('Lead Tracker'!L:L, G6)</f>
        <v>58</v>
      </c>
      <c r="I6" s="7"/>
      <c r="K6" s="71" t="s">
        <v>51</v>
      </c>
      <c r="L6" s="70">
        <f>COUNTIF('Lead Tracker'!M:M, K6)</f>
        <v>61</v>
      </c>
      <c r="N6" s="29" t="s">
        <v>583</v>
      </c>
      <c r="O6" s="20">
        <f ca="1">COUNTIFS('Lead Tracker'!B:B, TODAY()-WEEKDAY(TODAY(),2)+3)</f>
        <v>0</v>
      </c>
      <c r="P6" s="30">
        <f ca="1">SUMIFS('Lead Tracker'!P:P, 'Lead Tracker'!B:B, TODAY()-WEEKDAY(TODAY(),2)+3)</f>
        <v>0</v>
      </c>
      <c r="R6" s="182">
        <v>46174</v>
      </c>
      <c r="S6" s="37">
        <f>COUNTIFS('Lead Tracker'!B:B,"&gt;="&amp;DATE(2026,6,1),'Lead Tracker'!B:B,"&lt;="&amp;DATE(2026,6,30))</f>
        <v>0</v>
      </c>
      <c r="T6" s="36">
        <f>SUMIFS('Lead Tracker'!P:P,'Lead Tracker'!B:B,"&gt;="&amp;DATE(2026,6,1),'Lead Tracker'!B:B,"&lt;="&amp;DATE(2026,6,30))</f>
        <v>0</v>
      </c>
    </row>
    <row r="7" spans="3:20" ht="15.6">
      <c r="C7" t="s">
        <v>350</v>
      </c>
      <c r="D7">
        <f>COUNTIF('Lead Tracker'!E:E,"Chhattisgarh")</f>
        <v>1</v>
      </c>
      <c r="G7" s="46" t="s">
        <v>501</v>
      </c>
      <c r="H7" s="41">
        <f>COUNTIF('Lead Tracker'!L:L, G7)</f>
        <v>2</v>
      </c>
      <c r="I7" s="7"/>
      <c r="K7" s="71" t="s">
        <v>44</v>
      </c>
      <c r="L7" s="70">
        <f>COUNTIF('Lead Tracker'!M:M, K7)</f>
        <v>36</v>
      </c>
      <c r="N7" s="29" t="s">
        <v>584</v>
      </c>
      <c r="O7" s="20">
        <f ca="1">COUNTIFS('Lead Tracker'!B:B, TODAY()-WEEKDAY(TODAY(),2)+4)</f>
        <v>0</v>
      </c>
      <c r="P7" s="30">
        <f ca="1">SUMIFS('Lead Tracker'!P:P, 'Lead Tracker'!B:B, TODAY()-WEEKDAY(TODAY(),2)+4)</f>
        <v>0</v>
      </c>
      <c r="R7" s="182">
        <v>46204</v>
      </c>
      <c r="S7" s="37">
        <f>COUNTIFS('Lead Tracker'!B:B,"&gt;="&amp;DATE(2026,7,1),'Lead Tracker'!B:B,"&lt;="&amp;DATE(2026,7,31))</f>
        <v>0</v>
      </c>
      <c r="T7" s="181">
        <f>SUMIFS('Lead Tracker'!P:P,'Lead Tracker'!B:B,"&gt;="&amp;DATE(2026,7,1),'Lead Tracker'!B:B,"&lt;="&amp;DATE(2026,7,31))</f>
        <v>0</v>
      </c>
    </row>
    <row r="8" spans="3:20" ht="16.2" thickBot="1">
      <c r="C8" t="s">
        <v>585</v>
      </c>
      <c r="D8">
        <f>COUNTIF('Lead Tracker'!E:E,"Goa")</f>
        <v>0</v>
      </c>
      <c r="G8" s="47" t="s">
        <v>86</v>
      </c>
      <c r="H8" s="43">
        <f>COUNTIF('Lead Tracker'!L:L, G8)</f>
        <v>29</v>
      </c>
      <c r="I8" s="7"/>
      <c r="K8" s="72"/>
      <c r="L8" s="72"/>
      <c r="N8" s="29" t="s">
        <v>586</v>
      </c>
      <c r="O8" s="20">
        <f ca="1">COUNTIFS('Lead Tracker'!B:B, TODAY()-WEEKDAY(TODAY(),2)+5)</f>
        <v>0</v>
      </c>
      <c r="P8" s="30">
        <f ca="1">SUMIFS('Lead Tracker'!P:P, 'Lead Tracker'!B:B, TODAY()-WEEKDAY(TODAY(),2)+5)</f>
        <v>0</v>
      </c>
      <c r="R8" s="182">
        <v>46235</v>
      </c>
      <c r="S8" s="37">
        <f>COUNTIFS('Lead Tracker'!B:B,"&gt;="&amp;DATE(2026,8,1),'Lead Tracker'!B:B,"&lt;="&amp;DATE(2026,8,31))</f>
        <v>0</v>
      </c>
      <c r="T8" s="181">
        <f>SUMIFS('Lead Tracker'!P:P,'Lead Tracker'!B:B,"&gt;="&amp;DATE(2026,8,1),'Lead Tracker'!B:B,"&lt;="&amp;DATE(2026,8,31))</f>
        <v>0</v>
      </c>
    </row>
    <row r="9" spans="3:20" ht="18.600000000000001" thickBot="1">
      <c r="C9" t="s">
        <v>163</v>
      </c>
      <c r="D9">
        <f>COUNTIF('Lead Tracker'!E:E,"Gujarat")</f>
        <v>2</v>
      </c>
      <c r="I9" s="7"/>
      <c r="K9" s="330" t="s">
        <v>587</v>
      </c>
      <c r="L9" s="330"/>
      <c r="N9" s="29" t="s">
        <v>588</v>
      </c>
      <c r="O9" s="20">
        <f ca="1">COUNTIFS('Lead Tracker'!B:B, TODAY()-WEEKDAY(TODAY(),2)+6)</f>
        <v>0</v>
      </c>
      <c r="P9" s="30">
        <f ca="1">SUMIFS('Lead Tracker'!P:P, 'Lead Tracker'!B:B, TODAY()-WEEKDAY(TODAY(),2)+6)</f>
        <v>0</v>
      </c>
      <c r="R9" s="182">
        <v>46266</v>
      </c>
      <c r="S9" s="37">
        <f>COUNTIFS('Lead Tracker'!B:B,"&gt;="&amp;DATE(2026,9,1),'Lead Tracker'!B:B,"&lt;="&amp;DATE(2026,9,30))</f>
        <v>0</v>
      </c>
      <c r="T9" s="181">
        <f>SUMIFS('Lead Tracker'!P:P,'Lead Tracker'!B:B,"&gt;="&amp;DATE(2026,9,1),'Lead Tracker'!B:B,"&lt;="&amp;DATE(2026,9,30))</f>
        <v>0</v>
      </c>
    </row>
    <row r="10" spans="3:20" ht="19.5" customHeight="1" thickBot="1">
      <c r="C10" t="s">
        <v>108</v>
      </c>
      <c r="D10">
        <f>COUNTIF('Lead Tracker'!E:E,"Haryana")</f>
        <v>2</v>
      </c>
      <c r="G10" s="48" t="s">
        <v>589</v>
      </c>
      <c r="H10" s="45" t="s">
        <v>576</v>
      </c>
      <c r="K10" s="21" t="s">
        <v>590</v>
      </c>
      <c r="L10" s="21" t="s">
        <v>591</v>
      </c>
      <c r="N10" s="31" t="s">
        <v>592</v>
      </c>
      <c r="O10" s="32">
        <f ca="1">COUNTIFS('Lead Tracker'!B:B, TODAY()-WEEKDAY(TODAY(),2)+7)</f>
        <v>0</v>
      </c>
      <c r="P10" s="33">
        <f ca="1">SUMIFS('Lead Tracker'!P:P, 'Lead Tracker'!B:B, TODAY()-WEEKDAY(TODAY(),2)+7)</f>
        <v>0</v>
      </c>
      <c r="R10" s="182">
        <v>46296</v>
      </c>
      <c r="S10" s="37">
        <f>COUNTIFS('Lead Tracker'!B:B,"&gt;="&amp;DATE(2026,10,1),'Lead Tracker'!B:B,"&lt;="&amp;DATE(2026,10,31))</f>
        <v>0</v>
      </c>
      <c r="T10" s="181">
        <f>SUMIFS('Lead Tracker'!P:P,'Lead Tracker'!B:B,"&gt;="&amp;DATE(2026,10,1),'Lead Tracker'!B:B,"&lt;="&amp;DATE(2026,10,31))</f>
        <v>0</v>
      </c>
    </row>
    <row r="11" spans="3:20">
      <c r="C11" t="s">
        <v>593</v>
      </c>
      <c r="D11">
        <f>COUNTIF('Lead Tracker'!E:E,"Himachal Pradesh")</f>
        <v>0</v>
      </c>
      <c r="G11" s="49" t="s">
        <v>145</v>
      </c>
      <c r="H11" s="50">
        <f>COUNTIF('Lead Tracker'!J:J, G11)</f>
        <v>17</v>
      </c>
      <c r="K11" s="6" t="s">
        <v>560</v>
      </c>
      <c r="L11" s="6">
        <f ca="1">COUNTIF('Lead Tracker'!B:B, TODAY())</f>
        <v>0</v>
      </c>
      <c r="N11" s="267">
        <f t="shared" ref="N11:P11" si="0">SUBTOTAL(109,N4:N10)</f>
        <v>0</v>
      </c>
      <c r="O11" s="268">
        <f t="shared" ca="1" si="0"/>
        <v>0</v>
      </c>
      <c r="P11" s="269">
        <f t="shared" ca="1" si="0"/>
        <v>0</v>
      </c>
      <c r="R11" s="182">
        <v>46327</v>
      </c>
      <c r="S11" s="37">
        <f>COUNTIFS('Lead Tracker'!B:B,"&gt;="&amp;DATE(2026,11,1),'Lead Tracker'!B:B,"&lt;="&amp;DATE(2026,11,30))</f>
        <v>0</v>
      </c>
      <c r="T11" s="181">
        <f>SUMIFS('Lead Tracker'!P:P,'Lead Tracker'!B:B,"&gt;="&amp;DATE(2026,11,1),'Lead Tracker'!B:B,"&lt;="&amp;DATE(2026,11,30))</f>
        <v>0</v>
      </c>
    </row>
    <row r="12" spans="3:20">
      <c r="C12" t="s">
        <v>594</v>
      </c>
      <c r="D12">
        <f>COUNTIF('Lead Tracker'!E:E,"Jharkhand")</f>
        <v>0</v>
      </c>
      <c r="G12" s="51" t="s">
        <v>245</v>
      </c>
      <c r="H12" s="52">
        <f>COUNTIF('Lead Tracker'!J:J, G12)</f>
        <v>2</v>
      </c>
      <c r="K12" s="5" t="s">
        <v>561</v>
      </c>
      <c r="L12" s="6">
        <f ca="1">COUNTIF('Lead Tracker'!B:B, TODAY()-1)</f>
        <v>0</v>
      </c>
      <c r="R12" s="182">
        <v>46357</v>
      </c>
      <c r="S12" s="37">
        <f>COUNTIFS('Lead Tracker'!B:B,"&gt;="&amp;DATE(2026,12,1),'Lead Tracker'!B:B,"&lt;="&amp;DATE(2026,12,31))</f>
        <v>0</v>
      </c>
      <c r="T12" s="181">
        <f>SUMIFS('Lead Tracker'!P:P,'Lead Tracker'!B:B,"&gt;="&amp;DATE(2026,12,1),'Lead Tracker'!B:B,"&lt;="&amp;DATE(2026,12,31))</f>
        <v>0</v>
      </c>
    </row>
    <row r="13" spans="3:20">
      <c r="C13" t="s">
        <v>169</v>
      </c>
      <c r="D13">
        <f>COUNTIF('Lead Tracker'!E:E,"Telangana")</f>
        <v>2</v>
      </c>
      <c r="G13" s="53" t="s">
        <v>84</v>
      </c>
      <c r="H13" s="50">
        <f>COUNTIF('Lead Tracker'!J:J, G13)</f>
        <v>5</v>
      </c>
      <c r="K13" s="6" t="s">
        <v>595</v>
      </c>
      <c r="L13" s="6">
        <f ca="1">COUNTIFS('Lead Tracker'!B:B, "&gt;="&amp;EOMONTH(TODAY(),-1)+1, 'Lead Tracker'!B:B, "&lt;="&amp;EOMONTH(TODAY(),0))</f>
        <v>125</v>
      </c>
      <c r="R13" s="182">
        <v>46388</v>
      </c>
      <c r="S13" s="37"/>
      <c r="T13" s="181"/>
    </row>
    <row r="14" spans="3:20" ht="17.25" customHeight="1">
      <c r="C14" t="s">
        <v>596</v>
      </c>
      <c r="D14">
        <f>COUNTIF('Lead Tracker'!E:E,"Kerala")</f>
        <v>0</v>
      </c>
      <c r="G14" s="51" t="s">
        <v>54</v>
      </c>
      <c r="H14" s="52">
        <f>COUNTIF('Lead Tracker'!J:J, G14)</f>
        <v>10</v>
      </c>
      <c r="K14" s="5" t="s">
        <v>597</v>
      </c>
      <c r="L14" s="22">
        <f>SUM(T4:T16)</f>
        <v>450000</v>
      </c>
      <c r="R14" s="182">
        <v>46419</v>
      </c>
      <c r="S14" s="37"/>
      <c r="T14" s="181"/>
    </row>
    <row r="15" spans="3:20">
      <c r="C15" t="s">
        <v>382</v>
      </c>
      <c r="D15">
        <f>COUNTIF('Lead Tracker'!E:E,"Madhya Pradesh")</f>
        <v>1</v>
      </c>
      <c r="G15" s="53" t="s">
        <v>41</v>
      </c>
      <c r="H15" s="52">
        <f>COUNTIF('Lead Tracker'!J:J, G15)</f>
        <v>14</v>
      </c>
      <c r="K15" s="6" t="s">
        <v>564</v>
      </c>
      <c r="L15" s="23">
        <f>SUMIFS('Lead Tracker'!P:P, 'Lead Tracker'!Q:Q, "PO Received")</f>
        <v>0</v>
      </c>
      <c r="R15" s="182">
        <v>46447</v>
      </c>
      <c r="S15" s="37"/>
      <c r="T15" s="181"/>
    </row>
    <row r="16" spans="3:20">
      <c r="C16" t="s">
        <v>21</v>
      </c>
      <c r="D16">
        <f>COUNTIF('Lead Tracker'!E:E,"Maharashtra")</f>
        <v>78</v>
      </c>
      <c r="G16" s="51" t="s">
        <v>213</v>
      </c>
      <c r="H16" s="52">
        <f>COUNTIF('Lead Tracker'!J:J, G16)</f>
        <v>1</v>
      </c>
      <c r="K16" s="5" t="s">
        <v>565</v>
      </c>
      <c r="L16" s="5">
        <f>SUBTOTAL(109,S4:S12)</f>
        <v>125</v>
      </c>
      <c r="R16" s="182">
        <v>46478</v>
      </c>
      <c r="S16" s="57"/>
      <c r="T16" s="58"/>
    </row>
    <row r="17" spans="3:20">
      <c r="C17" t="s">
        <v>598</v>
      </c>
      <c r="D17">
        <f>COUNTIF('Lead Tracker'!E:E,"Manipur")</f>
        <v>0</v>
      </c>
      <c r="G17" s="53" t="s">
        <v>25</v>
      </c>
      <c r="H17" s="52">
        <f>COUNTIF('Lead Tracker'!J:J, G17)</f>
        <v>42</v>
      </c>
      <c r="K17" s="6" t="s">
        <v>599</v>
      </c>
      <c r="L17" s="6">
        <f ca="1">COUNTIF('Lead Tracker'!B:B, TODAY()-2)</f>
        <v>0</v>
      </c>
      <c r="R17" s="267"/>
      <c r="S17" s="57">
        <f t="shared" ref="S17:T17" si="1">SUBTOTAL(109,S4:S16)</f>
        <v>125</v>
      </c>
      <c r="T17" s="58">
        <f t="shared" si="1"/>
        <v>450000</v>
      </c>
    </row>
    <row r="18" spans="3:20" ht="18.75" customHeight="1">
      <c r="C18" t="s">
        <v>600</v>
      </c>
      <c r="D18">
        <f>COUNTIF('Lead Tracker'!E:E,"Meghalaya")</f>
        <v>0</v>
      </c>
      <c r="G18" s="53" t="s">
        <v>91</v>
      </c>
      <c r="H18" s="52">
        <f>COUNTIF('Lead Tracker'!J:J, G18)</f>
        <v>14</v>
      </c>
    </row>
    <row r="19" spans="3:20" ht="15.6">
      <c r="C19" t="s">
        <v>195</v>
      </c>
      <c r="D19">
        <f>COUNTIF('Lead Tracker'!E:E,"Karnatka")</f>
        <v>3</v>
      </c>
      <c r="G19" s="51" t="s">
        <v>101</v>
      </c>
      <c r="H19" s="52">
        <f>COUNTIF('Lead Tracker'!J:J, G19)</f>
        <v>16</v>
      </c>
      <c r="K19" s="329" t="s">
        <v>601</v>
      </c>
      <c r="L19" s="329"/>
    </row>
    <row r="20" spans="3:20">
      <c r="C20" t="s">
        <v>602</v>
      </c>
      <c r="D20">
        <f>COUNTIF('Lead Tracker'!E:E,"Mizoram")</f>
        <v>0</v>
      </c>
      <c r="G20" s="40" t="s">
        <v>345</v>
      </c>
      <c r="H20" s="52">
        <f>COUNTIF('Lead Tracker'!J:J, G20)</f>
        <v>2</v>
      </c>
      <c r="K20" t="s">
        <v>603</v>
      </c>
      <c r="L20" t="s">
        <v>576</v>
      </c>
    </row>
    <row r="21" spans="3:20">
      <c r="C21" t="s">
        <v>604</v>
      </c>
      <c r="D21">
        <f>COUNTIF('Lead Tracker'!E:E,"Nagaland")</f>
        <v>0</v>
      </c>
      <c r="G21" s="242" t="s">
        <v>463</v>
      </c>
      <c r="H21" s="52">
        <f>COUNTIF('Lead Tracker'!J:J, G21)</f>
        <v>2</v>
      </c>
      <c r="K21" s="17" t="s">
        <v>605</v>
      </c>
      <c r="L21">
        <f>COUNTIF('Lead Tracker'!F:F, K21)</f>
        <v>0</v>
      </c>
    </row>
    <row r="22" spans="3:20">
      <c r="C22" t="s">
        <v>606</v>
      </c>
      <c r="D22">
        <f>COUNTIF('Lead Tracker'!E:E,"Odisha")</f>
        <v>0</v>
      </c>
      <c r="G22" s="54"/>
      <c r="H22" s="43"/>
      <c r="K22" s="17" t="s">
        <v>259</v>
      </c>
      <c r="L22">
        <f>COUNTIF('Lead Tracker'!F:F, K22)</f>
        <v>3</v>
      </c>
    </row>
    <row r="23" spans="3:20">
      <c r="C23" t="s">
        <v>269</v>
      </c>
      <c r="D23">
        <f>COUNTIF('Lead Tracker'!E:E,"Punjab")</f>
        <v>4</v>
      </c>
      <c r="K23" s="17" t="s">
        <v>607</v>
      </c>
      <c r="L23">
        <f>COUNTIF('Lead Tracker'!F:F, K23)</f>
        <v>0</v>
      </c>
    </row>
    <row r="24" spans="3:20">
      <c r="C24" t="s">
        <v>157</v>
      </c>
      <c r="D24">
        <f>COUNTIF('Lead Tracker'!E:E,"Rajasthan")</f>
        <v>2</v>
      </c>
      <c r="G24" s="331" t="s">
        <v>608</v>
      </c>
      <c r="H24" s="332"/>
      <c r="K24" s="17" t="s">
        <v>47</v>
      </c>
      <c r="L24">
        <f>COUNTIF('Lead Tracker'!F:F, K24)</f>
        <v>30</v>
      </c>
    </row>
    <row r="25" spans="3:20">
      <c r="C25" t="s">
        <v>609</v>
      </c>
      <c r="D25">
        <f>COUNTIF('Lead Tracker'!E:E,"Sikkim")</f>
        <v>0</v>
      </c>
      <c r="G25" s="38" t="s">
        <v>610</v>
      </c>
      <c r="H25" s="39" t="s">
        <v>576</v>
      </c>
      <c r="K25" s="17" t="s">
        <v>32</v>
      </c>
      <c r="L25">
        <f>COUNTIF('Lead Tracker'!F:F, K25)</f>
        <v>23</v>
      </c>
    </row>
    <row r="26" spans="3:20">
      <c r="C26" t="s">
        <v>63</v>
      </c>
      <c r="D26">
        <f>COUNTIF('Lead Tracker'!E:E,"Tamil Nadu")</f>
        <v>5</v>
      </c>
      <c r="G26" s="40" t="s">
        <v>69</v>
      </c>
      <c r="H26" s="41">
        <f>COUNTIF('Lead Tracker'!Q:Q, G26)</f>
        <v>12</v>
      </c>
      <c r="K26" s="17" t="s">
        <v>38</v>
      </c>
      <c r="L26">
        <f>COUNTIF('Lead Tracker'!F:F, K26)</f>
        <v>43</v>
      </c>
      <c r="M26" s="16"/>
      <c r="N26" s="16"/>
      <c r="O26" s="16"/>
    </row>
    <row r="27" spans="3:20">
      <c r="C27" t="s">
        <v>611</v>
      </c>
      <c r="D27">
        <f>COUNTIF('Lead Tracker'!E:E,"Tripura")</f>
        <v>0</v>
      </c>
      <c r="G27" s="40" t="s">
        <v>612</v>
      </c>
      <c r="H27" s="41">
        <f>COUNTIF('Lead Tracker'!Q:Q, G27)</f>
        <v>0</v>
      </c>
      <c r="K27" s="17" t="s">
        <v>128</v>
      </c>
      <c r="L27">
        <f>COUNTIF('Lead Tracker'!F:F, K27)</f>
        <v>7</v>
      </c>
      <c r="M27" s="17"/>
      <c r="N27" s="17"/>
      <c r="O27" s="17"/>
    </row>
    <row r="28" spans="3:20">
      <c r="C28" t="s">
        <v>142</v>
      </c>
      <c r="D28">
        <f>COUNTIF('Lead Tracker'!E:E,"Uttar Pradesh")</f>
        <v>12</v>
      </c>
      <c r="G28" s="40" t="s">
        <v>613</v>
      </c>
      <c r="H28" s="41">
        <f>COUNTIF('Lead Tracker'!Q:Q, G28)</f>
        <v>0</v>
      </c>
      <c r="K28" s="17" t="s">
        <v>64</v>
      </c>
      <c r="L28">
        <f>COUNTIF('Lead Tracker'!F:F, K28)</f>
        <v>5</v>
      </c>
      <c r="M28" s="17"/>
      <c r="N28" s="17"/>
      <c r="O28" s="17"/>
      <c r="P28" s="15"/>
    </row>
    <row r="29" spans="3:20">
      <c r="C29" t="s">
        <v>614</v>
      </c>
      <c r="D29">
        <f>COUNTIF('Lead Tracker'!E:E,"Uttarakhand")</f>
        <v>0</v>
      </c>
      <c r="G29" s="40" t="s">
        <v>615</v>
      </c>
      <c r="H29" s="41">
        <f>COUNTIF('Lead Tracker'!Q:Q, G29)</f>
        <v>0</v>
      </c>
      <c r="K29" s="17" t="s">
        <v>616</v>
      </c>
      <c r="L29">
        <f>COUNTIF('Lead Tracker'!F:F, K29)</f>
        <v>0</v>
      </c>
      <c r="M29" s="17"/>
      <c r="N29" s="17"/>
      <c r="O29" s="17"/>
    </row>
    <row r="30" spans="3:20">
      <c r="C30" t="s">
        <v>617</v>
      </c>
      <c r="D30">
        <f>COUNTIF('Lead Tracker'!E:E,"West Bengal")</f>
        <v>0</v>
      </c>
      <c r="G30" s="40" t="s">
        <v>248</v>
      </c>
      <c r="H30" s="41">
        <f>COUNTIF('Lead Tracker'!Q:Q, G30)</f>
        <v>2</v>
      </c>
      <c r="K30" s="17" t="s">
        <v>22</v>
      </c>
      <c r="L30">
        <f>COUNTIF('Lead Tracker'!F:F, K30)</f>
        <v>12</v>
      </c>
      <c r="M30" s="17"/>
      <c r="N30" s="17"/>
      <c r="O30" s="17"/>
    </row>
    <row r="31" spans="3:20">
      <c r="C31" t="s">
        <v>22</v>
      </c>
      <c r="D31">
        <f>COUNTIF('Lead Tracker'!E:E,"Others")</f>
        <v>0</v>
      </c>
      <c r="G31" s="40" t="s">
        <v>618</v>
      </c>
      <c r="H31" s="41">
        <f>COUNTIF('Lead Tracker'!Q:Q, G31)</f>
        <v>0</v>
      </c>
      <c r="K31" s="17" t="s">
        <v>619</v>
      </c>
      <c r="L31">
        <f>COUNTIF('Lead Tracker'!F:F, K31)</f>
        <v>0</v>
      </c>
      <c r="M31" s="17"/>
      <c r="N31" s="17"/>
      <c r="O31" s="17"/>
    </row>
    <row r="32" spans="3:20">
      <c r="C32" t="s">
        <v>620</v>
      </c>
      <c r="D32">
        <f>COUNTIF('Lead Tracker'!E:E,"International")</f>
        <v>0</v>
      </c>
      <c r="G32" s="40" t="s">
        <v>621</v>
      </c>
      <c r="H32" s="41">
        <f>COUNTIF('Lead Tracker'!Q:Q, G32)</f>
        <v>0</v>
      </c>
      <c r="K32" s="17" t="s">
        <v>81</v>
      </c>
      <c r="L32">
        <f>COUNTIF('Lead Tracker'!F:F, K32)</f>
        <v>1</v>
      </c>
      <c r="M32" s="17"/>
      <c r="N32" s="17"/>
      <c r="O32" s="17"/>
    </row>
    <row r="33" spans="3:15">
      <c r="C33" t="s">
        <v>622</v>
      </c>
      <c r="D33">
        <f>SUBTOTAL(109,Table4[No])</f>
        <v>116</v>
      </c>
      <c r="G33" s="42" t="s">
        <v>623</v>
      </c>
      <c r="H33" s="43">
        <f>COUNTIF('Lead Tracker'!Q:Q, G33)</f>
        <v>0</v>
      </c>
      <c r="K33" s="17"/>
      <c r="M33" s="17"/>
      <c r="N33" s="17"/>
      <c r="O33" s="17"/>
    </row>
    <row r="34" spans="3:15">
      <c r="K34" s="17"/>
      <c r="M34" s="17"/>
      <c r="N34" s="17"/>
      <c r="O34" s="17"/>
    </row>
    <row r="35" spans="3:15">
      <c r="G35" s="187">
        <f ca="1">TODAY()</f>
        <v>46132</v>
      </c>
      <c r="H35" s="188"/>
      <c r="K35" s="187">
        <f ca="1">G35</f>
        <v>46132</v>
      </c>
      <c r="L35" s="188"/>
      <c r="M35" s="17"/>
      <c r="N35" s="17"/>
      <c r="O35" s="17"/>
    </row>
    <row r="36" spans="3:15">
      <c r="G36" s="189" t="s">
        <v>589</v>
      </c>
      <c r="H36" s="190" t="s">
        <v>576</v>
      </c>
      <c r="K36" s="200" t="s">
        <v>570</v>
      </c>
      <c r="L36" s="201"/>
      <c r="M36" s="17"/>
      <c r="N36" s="17"/>
      <c r="O36" s="17"/>
    </row>
    <row r="37" spans="3:15">
      <c r="G37" s="191" t="s">
        <v>145</v>
      </c>
      <c r="H37" s="192">
        <f ca="1">COUNTIFS('Lead Tracker'!J:J, G37, 'Lead Tracker'!B:B, $G$35)</f>
        <v>0</v>
      </c>
      <c r="K37" s="202" t="s">
        <v>27</v>
      </c>
      <c r="L37" s="203">
        <f ca="1">COUNTIFS('Lead Tracker'!L:L, G3, 'Lead Tracker'!B:B, $G$35)</f>
        <v>0</v>
      </c>
      <c r="M37" s="17"/>
      <c r="N37" s="17"/>
      <c r="O37" s="17"/>
    </row>
    <row r="38" spans="3:15">
      <c r="G38" s="193" t="s">
        <v>245</v>
      </c>
      <c r="H38" s="192">
        <f ca="1">COUNTIFS('Lead Tracker'!J:J, G38, 'Lead Tracker'!B:B, $G$35)</f>
        <v>0</v>
      </c>
      <c r="K38" s="198" t="s">
        <v>36</v>
      </c>
      <c r="L38" s="203">
        <f ca="1">COUNTIFS('Lead Tracker'!L:L, G4, 'Lead Tracker'!B:B, $G$35)</f>
        <v>0</v>
      </c>
      <c r="M38" s="17"/>
      <c r="N38" s="17"/>
      <c r="O38" s="17"/>
    </row>
    <row r="39" spans="3:15">
      <c r="G39" s="194" t="s">
        <v>84</v>
      </c>
      <c r="H39" s="192">
        <f ca="1">COUNTIFS('Lead Tracker'!J:J, G39, 'Lead Tracker'!B:B, $G$35)</f>
        <v>0</v>
      </c>
      <c r="K39" s="198" t="s">
        <v>231</v>
      </c>
      <c r="L39" s="203">
        <f ca="1">COUNTIFS('Lead Tracker'!L:L, G5, 'Lead Tracker'!B:B, $G$35)</f>
        <v>0</v>
      </c>
      <c r="M39" s="17"/>
      <c r="N39" s="17"/>
      <c r="O39" s="17"/>
    </row>
    <row r="40" spans="3:15">
      <c r="G40" s="193" t="s">
        <v>54</v>
      </c>
      <c r="H40" s="192">
        <f ca="1">COUNTIFS('Lead Tracker'!J:J, G40, 'Lead Tracker'!B:B, $G$35)</f>
        <v>0</v>
      </c>
      <c r="K40" s="198" t="s">
        <v>43</v>
      </c>
      <c r="L40" s="203">
        <f ca="1">COUNTIFS('Lead Tracker'!L:L, G6, 'Lead Tracker'!B:B, $G$35)</f>
        <v>0</v>
      </c>
    </row>
    <row r="41" spans="3:15">
      <c r="G41" s="194" t="s">
        <v>41</v>
      </c>
      <c r="H41" s="192">
        <f ca="1">COUNTIFS('Lead Tracker'!J:J, G41, 'Lead Tracker'!B:B, $G$35)</f>
        <v>0</v>
      </c>
      <c r="K41" s="198" t="s">
        <v>501</v>
      </c>
      <c r="L41" s="203">
        <f ca="1">COUNTIFS('Lead Tracker'!L:L, G7, 'Lead Tracker'!B:B, $G$35)</f>
        <v>0</v>
      </c>
    </row>
    <row r="42" spans="3:15" ht="15" thickBot="1">
      <c r="G42" s="193" t="s">
        <v>213</v>
      </c>
      <c r="H42" s="192">
        <f ca="1">COUNTIFS('Lead Tracker'!J:J, G42, 'Lead Tracker'!B:B, $G$35)</f>
        <v>0</v>
      </c>
      <c r="K42" s="199" t="s">
        <v>86</v>
      </c>
      <c r="L42" s="203">
        <f ca="1">COUNTIFS('Lead Tracker'!L:L, G8, 'Lead Tracker'!B:B, $G$35)</f>
        <v>0</v>
      </c>
    </row>
    <row r="43" spans="3:15">
      <c r="G43" s="194" t="s">
        <v>25</v>
      </c>
      <c r="H43" s="192">
        <f ca="1">COUNTIFS('Lead Tracker'!J:J, G43, 'Lead Tracker'!B:B, $G$35)</f>
        <v>0</v>
      </c>
    </row>
    <row r="44" spans="3:15">
      <c r="G44" s="194" t="s">
        <v>91</v>
      </c>
      <c r="H44" s="192">
        <f ca="1">COUNTIFS('Lead Tracker'!J:J, G44, 'Lead Tracker'!B:B, $G$35)</f>
        <v>0</v>
      </c>
      <c r="K44" s="18"/>
    </row>
    <row r="45" spans="3:15">
      <c r="G45" s="193" t="s">
        <v>101</v>
      </c>
      <c r="H45" s="192">
        <f ca="1">COUNTIFS('Lead Tracker'!J:J, G45, 'Lead Tracker'!B:B, $G$35)</f>
        <v>0</v>
      </c>
      <c r="K45" s="19"/>
    </row>
    <row r="46" spans="3:15">
      <c r="G46" s="195" t="s">
        <v>345</v>
      </c>
      <c r="H46" s="192">
        <f ca="1">COUNTIFS('Lead Tracker'!J:J, G46, 'Lead Tracker'!B:B, $G$35)</f>
        <v>0</v>
      </c>
      <c r="K46" s="19"/>
    </row>
    <row r="47" spans="3:15" ht="22.5" customHeight="1">
      <c r="G47" s="196" t="s">
        <v>624</v>
      </c>
      <c r="H47" s="197">
        <f ca="1">SUM(H37:H46)</f>
        <v>0</v>
      </c>
      <c r="K47" s="19"/>
    </row>
  </sheetData>
  <mergeCells count="5">
    <mergeCell ref="R2:T2"/>
    <mergeCell ref="N2:P2"/>
    <mergeCell ref="K19:L19"/>
    <mergeCell ref="K9:L9"/>
    <mergeCell ref="G24:H24"/>
  </mergeCells>
  <phoneticPr fontId="43" type="noConversion"/>
  <dataValidations count="1">
    <dataValidation type="list" allowBlank="1" showInputMessage="1" showErrorMessage="1" sqref="G3:G7 K37:K41" xr:uid="{00000000-0002-0000-0300-000000000000}">
      <formula1>"INDIAMART, TRADE INDIA,REFRENCE,OUT SOURCE,MAIL,VERBAL, EXISTING CUS."</formula1>
    </dataValidation>
  </dataValidations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8C3D-4A7D-4E40-8070-18C136E2FB03}">
  <dimension ref="B2:R43"/>
  <sheetViews>
    <sheetView workbookViewId="0">
      <pane ySplit="3" topLeftCell="A15" activePane="bottomLeft" state="frozen"/>
      <selection pane="bottomLeft" activeCell="M32" sqref="M32"/>
    </sheetView>
  </sheetViews>
  <sheetFormatPr defaultRowHeight="14.4"/>
  <cols>
    <col min="4" max="4" width="13.44140625" customWidth="1"/>
    <col min="5" max="5" width="16.5546875" customWidth="1"/>
    <col min="6" max="6" width="7" customWidth="1"/>
    <col min="7" max="7" width="6.44140625" customWidth="1"/>
    <col min="8" max="8" width="6.88671875" customWidth="1"/>
    <col min="9" max="9" width="12.44140625" customWidth="1"/>
    <col min="10" max="10" width="16.109375" customWidth="1"/>
    <col min="11" max="11" width="15.88671875" customWidth="1"/>
    <col min="12" max="12" width="17" customWidth="1"/>
    <col min="13" max="13" width="14.44140625" customWidth="1"/>
    <col min="14" max="14" width="7.109375" customWidth="1"/>
    <col min="15" max="15" width="11" customWidth="1"/>
    <col min="16" max="16" width="23.109375" customWidth="1"/>
  </cols>
  <sheetData>
    <row r="2" spans="2:18" ht="15.6">
      <c r="D2" s="342" t="s">
        <v>625</v>
      </c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4"/>
    </row>
    <row r="3" spans="2:18">
      <c r="B3" s="266"/>
      <c r="D3" s="340" t="s">
        <v>626</v>
      </c>
      <c r="E3" s="341"/>
      <c r="F3" s="301" t="s">
        <v>145</v>
      </c>
      <c r="G3" s="302" t="s">
        <v>245</v>
      </c>
      <c r="H3" s="302" t="s">
        <v>84</v>
      </c>
      <c r="I3" s="302" t="s">
        <v>54</v>
      </c>
      <c r="J3" s="302" t="s">
        <v>41</v>
      </c>
      <c r="K3" s="302" t="s">
        <v>213</v>
      </c>
      <c r="L3" s="302" t="s">
        <v>25</v>
      </c>
      <c r="M3" s="302" t="s">
        <v>91</v>
      </c>
      <c r="N3" s="302" t="s">
        <v>101</v>
      </c>
      <c r="O3" s="301" t="s">
        <v>345</v>
      </c>
      <c r="P3" s="303" t="s">
        <v>463</v>
      </c>
    </row>
    <row r="4" spans="2:18">
      <c r="D4" s="74" t="s">
        <v>627</v>
      </c>
      <c r="E4" s="282">
        <f>Table5[[#Totals],[NOS]]</f>
        <v>125</v>
      </c>
      <c r="F4" s="284">
        <f>COUNTIF('Lead Tracker'!$J:$J,F3)</f>
        <v>17</v>
      </c>
      <c r="G4" s="284">
        <f>COUNTIF('Lead Tracker'!$J:$J,G3)</f>
        <v>2</v>
      </c>
      <c r="H4" s="284">
        <f>COUNTIF('Lead Tracker'!$J:$J,H3)</f>
        <v>5</v>
      </c>
      <c r="I4" s="284">
        <f>COUNTIF('Lead Tracker'!$J:$J,I3)</f>
        <v>10</v>
      </c>
      <c r="J4" s="284">
        <f>COUNTIF('Lead Tracker'!$J:$J,J3)</f>
        <v>14</v>
      </c>
      <c r="K4" s="284">
        <f>COUNTIF('Lead Tracker'!$J:$J,K3)</f>
        <v>1</v>
      </c>
      <c r="L4" s="284">
        <f>COUNTIF('Lead Tracker'!$J:$J,L3)</f>
        <v>42</v>
      </c>
      <c r="M4" s="284">
        <f>COUNTIF('Lead Tracker'!$J:$J,M3)</f>
        <v>14</v>
      </c>
      <c r="N4" s="284">
        <f>COUNTIF('Lead Tracker'!$J:$J,N3)</f>
        <v>16</v>
      </c>
      <c r="O4" s="284">
        <f>COUNTIF('Lead Tracker'!$J:$J,O3)</f>
        <v>2</v>
      </c>
      <c r="P4" s="304">
        <f>COUNTIF('Lead Tracker'!$J:$J,P3)</f>
        <v>2</v>
      </c>
    </row>
    <row r="5" spans="2:18">
      <c r="D5" s="273" t="s">
        <v>27</v>
      </c>
      <c r="E5" s="283">
        <f>COUNTIF('Lead Tracker'!L:L, D5)</f>
        <v>5</v>
      </c>
      <c r="F5" s="285">
        <f>COUNTIFS('Lead Tracker'!$L:$L,D5,'Lead Tracker'!$J:$J,$F$3)</f>
        <v>0</v>
      </c>
      <c r="G5" s="285">
        <f>COUNTIFS('Lead Tracker'!$L:$L,D5,'Lead Tracker'!$J:$J,$G$3)</f>
        <v>0</v>
      </c>
      <c r="H5" s="285">
        <f>COUNTIFS('Lead Tracker'!$L:$L,D5,'Lead Tracker'!$J:$J,$H$3)</f>
        <v>0</v>
      </c>
      <c r="I5" s="285">
        <f>COUNTIFS('Lead Tracker'!$L:$L,D5,'Lead Tracker'!$J:$J,$I$3)</f>
        <v>0</v>
      </c>
      <c r="J5" s="285">
        <f>COUNTIFS('Lead Tracker'!$L:$L,D5,'Lead Tracker'!$J:$J,$J$3)</f>
        <v>0</v>
      </c>
      <c r="K5" s="285">
        <f>COUNTIFS('Lead Tracker'!$L:$L,D5,'Lead Tracker'!$J:$J,$K$3)</f>
        <v>0</v>
      </c>
      <c r="L5" s="285">
        <f>COUNTIFS('Lead Tracker'!$L:$L,D5,'Lead Tracker'!$J:$J,$L$3)</f>
        <v>5</v>
      </c>
      <c r="M5" s="285">
        <f>COUNTIFS('Lead Tracker'!$L:$L,D5,'Lead Tracker'!$J:$J,$M$3)</f>
        <v>0</v>
      </c>
      <c r="N5" s="285">
        <f>COUNTIFS('Lead Tracker'!$L:$L,D5,'Lead Tracker'!$J:$J,$N$3)</f>
        <v>0</v>
      </c>
      <c r="O5" s="285">
        <f>COUNTIFS('Lead Tracker'!$L:$L,D5,'Lead Tracker'!$J:$J,$O$3)</f>
        <v>0</v>
      </c>
      <c r="P5" s="287">
        <f>COUNTIFS('Lead Tracker'!$L:$L,D5,'Lead Tracker'!$J:$J,$P$3)</f>
        <v>0</v>
      </c>
    </row>
    <row r="6" spans="2:18">
      <c r="D6" s="274" t="s">
        <v>36</v>
      </c>
      <c r="E6" s="283">
        <f>COUNTIF('Lead Tracker'!L:L, D6)</f>
        <v>9</v>
      </c>
      <c r="F6" s="285">
        <f>COUNTIFS('Lead Tracker'!$L:$L,D6,'Lead Tracker'!$J:$J,$F$3)</f>
        <v>0</v>
      </c>
      <c r="G6" s="285">
        <f>COUNTIFS('Lead Tracker'!$L:$L,D6,'Lead Tracker'!$J:$J,$G$3)</f>
        <v>1</v>
      </c>
      <c r="H6" s="285">
        <f>COUNTIFS('Lead Tracker'!$L:$L,D6,'Lead Tracker'!$J:$J,$H$3)</f>
        <v>0</v>
      </c>
      <c r="I6" s="285">
        <f>COUNTIFS('Lead Tracker'!$L:$L,D6,'Lead Tracker'!$J:$J,$I$3)</f>
        <v>0</v>
      </c>
      <c r="J6" s="285">
        <f>COUNTIFS('Lead Tracker'!$L:$L,D6,'Lead Tracker'!$J:$J,$J$3)</f>
        <v>0</v>
      </c>
      <c r="K6" s="285">
        <f>COUNTIFS('Lead Tracker'!$L:$L,D6,'Lead Tracker'!$J:$J,$K$3)</f>
        <v>0</v>
      </c>
      <c r="L6" s="285">
        <f>COUNTIFS('Lead Tracker'!$L:$L,D6,'Lead Tracker'!$J:$J,$L$3)</f>
        <v>8</v>
      </c>
      <c r="M6" s="285">
        <f>COUNTIFS('Lead Tracker'!$L:$L,D6,'Lead Tracker'!$J:$J,$M$3)</f>
        <v>0</v>
      </c>
      <c r="N6" s="285">
        <f>COUNTIFS('Lead Tracker'!$L:$L,D6,'Lead Tracker'!$J:$J,$N$3)</f>
        <v>0</v>
      </c>
      <c r="O6" s="285">
        <f>COUNTIFS('Lead Tracker'!$L:$L,D6,'Lead Tracker'!$J:$J,$O$3)</f>
        <v>0</v>
      </c>
      <c r="P6" s="287">
        <f>COUNTIFS('Lead Tracker'!$L:$L,D6,'Lead Tracker'!$J:$J,$P$3)</f>
        <v>0</v>
      </c>
    </row>
    <row r="7" spans="2:18">
      <c r="D7" s="273" t="s">
        <v>231</v>
      </c>
      <c r="E7" s="283">
        <f>COUNTIF('Lead Tracker'!L:L, D7)</f>
        <v>22</v>
      </c>
      <c r="F7" s="285">
        <f>COUNTIFS('Lead Tracker'!$L:$L,D7,'Lead Tracker'!$J:$J,$F$3)</f>
        <v>2</v>
      </c>
      <c r="G7" s="285">
        <f>COUNTIFS('Lead Tracker'!$L:$L,D7,'Lead Tracker'!$J:$J,$G$3)</f>
        <v>1</v>
      </c>
      <c r="H7" s="285">
        <f>COUNTIFS('Lead Tracker'!$L:$L,D7,'Lead Tracker'!$J:$J,$H$3)</f>
        <v>0</v>
      </c>
      <c r="I7" s="285">
        <f>COUNTIFS('Lead Tracker'!$L:$L,D7,'Lead Tracker'!$J:$J,$I$3)</f>
        <v>1</v>
      </c>
      <c r="J7" s="285">
        <f>COUNTIFS('Lead Tracker'!$L:$L,D7,'Lead Tracker'!$J:$J,$J$3)</f>
        <v>0</v>
      </c>
      <c r="K7" s="285">
        <f>COUNTIFS('Lead Tracker'!$L:$L,D7,'Lead Tracker'!$J:$J,$K$3)</f>
        <v>0</v>
      </c>
      <c r="L7" s="285">
        <f>COUNTIFS('Lead Tracker'!$L:$L,D7,'Lead Tracker'!$J:$J,$L$3)</f>
        <v>16</v>
      </c>
      <c r="M7" s="285">
        <f>COUNTIFS('Lead Tracker'!$L:$L,D7,'Lead Tracker'!$J:$J,$M$3)</f>
        <v>0</v>
      </c>
      <c r="N7" s="285">
        <f>COUNTIFS('Lead Tracker'!$L:$L,D7,'Lead Tracker'!$J:$J,$N$3)</f>
        <v>0</v>
      </c>
      <c r="O7" s="285">
        <f>COUNTIFS('Lead Tracker'!$L:$L,D7,'Lead Tracker'!$J:$J,$O$3)</f>
        <v>0</v>
      </c>
      <c r="P7" s="287">
        <f>COUNTIFS('Lead Tracker'!$L:$L,D7,'Lead Tracker'!$J:$J,$P$3)</f>
        <v>2</v>
      </c>
    </row>
    <row r="8" spans="2:18">
      <c r="D8" s="274" t="s">
        <v>43</v>
      </c>
      <c r="E8" s="283">
        <f>COUNTIF('Lead Tracker'!L:L, D8)</f>
        <v>58</v>
      </c>
      <c r="F8" s="285">
        <f>COUNTIFS('Lead Tracker'!$L:$L,D8,'Lead Tracker'!$J:$J,$F$3)</f>
        <v>9</v>
      </c>
      <c r="G8" s="285">
        <f>COUNTIFS('Lead Tracker'!$L:$L,D8,'Lead Tracker'!$J:$J,$G$3)</f>
        <v>0</v>
      </c>
      <c r="H8" s="285">
        <f>COUNTIFS('Lead Tracker'!$L:$L,D8,'Lead Tracker'!$J:$J,$H$3)</f>
        <v>3</v>
      </c>
      <c r="I8" s="285">
        <f>COUNTIFS('Lead Tracker'!$L:$L,D8,'Lead Tracker'!$J:$J,$I$3)</f>
        <v>7</v>
      </c>
      <c r="J8" s="285">
        <f>COUNTIFS('Lead Tracker'!$L:$L,D8,'Lead Tracker'!$J:$J,$J$3)</f>
        <v>10</v>
      </c>
      <c r="K8" s="285">
        <f>COUNTIFS('Lead Tracker'!$L:$L,D8,'Lead Tracker'!$J:$J,$K$3)</f>
        <v>1</v>
      </c>
      <c r="L8" s="285">
        <f>COUNTIFS('Lead Tracker'!$L:$L,D8,'Lead Tracker'!$J:$J,$L$3)</f>
        <v>10</v>
      </c>
      <c r="M8" s="285">
        <f>COUNTIFS('Lead Tracker'!$L:$L,D8,'Lead Tracker'!$J:$J,$M$3)</f>
        <v>9</v>
      </c>
      <c r="N8" s="285">
        <f>COUNTIFS('Lead Tracker'!$L:$L,D8,'Lead Tracker'!$J:$J,$N$3)</f>
        <v>9</v>
      </c>
      <c r="O8" s="285">
        <f>COUNTIFS('Lead Tracker'!$L:$L,D8,'Lead Tracker'!$J:$J,$O$3)</f>
        <v>0</v>
      </c>
      <c r="P8" s="287">
        <f>COUNTIFS('Lead Tracker'!$L:$L,D8,'Lead Tracker'!$J:$J,$P$3)</f>
        <v>0</v>
      </c>
    </row>
    <row r="9" spans="2:18">
      <c r="D9" s="273" t="s">
        <v>501</v>
      </c>
      <c r="E9" s="283">
        <f>COUNTIF('Lead Tracker'!L:L, D9)</f>
        <v>2</v>
      </c>
      <c r="F9" s="285">
        <f>COUNTIFS('Lead Tracker'!$L:$L,D9,'Lead Tracker'!$J:$J,$F$3)</f>
        <v>0</v>
      </c>
      <c r="G9" s="285">
        <f>COUNTIFS('Lead Tracker'!$L:$L,D9,'Lead Tracker'!$J:$J,$G$3)</f>
        <v>0</v>
      </c>
      <c r="H9" s="285">
        <f>COUNTIFS('Lead Tracker'!$L:$L,D9,'Lead Tracker'!$J:$J,$H$3)</f>
        <v>0</v>
      </c>
      <c r="I9" s="285">
        <f>COUNTIFS('Lead Tracker'!$L:$L,D9,'Lead Tracker'!$J:$J,$I$3)</f>
        <v>1</v>
      </c>
      <c r="J9" s="285">
        <f>COUNTIFS('Lead Tracker'!$L:$L,D9,'Lead Tracker'!$J:$J,$J$3)</f>
        <v>0</v>
      </c>
      <c r="K9" s="285">
        <f>COUNTIFS('Lead Tracker'!$L:$L,D9,'Lead Tracker'!$J:$J,$K$3)</f>
        <v>0</v>
      </c>
      <c r="L9" s="285">
        <f>COUNTIFS('Lead Tracker'!$L:$L,D9,'Lead Tracker'!$J:$J,$L$3)</f>
        <v>1</v>
      </c>
      <c r="M9" s="285">
        <f>COUNTIFS('Lead Tracker'!$L:$L,D9,'Lead Tracker'!$J:$J,$M$3)</f>
        <v>0</v>
      </c>
      <c r="N9" s="285">
        <f>COUNTIFS('Lead Tracker'!$L:$L,D9,'Lead Tracker'!$J:$J,$N$3)</f>
        <v>0</v>
      </c>
      <c r="O9" s="285">
        <f>COUNTIFS('Lead Tracker'!$L:$L,D9,'Lead Tracker'!$J:$J,$O$3)</f>
        <v>0</v>
      </c>
      <c r="P9" s="287">
        <f>COUNTIFS('Lead Tracker'!$L:$L,D9,'Lead Tracker'!$J:$J,$P$3)</f>
        <v>0</v>
      </c>
    </row>
    <row r="10" spans="2:18">
      <c r="D10" s="277" t="s">
        <v>86</v>
      </c>
      <c r="E10" s="315">
        <f>COUNTIF('Lead Tracker'!L:L, D10)</f>
        <v>29</v>
      </c>
      <c r="F10" s="286">
        <f>COUNTIFS('Lead Tracker'!$L:$L,D10,'Lead Tracker'!$J:$J,$F$3)</f>
        <v>6</v>
      </c>
      <c r="G10" s="286">
        <f>COUNTIFS('Lead Tracker'!$L:$L,D10,'Lead Tracker'!$J:$J,$G$3)</f>
        <v>0</v>
      </c>
      <c r="H10" s="286">
        <f>COUNTIFS('Lead Tracker'!$L:$L,D10,'Lead Tracker'!$J:$J,$H$3)</f>
        <v>2</v>
      </c>
      <c r="I10" s="286">
        <f>COUNTIFS('Lead Tracker'!$L:$L,D10,'Lead Tracker'!$J:$J,$I$3)</f>
        <v>1</v>
      </c>
      <c r="J10" s="286">
        <f>COUNTIFS('Lead Tracker'!$L:$L,D10,'Lead Tracker'!$J:$J,$J$3)</f>
        <v>4</v>
      </c>
      <c r="K10" s="286">
        <f>COUNTIFS('Lead Tracker'!$L:$L,D10,'Lead Tracker'!$J:$J,$K$3)</f>
        <v>0</v>
      </c>
      <c r="L10" s="286">
        <f>COUNTIFS('Lead Tracker'!$L:$L,D10,'Lead Tracker'!$J:$J,$L$3)</f>
        <v>2</v>
      </c>
      <c r="M10" s="286">
        <f>COUNTIFS('Lead Tracker'!$L:$L,D10,'Lead Tracker'!$J:$J,$M$3)</f>
        <v>5</v>
      </c>
      <c r="N10" s="286">
        <f>COUNTIFS('Lead Tracker'!$L:$L,D10,'Lead Tracker'!$J:$J,$N$3)</f>
        <v>7</v>
      </c>
      <c r="O10" s="286">
        <f>COUNTIFS('Lead Tracker'!$L:$L,D10,'Lead Tracker'!$J:$J,$O$3)</f>
        <v>2</v>
      </c>
      <c r="P10" s="288">
        <f>COUNTIFS('Lead Tracker'!$L:$L,D10,'Lead Tracker'!$J:$J,$P$3)</f>
        <v>0</v>
      </c>
    </row>
    <row r="11" spans="2:18">
      <c r="D11" s="311"/>
      <c r="E11" s="312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4"/>
    </row>
    <row r="12" spans="2:18" ht="18">
      <c r="D12" s="345">
        <v>46113</v>
      </c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7"/>
    </row>
    <row r="13" spans="2:18">
      <c r="D13" s="340" t="s">
        <v>626</v>
      </c>
      <c r="E13" s="348"/>
      <c r="F13" s="295" t="s">
        <v>145</v>
      </c>
      <c r="G13" s="296" t="s">
        <v>245</v>
      </c>
      <c r="H13" s="296" t="s">
        <v>84</v>
      </c>
      <c r="I13" s="296" t="s">
        <v>54</v>
      </c>
      <c r="J13" s="296" t="s">
        <v>41</v>
      </c>
      <c r="K13" s="296" t="s">
        <v>213</v>
      </c>
      <c r="L13" s="296" t="s">
        <v>25</v>
      </c>
      <c r="M13" s="296" t="s">
        <v>91</v>
      </c>
      <c r="N13" s="296" t="s">
        <v>101</v>
      </c>
      <c r="O13" s="295" t="s">
        <v>345</v>
      </c>
      <c r="P13" s="297" t="s">
        <v>463</v>
      </c>
      <c r="R13" s="271">
        <f>D12</f>
        <v>46113</v>
      </c>
    </row>
    <row r="14" spans="2:18">
      <c r="D14" s="74" t="s">
        <v>627</v>
      </c>
      <c r="E14" s="272">
        <f>COUNTIFS('Lead Tracker'!$B:$B,"&gt;="&amp;EOMONTH($D$12,-1)+1,
'Lead Tracker'!$B:$B,"&lt;"&amp;EOMONTH($D$12,0)+1)</f>
        <v>125</v>
      </c>
      <c r="F14" s="285">
        <f>COUNTIFS(
'Lead Tracker'!$J:$J,F13,
'Lead Tracker'!$B:$B,"&gt;="&amp;EOMONTH($D$12,-1)+1,
'Lead Tracker'!$B:$B,"&lt;"&amp;EOMONTH($D$12,0)+1
)</f>
        <v>17</v>
      </c>
      <c r="G14" s="285">
        <f>COUNTIFS(
'Lead Tracker'!$J:$J,G13,
'Lead Tracker'!$B:$B,"&gt;="&amp;EOMONTH($D$12,-1)+1,
'Lead Tracker'!$B:$B,"&lt;"&amp;EOMONTH($D$12,0)+1
)</f>
        <v>2</v>
      </c>
      <c r="H14" s="285">
        <f>COUNTIFS(
'Lead Tracker'!$J:$J,H13,
'Lead Tracker'!$B:$B,"&gt;="&amp;EOMONTH($D$12,-1)+1,
'Lead Tracker'!$B:$B,"&lt;"&amp;EOMONTH($D$12,0)+1
)</f>
        <v>5</v>
      </c>
      <c r="I14" s="285">
        <f>COUNTIFS(
'Lead Tracker'!$J:$J,I13,
'Lead Tracker'!$B:$B,"&gt;="&amp;EOMONTH($D$12,-1)+1,
'Lead Tracker'!$B:$B,"&lt;"&amp;EOMONTH($D$12,0)+1
)</f>
        <v>10</v>
      </c>
      <c r="J14" s="285">
        <f>COUNTIFS(
'Lead Tracker'!$J:$J,J13,
'Lead Tracker'!$B:$B,"&gt;="&amp;EOMONTH($D$12,-1)+1,
'Lead Tracker'!$B:$B,"&lt;"&amp;EOMONTH($D$12,0)+1
)</f>
        <v>14</v>
      </c>
      <c r="K14" s="285">
        <f>COUNTIFS(
'Lead Tracker'!$J:$J,K13,
'Lead Tracker'!$B:$B,"&gt;="&amp;EOMONTH($D$12,-1)+1,
'Lead Tracker'!$B:$B,"&lt;"&amp;EOMONTH($D$12,0)+1
)</f>
        <v>1</v>
      </c>
      <c r="L14" s="285">
        <f>COUNTIFS(
'Lead Tracker'!$J:$J,L13,
'Lead Tracker'!$B:$B,"&gt;="&amp;EOMONTH($D$12,-1)+1,
'Lead Tracker'!$B:$B,"&lt;"&amp;EOMONTH($D$12,0)+1
)</f>
        <v>42</v>
      </c>
      <c r="M14" s="285">
        <f>COUNTIFS(
'Lead Tracker'!$J:$J,M13,
'Lead Tracker'!$B:$B,"&gt;="&amp;EOMONTH($D$12,-1)+1,
'Lead Tracker'!$B:$B,"&lt;"&amp;EOMONTH($D$12,0)+1
)</f>
        <v>14</v>
      </c>
      <c r="N14" s="285">
        <f>COUNTIFS(
'Lead Tracker'!$J:$J,N13,
'Lead Tracker'!$B:$B,"&gt;="&amp;EOMONTH($D$12,-1)+1,
'Lead Tracker'!$B:$B,"&lt;"&amp;EOMONTH($D$12,0)+1
)</f>
        <v>16</v>
      </c>
      <c r="O14" s="285">
        <f>COUNTIFS(
'Lead Tracker'!$J:$J,O13,
'Lead Tracker'!$B:$B,"&gt;="&amp;EOMONTH($D$12,-1)+1,
'Lead Tracker'!$B:$B,"&lt;"&amp;EOMONTH($D$12,0)+1
)</f>
        <v>2</v>
      </c>
      <c r="P14" s="287">
        <f>COUNTIFS(
'Lead Tracker'!$J:$J,P13,
'Lead Tracker'!$B:$B,"&gt;="&amp;EOMONTH($D$12,-1)+1,
'Lead Tracker'!$B:$B,"&lt;"&amp;EOMONTH($D$12,0)+1
)</f>
        <v>2</v>
      </c>
    </row>
    <row r="15" spans="2:18">
      <c r="D15" s="273" t="s">
        <v>27</v>
      </c>
      <c r="E15" s="270">
        <f>COUNTIFS(
'Lead Tracker'!L:L,D15,
'Lead Tracker'!B:B,"&gt;="&amp;EOMONTH($D$12,-1)+1,
'Lead Tracker'!B:B,"&lt;"&amp;EOMONTH($D$12,0)+1
)</f>
        <v>5</v>
      </c>
      <c r="F15" s="285">
        <f>COUNTIFS(
'Lead Tracker'!$L:$L,D15,
'Lead Tracker'!$J:$J,$F$3,
'Lead Tracker'!$B:$B,"&gt;="&amp;EOMONTH($D$12,-1)+1,
'Lead Tracker'!$B:$B,"&lt;"&amp;EOMONTH($D$12,0)+1
)</f>
        <v>0</v>
      </c>
      <c r="G15" s="285">
        <f>COUNTIFS(
'Lead Tracker'!$L:$L,D15,
'Lead Tracker'!$J:$J,$G$3,
'Lead Tracker'!$B:$B,"&gt;="&amp;EOMONTH($D$12,-1)+1,
'Lead Tracker'!$B:$B,"&lt;"&amp;EOMONTH($D$12,0)+1
)</f>
        <v>0</v>
      </c>
      <c r="H15" s="285">
        <f>COUNTIFS(
'Lead Tracker'!$L:$L,D15,
'Lead Tracker'!$J:$J,$H$3,
'Lead Tracker'!$B:$B,"&gt;="&amp;EOMONTH($D$12,-1)+1,
'Lead Tracker'!$B:$B,"&lt;"&amp;EOMONTH($D$12,0)+1
)</f>
        <v>0</v>
      </c>
      <c r="I15" s="285">
        <f>COUNTIFS('Lead Tracker'!$L:$L,D15,'Lead Tracker'!$J:$J,$I$3,'Lead Tracker'!$B:$B,"&gt;="&amp;EOMONTH($D$12,-1)+1,
'Lead Tracker'!$B:$B,"&lt;"&amp;EOMONTH($D$12,0)+1
)</f>
        <v>0</v>
      </c>
      <c r="J15" s="285">
        <f>COUNTIFS('Lead Tracker'!$L:$L,D15,'Lead Tracker'!$J:$J,$J$3, 'Lead Tracker'!$B:$B,"&gt;="&amp;EOMONTH($D$12,-1)+1,
'Lead Tracker'!$B:$B,"&lt;"&amp;EOMONTH($D$12,0)+1
)</f>
        <v>0</v>
      </c>
      <c r="K15" s="285">
        <f>COUNTIFS('Lead Tracker'!$L:$L,D15,'Lead Tracker'!$J:$J,$K$3, 'Lead Tracker'!$B:$B,"&gt;="&amp;EOMONTH($D$12,-1)+1,
'Lead Tracker'!$B:$B,"&lt;"&amp;EOMONTH($D$12,0)+1
)</f>
        <v>0</v>
      </c>
      <c r="L15" s="285">
        <f>COUNTIFS('Lead Tracker'!$L:$L,D15,'Lead Tracker'!$J:$J,$L$3, 'Lead Tracker'!$B:$B,"&gt;="&amp;EOMONTH($D$12,-1)+1,
'Lead Tracker'!$B:$B,"&lt;"&amp;EOMONTH($D$12,0)+1
)</f>
        <v>5</v>
      </c>
      <c r="M15" s="285">
        <f>COUNTIFS('Lead Tracker'!$L:$L,D15,'Lead Tracker'!$J:$J,$M$3, 'Lead Tracker'!$B:$B,"&gt;="&amp;EOMONTH($D$12,-1)+1,
'Lead Tracker'!$B:$B,"&lt;"&amp;EOMONTH($D$12,0)+1
)</f>
        <v>0</v>
      </c>
      <c r="N15" s="285">
        <f>COUNTIFS('Lead Tracker'!$L:$L,D15,'Lead Tracker'!$J:$J,$N$3, 'Lead Tracker'!$B:$B,"&gt;="&amp;EOMONTH($D$12,-1)+1,
'Lead Tracker'!$B:$B,"&lt;"&amp;EOMONTH($D$12,0)+1
)</f>
        <v>0</v>
      </c>
      <c r="O15" s="285">
        <f>COUNTIFS('Lead Tracker'!$L:$L,D15,'Lead Tracker'!$J:$J,$O$3, 'Lead Tracker'!$B:$B,"&gt;="&amp;EOMONTH($D$12,-1)+1,
'Lead Tracker'!$B:$B,"&lt;"&amp;EOMONTH($D$12,0)+1
)</f>
        <v>0</v>
      </c>
      <c r="P15" s="287">
        <f>COUNTIFS('Lead Tracker'!$L:$L,D15,'Lead Tracker'!$J:$J,$P$3, 'Lead Tracker'!$B:$B,"&gt;="&amp;EOMONTH($D$12,-1)+1,
'Lead Tracker'!$B:$B,"&lt;"&amp;EOMONTH($D$12,0)+1)</f>
        <v>0</v>
      </c>
    </row>
    <row r="16" spans="2:18">
      <c r="D16" s="274" t="s">
        <v>36</v>
      </c>
      <c r="E16" s="270">
        <f>COUNTIFS(
'Lead Tracker'!L:L,D16,
'Lead Tracker'!B:B,"&gt;="&amp;EOMONTH($D$12,-1)+1,
'Lead Tracker'!B:B,"&lt;"&amp;EOMONTH($D$12,0)+1
)</f>
        <v>9</v>
      </c>
      <c r="F16" s="285">
        <f>COUNTIFS(
'Lead Tracker'!$L:$L,D16,
'Lead Tracker'!$J:$J,$F$3,
'Lead Tracker'!$B:$B,"&gt;="&amp;EOMONTH($D$12,-1)+1,
'Lead Tracker'!$B:$B,"&lt;"&amp;EOMONTH($D$12,0)+1
)</f>
        <v>0</v>
      </c>
      <c r="G16" s="285">
        <f>COUNTIFS(
'Lead Tracker'!$L:$L,D16,
'Lead Tracker'!$J:$J,$G$3,
'Lead Tracker'!$B:$B,"&gt;="&amp;EOMONTH($D$12,-1)+1,
'Lead Tracker'!$B:$B,"&lt;"&amp;EOMONTH($D$12,0)+1
)</f>
        <v>1</v>
      </c>
      <c r="H16" s="285">
        <f>COUNTIFS(
'Lead Tracker'!$L:$L,D16,
'Lead Tracker'!$J:$J,$H$3,
'Lead Tracker'!$B:$B,"&gt;="&amp;EOMONTH($D$12,-1)+1,
'Lead Tracker'!$B:$B,"&lt;"&amp;EOMONTH($D$12,0)+1
)</f>
        <v>0</v>
      </c>
      <c r="I16" s="285">
        <f>COUNTIFS('Lead Tracker'!$L:$L,D16,'Lead Tracker'!$J:$J,$I$3,'Lead Tracker'!$B:$B,"&gt;="&amp;EOMONTH($D$12,-1)+1,
'Lead Tracker'!$B:$B,"&lt;"&amp;EOMONTH($D$12,0)+1
)</f>
        <v>0</v>
      </c>
      <c r="J16" s="285">
        <f>COUNTIFS('Lead Tracker'!$L:$L,D16,'Lead Tracker'!$J:$J,$J$3, 'Lead Tracker'!$B:$B,"&gt;="&amp;EOMONTH($D$12,-1)+1,
'Lead Tracker'!$B:$B,"&lt;"&amp;EOMONTH($D$12,0)+1
)</f>
        <v>0</v>
      </c>
      <c r="K16" s="285">
        <f>COUNTIFS('Lead Tracker'!$L:$L,D16,'Lead Tracker'!$J:$J,$K$3, 'Lead Tracker'!$B:$B,"&gt;="&amp;EOMONTH($D$12,-1)+1,
'Lead Tracker'!$B:$B,"&lt;"&amp;EOMONTH($D$12,0)+1
)</f>
        <v>0</v>
      </c>
      <c r="L16" s="285">
        <f>COUNTIFS('Lead Tracker'!$L:$L,D16,'Lead Tracker'!$J:$J,$L$3, 'Lead Tracker'!$B:$B,"&gt;="&amp;EOMONTH($D$12,-1)+1,
'Lead Tracker'!$B:$B,"&lt;"&amp;EOMONTH($D$12,0)+1
)</f>
        <v>8</v>
      </c>
      <c r="M16" s="285">
        <f>COUNTIFS('Lead Tracker'!$L:$L,D16,'Lead Tracker'!$J:$J,$M$3, 'Lead Tracker'!$B:$B,"&gt;="&amp;EOMONTH($D$12,-1)+1,
'Lead Tracker'!$B:$B,"&lt;"&amp;EOMONTH($D$12,0)+1
)</f>
        <v>0</v>
      </c>
      <c r="N16" s="285">
        <f>COUNTIFS('Lead Tracker'!$L:$L,D16,'Lead Tracker'!$J:$J,$N$3, 'Lead Tracker'!$B:$B,"&gt;="&amp;EOMONTH($D$12,-1)+1,
'Lead Tracker'!$B:$B,"&lt;"&amp;EOMONTH($D$12,0)+1
)</f>
        <v>0</v>
      </c>
      <c r="O16" s="285">
        <f>COUNTIFS('Lead Tracker'!$L:$L,D16,'Lead Tracker'!$J:$J,$O$3, 'Lead Tracker'!$B:$B,"&gt;="&amp;EOMONTH($D$12,-1)+1,
'Lead Tracker'!$B:$B,"&lt;"&amp;EOMONTH($D$12,0)+1
)</f>
        <v>0</v>
      </c>
      <c r="P16" s="287">
        <f>COUNTIFS('Lead Tracker'!$L:$L,D16,'Lead Tracker'!$J:$J,$P$3, 'Lead Tracker'!$B:$B,"&gt;="&amp;EOMONTH($D$12,-1)+1,
'Lead Tracker'!$B:$B,"&lt;"&amp;EOMONTH($D$12,0)+1)</f>
        <v>0</v>
      </c>
    </row>
    <row r="17" spans="4:18">
      <c r="D17" s="273" t="s">
        <v>231</v>
      </c>
      <c r="E17" s="270">
        <f>COUNTIFS(
'Lead Tracker'!L:L,D17,
'Lead Tracker'!B:B,"&gt;="&amp;EOMONTH($D$12,-1)+1,
'Lead Tracker'!B:B,"&lt;"&amp;EOMONTH($D$12,0)+1
)</f>
        <v>22</v>
      </c>
      <c r="F17" s="285">
        <f>COUNTIFS(
'Lead Tracker'!$L:$L,D17,
'Lead Tracker'!$J:$J,$F$3,
'Lead Tracker'!$B:$B,"&gt;="&amp;EOMONTH($D$12,-1)+1,
'Lead Tracker'!$B:$B,"&lt;"&amp;EOMONTH($D$12,0)+1
)</f>
        <v>2</v>
      </c>
      <c r="G17" s="285">
        <f>COUNTIFS(
'Lead Tracker'!$L:$L,D17,
'Lead Tracker'!$J:$J,$G$3,
'Lead Tracker'!$B:$B,"&gt;="&amp;EOMONTH($D$12,-1)+1,
'Lead Tracker'!$B:$B,"&lt;"&amp;EOMONTH($D$12,0)+1
)</f>
        <v>1</v>
      </c>
      <c r="H17" s="285">
        <f>COUNTIFS(
'Lead Tracker'!$L:$L,D17,
'Lead Tracker'!$J:$J,$H$3,
'Lead Tracker'!$B:$B,"&gt;="&amp;EOMONTH($D$12,-1)+1,
'Lead Tracker'!$B:$B,"&lt;"&amp;EOMONTH($D$12,0)+1
)</f>
        <v>0</v>
      </c>
      <c r="I17" s="285">
        <f>COUNTIFS('Lead Tracker'!$L:$L,D17,'Lead Tracker'!$J:$J,$I$3,'Lead Tracker'!$B:$B,"&gt;="&amp;EOMONTH($D$12,-1)+1,
'Lead Tracker'!$B:$B,"&lt;"&amp;EOMONTH($D$12,0)+1
)</f>
        <v>1</v>
      </c>
      <c r="J17" s="285">
        <f>COUNTIFS('Lead Tracker'!$L:$L,D17,'Lead Tracker'!$J:$J,$J$3, 'Lead Tracker'!$B:$B,"&gt;="&amp;EOMONTH($D$12,-1)+1,
'Lead Tracker'!$B:$B,"&lt;"&amp;EOMONTH($D$12,0)+1
)</f>
        <v>0</v>
      </c>
      <c r="K17" s="285">
        <f>COUNTIFS('Lead Tracker'!$L:$L,D17,'Lead Tracker'!$J:$J,$K$3, 'Lead Tracker'!$B:$B,"&gt;="&amp;EOMONTH($D$12,-1)+1,
'Lead Tracker'!$B:$B,"&lt;"&amp;EOMONTH($D$12,0)+1
)</f>
        <v>0</v>
      </c>
      <c r="L17" s="285">
        <f>COUNTIFS('Lead Tracker'!$L:$L,D17,'Lead Tracker'!$J:$J,$L$3, 'Lead Tracker'!$B:$B,"&gt;="&amp;EOMONTH($D$12,-1)+1,
'Lead Tracker'!$B:$B,"&lt;"&amp;EOMONTH($D$12,0)+1
)</f>
        <v>16</v>
      </c>
      <c r="M17" s="285">
        <f>COUNTIFS('Lead Tracker'!$L:$L,D17,'Lead Tracker'!$J:$J,$M$3, 'Lead Tracker'!$B:$B,"&gt;="&amp;EOMONTH($D$12,-1)+1,
'Lead Tracker'!$B:$B,"&lt;"&amp;EOMONTH($D$12,0)+1
)</f>
        <v>0</v>
      </c>
      <c r="N17" s="285">
        <f>COUNTIFS('Lead Tracker'!$L:$L,D17,'Lead Tracker'!$J:$J,$N$3, 'Lead Tracker'!$B:$B,"&gt;="&amp;EOMONTH($D$12,-1)+1,
'Lead Tracker'!$B:$B,"&lt;"&amp;EOMONTH($D$12,0)+1
)</f>
        <v>0</v>
      </c>
      <c r="O17" s="285">
        <f>COUNTIFS('Lead Tracker'!$L:$L,D17,'Lead Tracker'!$J:$J,$O$3, 'Lead Tracker'!$B:$B,"&gt;="&amp;EOMONTH($D$12,-1)+1,
'Lead Tracker'!$B:$B,"&lt;"&amp;EOMONTH($D$12,0)+1
)</f>
        <v>0</v>
      </c>
      <c r="P17" s="287">
        <f>COUNTIFS('Lead Tracker'!$L:$L,D17,'Lead Tracker'!$J:$J,$P$3, 'Lead Tracker'!$B:$B,"&gt;="&amp;EOMONTH($D$12,-1)+1,
'Lead Tracker'!$B:$B,"&lt;"&amp;EOMONTH($D$12,0)+1)</f>
        <v>2</v>
      </c>
    </row>
    <row r="18" spans="4:18">
      <c r="D18" s="274" t="s">
        <v>43</v>
      </c>
      <c r="E18" s="270">
        <f>COUNTIFS(
'Lead Tracker'!L:L,D18,
'Lead Tracker'!B:B,"&gt;="&amp;EOMONTH($D$12,-1)+1,
'Lead Tracker'!B:B,"&lt;"&amp;EOMONTH($D$12,0)+1
)</f>
        <v>58</v>
      </c>
      <c r="F18" s="285">
        <f>COUNTIFS(
'Lead Tracker'!$L:$L,D18,
'Lead Tracker'!$J:$J,$F$3,
'Lead Tracker'!$B:$B,"&gt;="&amp;EOMONTH($D$12,-1)+1,
'Lead Tracker'!$B:$B,"&lt;"&amp;EOMONTH($D$12,0)+1
)</f>
        <v>9</v>
      </c>
      <c r="G18" s="285">
        <f>COUNTIFS(
'Lead Tracker'!$L:$L,D18,
'Lead Tracker'!$J:$J,$G$3,
'Lead Tracker'!$B:$B,"&gt;="&amp;EOMONTH($D$12,-1)+1,
'Lead Tracker'!$B:$B,"&lt;"&amp;EOMONTH($D$12,0)+1
)</f>
        <v>0</v>
      </c>
      <c r="H18" s="285">
        <f>COUNTIFS(
'Lead Tracker'!$L:$L,D18,
'Lead Tracker'!$J:$J,$H$3,
'Lead Tracker'!$B:$B,"&gt;="&amp;EOMONTH($D$12,-1)+1,
'Lead Tracker'!$B:$B,"&lt;"&amp;EOMONTH($D$12,0)+1
)</f>
        <v>3</v>
      </c>
      <c r="I18" s="285">
        <f>COUNTIFS('Lead Tracker'!$L:$L,D18,'Lead Tracker'!$J:$J,$I$3,'Lead Tracker'!$B:$B,"&gt;="&amp;EOMONTH($D$12,-1)+1,
'Lead Tracker'!$B:$B,"&lt;"&amp;EOMONTH($D$12,0)+1
)</f>
        <v>7</v>
      </c>
      <c r="J18" s="285">
        <f>COUNTIFS('Lead Tracker'!$L:$L,D18,'Lead Tracker'!$J:$J,$J$3, 'Lead Tracker'!$B:$B,"&gt;="&amp;EOMONTH($D$12,-1)+1,
'Lead Tracker'!$B:$B,"&lt;"&amp;EOMONTH($D$12,0)+1
)</f>
        <v>10</v>
      </c>
      <c r="K18" s="285">
        <f>COUNTIFS('Lead Tracker'!$L:$L,D18,'Lead Tracker'!$J:$J,$K$3, 'Lead Tracker'!$B:$B,"&gt;="&amp;EOMONTH($D$12,-1)+1,
'Lead Tracker'!$B:$B,"&lt;"&amp;EOMONTH($D$12,0)+1
)</f>
        <v>1</v>
      </c>
      <c r="L18" s="285">
        <f>COUNTIFS('Lead Tracker'!$L:$L,D18,'Lead Tracker'!$J:$J,$L$3, 'Lead Tracker'!$B:$B,"&gt;="&amp;EOMONTH($D$12,-1)+1,
'Lead Tracker'!$B:$B,"&lt;"&amp;EOMONTH($D$12,0)+1
)</f>
        <v>10</v>
      </c>
      <c r="M18" s="285">
        <f>COUNTIFS('Lead Tracker'!$L:$L,D18,'Lead Tracker'!$J:$J,$M$3, 'Lead Tracker'!$B:$B,"&gt;="&amp;EOMONTH($D$12,-1)+1,
'Lead Tracker'!$B:$B,"&lt;"&amp;EOMONTH($D$12,0)+1
)</f>
        <v>9</v>
      </c>
      <c r="N18" s="285">
        <f>COUNTIFS('Lead Tracker'!$L:$L,D18,'Lead Tracker'!$J:$J,$N$3, 'Lead Tracker'!$B:$B,"&gt;="&amp;EOMONTH($D$12,-1)+1,
'Lead Tracker'!$B:$B,"&lt;"&amp;EOMONTH($D$12,0)+1
)</f>
        <v>9</v>
      </c>
      <c r="O18" s="285">
        <f>COUNTIFS('Lead Tracker'!$L:$L,D18,'Lead Tracker'!$J:$J,$O$3, 'Lead Tracker'!$B:$B,"&gt;="&amp;EOMONTH($D$12,-1)+1,
'Lead Tracker'!$B:$B,"&lt;"&amp;EOMONTH($D$12,0)+1
)</f>
        <v>0</v>
      </c>
      <c r="P18" s="287">
        <f>COUNTIFS('Lead Tracker'!$L:$L,D18,'Lead Tracker'!$J:$J,$P$3, 'Lead Tracker'!$B:$B,"&gt;="&amp;EOMONTH($D$12,-1)+1,
'Lead Tracker'!$B:$B,"&lt;"&amp;EOMONTH($D$12,0)+1)</f>
        <v>0</v>
      </c>
    </row>
    <row r="19" spans="4:18">
      <c r="D19" s="273" t="s">
        <v>501</v>
      </c>
      <c r="E19" s="270">
        <f>COUNTIFS(
'Lead Tracker'!L:L,D19,
'Lead Tracker'!B:B,"&gt;="&amp;EOMONTH($D$12,-1)+1,
'Lead Tracker'!B:B,"&lt;"&amp;EOMONTH($D$12,0)+1
)</f>
        <v>2</v>
      </c>
      <c r="F19" s="285">
        <f>COUNTIFS(
'Lead Tracker'!$L:$L,D19,
'Lead Tracker'!$J:$J,$F$3,
'Lead Tracker'!$B:$B,"&gt;="&amp;EOMONTH($D$12,-1)+1,
'Lead Tracker'!$B:$B,"&lt;"&amp;EOMONTH($D$12,0)+1
)</f>
        <v>0</v>
      </c>
      <c r="G19" s="285">
        <f>COUNTIFS(
'Lead Tracker'!$L:$L,D19,
'Lead Tracker'!$J:$J,$G$3,
'Lead Tracker'!$B:$B,"&gt;="&amp;EOMONTH($D$12,-1)+1,
'Lead Tracker'!$B:$B,"&lt;"&amp;EOMONTH($D$12,0)+1
)</f>
        <v>0</v>
      </c>
      <c r="H19" s="285">
        <f>COUNTIFS(
'Lead Tracker'!$L:$L,D19,
'Lead Tracker'!$J:$J,$H$3,
'Lead Tracker'!$B:$B,"&gt;="&amp;EOMONTH($D$12,-1)+1,
'Lead Tracker'!$B:$B,"&lt;"&amp;EOMONTH($D$12,0)+1
)</f>
        <v>0</v>
      </c>
      <c r="I19" s="285">
        <f>COUNTIFS('Lead Tracker'!$L:$L,D19,'Lead Tracker'!$J:$J,$I$3,'Lead Tracker'!$B:$B,"&gt;="&amp;EOMONTH($D$12,-1)+1,
'Lead Tracker'!$B:$B,"&lt;"&amp;EOMONTH($D$12,0)+1
)</f>
        <v>1</v>
      </c>
      <c r="J19" s="285">
        <f>COUNTIFS('Lead Tracker'!$L:$L,D19,'Lead Tracker'!$J:$J,$J$3, 'Lead Tracker'!$B:$B,"&gt;="&amp;EOMONTH($D$12,-1)+1,
'Lead Tracker'!$B:$B,"&lt;"&amp;EOMONTH($D$12,0)+1
)</f>
        <v>0</v>
      </c>
      <c r="K19" s="285">
        <f>COUNTIFS('Lead Tracker'!$L:$L,D19,'Lead Tracker'!$J:$J,$K$3, 'Lead Tracker'!$B:$B,"&gt;="&amp;EOMONTH($D$12,-1)+1,
'Lead Tracker'!$B:$B,"&lt;"&amp;EOMONTH($D$12,0)+1
)</f>
        <v>0</v>
      </c>
      <c r="L19" s="285">
        <f>COUNTIFS('Lead Tracker'!$L:$L,D19,'Lead Tracker'!$J:$J,$L$3, 'Lead Tracker'!$B:$B,"&gt;="&amp;EOMONTH($D$12,-1)+1,
'Lead Tracker'!$B:$B,"&lt;"&amp;EOMONTH($D$12,0)+1
)</f>
        <v>1</v>
      </c>
      <c r="M19" s="285">
        <f>COUNTIFS('Lead Tracker'!$L:$L,D19,'Lead Tracker'!$J:$J,$M$3, 'Lead Tracker'!$B:$B,"&gt;="&amp;EOMONTH($D$12,-1)+1,
'Lead Tracker'!$B:$B,"&lt;"&amp;EOMONTH($D$12,0)+1
)</f>
        <v>0</v>
      </c>
      <c r="N19" s="285">
        <f>COUNTIFS('Lead Tracker'!$L:$L,D19,'Lead Tracker'!$J:$J,$N$3, 'Lead Tracker'!$B:$B,"&gt;="&amp;EOMONTH($D$12,-1)+1,
'Lead Tracker'!$B:$B,"&lt;"&amp;EOMONTH($D$12,0)+1
)</f>
        <v>0</v>
      </c>
      <c r="O19" s="285">
        <f>COUNTIFS('Lead Tracker'!$L:$L,D19,'Lead Tracker'!$J:$J,$O$3, 'Lead Tracker'!$B:$B,"&gt;="&amp;EOMONTH($D$12,-1)+1,
'Lead Tracker'!$B:$B,"&lt;"&amp;EOMONTH($D$12,0)+1
)</f>
        <v>0</v>
      </c>
      <c r="P19" s="287">
        <f>COUNTIFS('Lead Tracker'!$L:$L,D19,'Lead Tracker'!$J:$J,$P$3, 'Lead Tracker'!$B:$B,"&gt;="&amp;EOMONTH($D$12,-1)+1,
'Lead Tracker'!$B:$B,"&lt;"&amp;EOMONTH($D$12,0)+1)</f>
        <v>0</v>
      </c>
    </row>
    <row r="20" spans="4:18">
      <c r="D20" s="298" t="s">
        <v>86</v>
      </c>
      <c r="E20" s="276">
        <f>COUNTIFS(
'Lead Tracker'!L:L,D20,
'Lead Tracker'!B:B,"&gt;="&amp;EOMONTH($D$12,-1)+1,
'Lead Tracker'!B:B,"&lt;"&amp;EOMONTH($D$12,0)+1
)</f>
        <v>29</v>
      </c>
      <c r="F20" s="293">
        <f>COUNTIFS(
'Lead Tracker'!$L:$L,D20,
'Lead Tracker'!$J:$J,$F$3,
'Lead Tracker'!$B:$B,"&gt;="&amp;EOMONTH($D$12,-1)+1,
'Lead Tracker'!$B:$B,"&lt;"&amp;EOMONTH($D$12,0)+1
)</f>
        <v>6</v>
      </c>
      <c r="G20" s="293">
        <f>COUNTIFS(
'Lead Tracker'!$L:$L,D20,
'Lead Tracker'!$J:$J,$G$3,
'Lead Tracker'!$B:$B,"&gt;="&amp;EOMONTH($D$12,-1)+1,
'Lead Tracker'!$B:$B,"&lt;"&amp;EOMONTH($D$12,0)+1
)</f>
        <v>0</v>
      </c>
      <c r="H20" s="293">
        <f>COUNTIFS(
'Lead Tracker'!$L:$L,D20,
'Lead Tracker'!$J:$J,$H$3,
'Lead Tracker'!$B:$B,"&gt;="&amp;EOMONTH($D$12,-1)+1,
'Lead Tracker'!$B:$B,"&lt;"&amp;EOMONTH($D$12,0)+1
)</f>
        <v>2</v>
      </c>
      <c r="I20" s="293">
        <f>COUNTIFS('Lead Tracker'!$L:$L,D20,'Lead Tracker'!$J:$J,$I$3,'Lead Tracker'!$B:$B,"&gt;="&amp;EOMONTH($D$12,-1)+1,
'Lead Tracker'!$B:$B,"&lt;"&amp;EOMONTH($D$12,0)+1
)</f>
        <v>1</v>
      </c>
      <c r="J20" s="293">
        <f>COUNTIFS('Lead Tracker'!$L:$L,D20,'Lead Tracker'!$J:$J,$J$3, 'Lead Tracker'!$B:$B,"&gt;="&amp;EOMONTH($D$12,-1)+1,
'Lead Tracker'!$B:$B,"&lt;"&amp;EOMONTH($D$12,0)+1
)</f>
        <v>4</v>
      </c>
      <c r="K20" s="293">
        <f>COUNTIFS('Lead Tracker'!$L:$L,D20,'Lead Tracker'!$J:$J,$K$3, 'Lead Tracker'!$B:$B,"&gt;="&amp;EOMONTH($D$12,-1)+1,
'Lead Tracker'!$B:$B,"&lt;"&amp;EOMONTH($D$12,0)+1
)</f>
        <v>0</v>
      </c>
      <c r="L20" s="293">
        <f>COUNTIFS('Lead Tracker'!$L:$L,D20,'Lead Tracker'!$J:$J,$L$3, 'Lead Tracker'!$B:$B,"&gt;="&amp;EOMONTH($D$12,-1)+1,
'Lead Tracker'!$B:$B,"&lt;"&amp;EOMONTH($D$12,0)+1
)</f>
        <v>2</v>
      </c>
      <c r="M20" s="293">
        <f>COUNTIFS('Lead Tracker'!$L:$L,D20,'Lead Tracker'!$J:$J,$M$3, 'Lead Tracker'!$B:$B,"&gt;="&amp;EOMONTH($D$12,-1)+1,
'Lead Tracker'!$B:$B,"&lt;"&amp;EOMONTH($D$12,0)+1
)</f>
        <v>5</v>
      </c>
      <c r="N20" s="293">
        <f>COUNTIFS('Lead Tracker'!$L:$L,D20,'Lead Tracker'!$J:$J,$N$3, 'Lead Tracker'!$B:$B,"&gt;="&amp;EOMONTH($D$12,-1)+1,
'Lead Tracker'!$B:$B,"&lt;"&amp;EOMONTH($D$12,0)+1
)</f>
        <v>7</v>
      </c>
      <c r="O20" s="293">
        <f>COUNTIFS('Lead Tracker'!$L:$L,D20,'Lead Tracker'!$J:$J,$O$3, 'Lead Tracker'!$B:$B,"&gt;="&amp;EOMONTH($D$12,-1)+1,
'Lead Tracker'!$B:$B,"&lt;"&amp;EOMONTH($D$12,0)+1
)</f>
        <v>2</v>
      </c>
      <c r="P20" s="294">
        <f>COUNTIFS('Lead Tracker'!$L:$L,D20,'Lead Tracker'!$J:$J,$P$3, 'Lead Tracker'!$B:$B,"&gt;="&amp;EOMONTH($D$12,-1)+1,
'Lead Tracker'!$B:$B,"&lt;"&amp;EOMONTH($D$12,0)+1)</f>
        <v>0</v>
      </c>
    </row>
    <row r="21" spans="4:18">
      <c r="D21" s="305"/>
      <c r="E21" s="306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300"/>
    </row>
    <row r="22" spans="4:18">
      <c r="D22" s="337" t="s">
        <v>571</v>
      </c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9"/>
    </row>
    <row r="23" spans="4:18">
      <c r="D23" s="335" t="s">
        <v>626</v>
      </c>
      <c r="E23" s="336"/>
      <c r="F23" s="309" t="s">
        <v>145</v>
      </c>
      <c r="G23" s="308" t="s">
        <v>245</v>
      </c>
      <c r="H23" s="308" t="s">
        <v>84</v>
      </c>
      <c r="I23" s="308" t="s">
        <v>54</v>
      </c>
      <c r="J23" s="308" t="s">
        <v>41</v>
      </c>
      <c r="K23" s="308" t="s">
        <v>213</v>
      </c>
      <c r="L23" s="308" t="s">
        <v>25</v>
      </c>
      <c r="M23" s="308" t="s">
        <v>91</v>
      </c>
      <c r="N23" s="308" t="s">
        <v>101</v>
      </c>
      <c r="O23" s="309" t="s">
        <v>345</v>
      </c>
      <c r="P23" s="310" t="s">
        <v>463</v>
      </c>
      <c r="R23" s="271" t="str">
        <f>D22</f>
        <v>LEAD OWNER</v>
      </c>
    </row>
    <row r="24" spans="4:18">
      <c r="D24" s="278" t="s">
        <v>28</v>
      </c>
      <c r="E24" s="279">
        <f>COUNTIFS(
'Lead Tracker'!M:M,D24,
'Lead Tracker'!B:B,"&gt;="&amp;EOMONTH($D$12,-1)+1,
'Lead Tracker'!B:B,"&lt;"&amp;EOMONTH($D$12,0)+1
)</f>
        <v>6</v>
      </c>
      <c r="F24" s="289">
        <f>COUNTIFS(
'Lead Tracker'!$M:$M,D24,
'Lead Tracker'!$J:$J,$F$3,
'Lead Tracker'!$B:$B,"&gt;="&amp;EOMONTH($D$12,-1)+1,
'Lead Tracker'!$B:$B,"&lt;"&amp;EOMONTH($D$12,0)+1
)</f>
        <v>0</v>
      </c>
      <c r="G24" s="289">
        <f>COUNTIFS(
'Lead Tracker'!$M:$M,D24,
'Lead Tracker'!$J:$J,$G$3,
'Lead Tracker'!$B:$B,"&gt;="&amp;EOMONTH($D$12,-1)+1,
'Lead Tracker'!$B:$B,"&lt;"&amp;EOMONTH($D$12,0)+1
)</f>
        <v>0</v>
      </c>
      <c r="H24" s="289">
        <f>COUNTIFS(
'Lead Tracker'!$M:$M,D24,
'Lead Tracker'!$J:$J,$H$3,
'Lead Tracker'!$B:$B,"&gt;="&amp;EOMONTH($D$12,-1)+1,
'Lead Tracker'!$B:$B,"&lt;"&amp;EOMONTH($D$12,0)+1
)</f>
        <v>0</v>
      </c>
      <c r="I24" s="289">
        <f>COUNTIFS('Lead Tracker'!$M:$M,D24,'Lead Tracker'!$J:$J,$I$3,'Lead Tracker'!$B:$B,"&gt;="&amp;EOMONTH($D$12,-1)+1,
'Lead Tracker'!$B:$B,"&lt;"&amp;EOMONTH($D$12,0)+1
)</f>
        <v>0</v>
      </c>
      <c r="J24" s="289">
        <f>COUNTIFS('Lead Tracker'!$M:$M,D24,'Lead Tracker'!$J:$J,$J$3, 'Lead Tracker'!$B:$B,"&gt;="&amp;EOMONTH($D$12,-1)+1,
'Lead Tracker'!$B:$B,"&lt;"&amp;EOMONTH($D$12,0)+1
)</f>
        <v>0</v>
      </c>
      <c r="K24" s="289">
        <f>COUNTIFS('Lead Tracker'!$M:$M,D24,'Lead Tracker'!$J:$J,$K$3, 'Lead Tracker'!$B:$B,"&gt;="&amp;EOMONTH($D$12,-1)+1,
'Lead Tracker'!$B:$B,"&lt;"&amp;EOMONTH($D$12,0)+1
)</f>
        <v>0</v>
      </c>
      <c r="L24" s="289">
        <f>COUNTIFS('Lead Tracker'!$M:$M,D24,'Lead Tracker'!$J:$J,$L$3, 'Lead Tracker'!$B:$B,"&gt;="&amp;EOMONTH($D$12,-1)+1,
'Lead Tracker'!$B:$B,"&lt;"&amp;EOMONTH($D$12,0)+1
)</f>
        <v>6</v>
      </c>
      <c r="M24" s="289">
        <f>COUNTIFS('Lead Tracker'!$M:$M,D24,'Lead Tracker'!$J:$J,$M$3, 'Lead Tracker'!$B:$B,"&gt;="&amp;EOMONTH($D$12,-1)+1,
'Lead Tracker'!$B:$B,"&lt;"&amp;EOMONTH($D$12,0)+1
)</f>
        <v>0</v>
      </c>
      <c r="N24" s="289">
        <f>COUNTIFS('Lead Tracker'!$M:$M,D24,'Lead Tracker'!$J:$J,$N$3, 'Lead Tracker'!$B:$B,"&gt;="&amp;EOMONTH($D$12,-1)+1,
'Lead Tracker'!$B:$B,"&lt;"&amp;EOMONTH($D$12,0)+1
)</f>
        <v>0</v>
      </c>
      <c r="O24" s="289">
        <f>COUNTIFS('Lead Tracker'!$M:$M,D24,'Lead Tracker'!$J:$J,$O$3, 'Lead Tracker'!$B:$B,"&gt;="&amp;EOMONTH($D$12,-1)+1,
'Lead Tracker'!$B:$B,"&lt;"&amp;EOMONTH($D$12,0)+1
)</f>
        <v>0</v>
      </c>
      <c r="P24" s="290">
        <f>COUNTIFS('Lead Tracker'!$M:$M,D24,'Lead Tracker'!$J:$J,$P$3, 'Lead Tracker'!$B:$B,"&gt;="&amp;EOMONTH($D$12,-1)+1,
'Lead Tracker'!$B:$B,"&lt;"&amp;EOMONTH($D$12,0)+1)</f>
        <v>0</v>
      </c>
    </row>
    <row r="25" spans="4:18">
      <c r="D25" s="274" t="s">
        <v>37</v>
      </c>
      <c r="E25" s="270">
        <f>COUNTIFS(
'Lead Tracker'!M:M,D25,
'Lead Tracker'!B:B,"&gt;="&amp;EOMONTH($D$12,-1)+1,
'Lead Tracker'!B:B,"&lt;"&amp;EOMONTH($D$12,0)+1
)</f>
        <v>18</v>
      </c>
      <c r="F25" s="285">
        <f>COUNTIFS(
'Lead Tracker'!$M:$M,D25,
'Lead Tracker'!$J:$J,$F$3,
'Lead Tracker'!$B:$B,"&gt;="&amp;EOMONTH($D$12,-1)+1,
'Lead Tracker'!$B:$B,"&lt;"&amp;EOMONTH($D$12,0)+1
)</f>
        <v>3</v>
      </c>
      <c r="G25" s="285">
        <f>COUNTIFS(
'Lead Tracker'!$M:$M,D25,
'Lead Tracker'!$J:$J,$G$3,
'Lead Tracker'!$B:$B,"&gt;="&amp;EOMONTH($D$12,-1)+1,
'Lead Tracker'!$B:$B,"&lt;"&amp;EOMONTH($D$12,0)+1
)</f>
        <v>0</v>
      </c>
      <c r="H25" s="285">
        <f>COUNTIFS(
'Lead Tracker'!$M:$M,D25,
'Lead Tracker'!$J:$J,$H$3,
'Lead Tracker'!$B:$B,"&gt;="&amp;EOMONTH($D$12,-1)+1,
'Lead Tracker'!$B:$B,"&lt;"&amp;EOMONTH($D$12,0)+1
)</f>
        <v>0</v>
      </c>
      <c r="I25" s="285">
        <f>COUNTIFS('Lead Tracker'!$M:$M,D25,'Lead Tracker'!$J:$J,$I$3,'Lead Tracker'!$B:$B,"&gt;="&amp;EOMONTH($D$12,-1)+1,
'Lead Tracker'!$B:$B,"&lt;"&amp;EOMONTH($D$12,0)+1
)</f>
        <v>0</v>
      </c>
      <c r="J25" s="285">
        <f>COUNTIFS('Lead Tracker'!$M:$M,D25,'Lead Tracker'!$J:$J,$J$3, 'Lead Tracker'!$B:$B,"&gt;="&amp;EOMONTH($D$12,-1)+1,
'Lead Tracker'!$B:$B,"&lt;"&amp;EOMONTH($D$12,0)+1
)</f>
        <v>0</v>
      </c>
      <c r="K25" s="285">
        <f>COUNTIFS('Lead Tracker'!$M:$M,D25,'Lead Tracker'!$J:$J,$K$3, 'Lead Tracker'!$B:$B,"&gt;="&amp;EOMONTH($D$12,-1)+1,
'Lead Tracker'!$B:$B,"&lt;"&amp;EOMONTH($D$12,0)+1
)</f>
        <v>0</v>
      </c>
      <c r="L25" s="285">
        <f>COUNTIFS('Lead Tracker'!$M:$M,D25,'Lead Tracker'!$J:$J,$L$3, 'Lead Tracker'!$B:$B,"&gt;="&amp;EOMONTH($D$12,-1)+1,
'Lead Tracker'!$B:$B,"&lt;"&amp;EOMONTH($D$12,0)+1
)</f>
        <v>15</v>
      </c>
      <c r="M25" s="285">
        <f>COUNTIFS('Lead Tracker'!$M:$M,D25,'Lead Tracker'!$J:$J,$M$3, 'Lead Tracker'!$B:$B,"&gt;="&amp;EOMONTH($D$12,-1)+1,
'Lead Tracker'!$B:$B,"&lt;"&amp;EOMONTH($D$12,0)+1
)</f>
        <v>0</v>
      </c>
      <c r="N25" s="285">
        <f>COUNTIFS('Lead Tracker'!$M:$M,D25,'Lead Tracker'!$J:$J,$N$3, 'Lead Tracker'!$B:$B,"&gt;="&amp;EOMONTH($D$12,-1)+1,
'Lead Tracker'!$B:$B,"&lt;"&amp;EOMONTH($D$12,0)+1
)</f>
        <v>0</v>
      </c>
      <c r="O25" s="285">
        <f>COUNTIFS('Lead Tracker'!$M:$M,D25,'Lead Tracker'!$J:$J,$O$3, 'Lead Tracker'!$B:$B,"&gt;="&amp;EOMONTH($D$12,-1)+1,
'Lead Tracker'!$B:$B,"&lt;"&amp;EOMONTH($D$12,0)+1
)</f>
        <v>0</v>
      </c>
      <c r="P25" s="287">
        <f>COUNTIFS('Lead Tracker'!$M:$M,D25,'Lead Tracker'!$J:$J,$P$3, 'Lead Tracker'!$B:$B,"&gt;="&amp;EOMONTH($D$12,-1)+1,
'Lead Tracker'!$B:$B,"&lt;"&amp;EOMONTH($D$12,0)+1)</f>
        <v>0</v>
      </c>
    </row>
    <row r="26" spans="4:18">
      <c r="D26" s="273" t="s">
        <v>474</v>
      </c>
      <c r="E26" s="270">
        <f>COUNTIFS(
'Lead Tracker'!M:M,D26,
'Lead Tracker'!B:B,"&gt;="&amp;EOMONTH($D$12,-1)+1,
'Lead Tracker'!B:B,"&lt;"&amp;EOMONTH($D$12,0)+1
)</f>
        <v>2</v>
      </c>
      <c r="F26" s="285">
        <f>COUNTIFS(
'Lead Tracker'!$M:$M,D26,
'Lead Tracker'!$J:$J,$F$3,
'Lead Tracker'!$B:$B,"&gt;="&amp;EOMONTH($D$12,-1)+1,
'Lead Tracker'!$B:$B,"&lt;"&amp;EOMONTH($D$12,0)+1
)</f>
        <v>0</v>
      </c>
      <c r="G26" s="285">
        <f>COUNTIFS(
'Lead Tracker'!$M:$M,D26,
'Lead Tracker'!$J:$J,$G$3,
'Lead Tracker'!$B:$B,"&gt;="&amp;EOMONTH($D$12,-1)+1,
'Lead Tracker'!$B:$B,"&lt;"&amp;EOMONTH($D$12,0)+1
)</f>
        <v>0</v>
      </c>
      <c r="H26" s="285">
        <f>COUNTIFS(
'Lead Tracker'!$M:$M,D26,
'Lead Tracker'!$J:$J,$H$3,
'Lead Tracker'!$B:$B,"&gt;="&amp;EOMONTH($D$12,-1)+1,
'Lead Tracker'!$B:$B,"&lt;"&amp;EOMONTH($D$12,0)+1
)</f>
        <v>0</v>
      </c>
      <c r="I26" s="285">
        <f>COUNTIFS('Lead Tracker'!$M:$M,D26,'Lead Tracker'!$J:$J,$I$3,'Lead Tracker'!$B:$B,"&gt;="&amp;EOMONTH($D$12,-1)+1,
'Lead Tracker'!$B:$B,"&lt;"&amp;EOMONTH($D$12,0)+1
)</f>
        <v>1</v>
      </c>
      <c r="J26" s="285">
        <f>COUNTIFS('Lead Tracker'!$M:$M,D26,'Lead Tracker'!$J:$J,$J$3, 'Lead Tracker'!$B:$B,"&gt;="&amp;EOMONTH($D$12,-1)+1,
'Lead Tracker'!$B:$B,"&lt;"&amp;EOMONTH($D$12,0)+1
)</f>
        <v>0</v>
      </c>
      <c r="K26" s="285">
        <f>COUNTIFS('Lead Tracker'!$M:$M,D26,'Lead Tracker'!$J:$J,$K$3, 'Lead Tracker'!$B:$B,"&gt;="&amp;EOMONTH($D$12,-1)+1,
'Lead Tracker'!$B:$B,"&lt;"&amp;EOMONTH($D$12,0)+1
)</f>
        <v>0</v>
      </c>
      <c r="L26" s="285">
        <f>COUNTIFS('Lead Tracker'!$M:$M,D26,'Lead Tracker'!$J:$J,$L$3, 'Lead Tracker'!$B:$B,"&gt;="&amp;EOMONTH($D$12,-1)+1,
'Lead Tracker'!$B:$B,"&lt;"&amp;EOMONTH($D$12,0)+1
)</f>
        <v>1</v>
      </c>
      <c r="M26" s="285">
        <f>COUNTIFS('Lead Tracker'!$M:$M,D26,'Lead Tracker'!$J:$J,$M$3, 'Lead Tracker'!$B:$B,"&gt;="&amp;EOMONTH($D$12,-1)+1,
'Lead Tracker'!$B:$B,"&lt;"&amp;EOMONTH($D$12,0)+1
)</f>
        <v>0</v>
      </c>
      <c r="N26" s="285">
        <f>COUNTIFS('Lead Tracker'!$M:$M,D26,'Lead Tracker'!$J:$J,$N$3, 'Lead Tracker'!$B:$B,"&gt;="&amp;EOMONTH($D$12,-1)+1,
'Lead Tracker'!$B:$B,"&lt;"&amp;EOMONTH($D$12,0)+1
)</f>
        <v>0</v>
      </c>
      <c r="O26" s="285">
        <f>COUNTIFS('Lead Tracker'!$M:$M,D26,'Lead Tracker'!$J:$J,$O$3, 'Lead Tracker'!$B:$B,"&gt;="&amp;EOMONTH($D$12,-1)+1,
'Lead Tracker'!$B:$B,"&lt;"&amp;EOMONTH($D$12,0)+1
)</f>
        <v>0</v>
      </c>
      <c r="P26" s="287">
        <f>COUNTIFS('Lead Tracker'!$M:$M,D26,'Lead Tracker'!$J:$J,$P$3, 'Lead Tracker'!$B:$B,"&gt;="&amp;EOMONTH($D$12,-1)+1,
'Lead Tracker'!$B:$B,"&lt;"&amp;EOMONTH($D$12,0)+1)</f>
        <v>0</v>
      </c>
    </row>
    <row r="27" spans="4:18">
      <c r="D27" s="274" t="s">
        <v>51</v>
      </c>
      <c r="E27" s="270">
        <f>COUNTIFS(
'Lead Tracker'!M:M,D27,
'Lead Tracker'!B:B,"&gt;="&amp;EOMONTH($D$12,-1)+1,
'Lead Tracker'!B:B,"&lt;"&amp;EOMONTH($D$12,0)+1
)</f>
        <v>61</v>
      </c>
      <c r="F27" s="285">
        <f>COUNTIFS(
'Lead Tracker'!$M:$M,D27,
'Lead Tracker'!$J:$J,$F$3,
'Lead Tracker'!$B:$B,"&gt;="&amp;EOMONTH($D$12,-1)+1,
'Lead Tracker'!$B:$B,"&lt;"&amp;EOMONTH($D$12,0)+1
)</f>
        <v>12</v>
      </c>
      <c r="G27" s="285">
        <f>COUNTIFS(
'Lead Tracker'!$M:$M,D27,
'Lead Tracker'!$J:$J,$G$3,
'Lead Tracker'!$B:$B,"&gt;="&amp;EOMONTH($D$12,-1)+1,
'Lead Tracker'!$B:$B,"&lt;"&amp;EOMONTH($D$12,0)+1
)</f>
        <v>1</v>
      </c>
      <c r="H27" s="285">
        <f>COUNTIFS(
'Lead Tracker'!$M:$M,D27,
'Lead Tracker'!$J:$J,$H$3,
'Lead Tracker'!$B:$B,"&gt;="&amp;EOMONTH($D$12,-1)+1,
'Lead Tracker'!$B:$B,"&lt;"&amp;EOMONTH($D$12,0)+1
)</f>
        <v>3</v>
      </c>
      <c r="I27" s="285">
        <f>COUNTIFS('Lead Tracker'!$M:$M,D27,'Lead Tracker'!$J:$J,$I$3,'Lead Tracker'!$B:$B,"&gt;="&amp;EOMONTH($D$12,-1)+1,
'Lead Tracker'!$B:$B,"&lt;"&amp;EOMONTH($D$12,0)+1
)</f>
        <v>4</v>
      </c>
      <c r="J27" s="285">
        <f>COUNTIFS('Lead Tracker'!$M:$M,D27,'Lead Tracker'!$J:$J,$J$3, 'Lead Tracker'!$B:$B,"&gt;="&amp;EOMONTH($D$12,-1)+1,
'Lead Tracker'!$B:$B,"&lt;"&amp;EOMONTH($D$12,0)+1
)</f>
        <v>6</v>
      </c>
      <c r="K27" s="285">
        <f>COUNTIFS('Lead Tracker'!$M:$M,D27,'Lead Tracker'!$J:$J,$K$3, 'Lead Tracker'!$B:$B,"&gt;="&amp;EOMONTH($D$12,-1)+1,
'Lead Tracker'!$B:$B,"&lt;"&amp;EOMONTH($D$12,0)+1
)</f>
        <v>0</v>
      </c>
      <c r="L27" s="285">
        <f>COUNTIFS('Lead Tracker'!$M:$M,D27,'Lead Tracker'!$J:$J,$L$3, 'Lead Tracker'!$B:$B,"&gt;="&amp;EOMONTH($D$12,-1)+1,
'Lead Tracker'!$B:$B,"&lt;"&amp;EOMONTH($D$12,0)+1
)</f>
        <v>12</v>
      </c>
      <c r="M27" s="285">
        <f>COUNTIFS('Lead Tracker'!$M:$M,D27,'Lead Tracker'!$J:$J,$M$3, 'Lead Tracker'!$B:$B,"&gt;="&amp;EOMONTH($D$12,-1)+1,
'Lead Tracker'!$B:$B,"&lt;"&amp;EOMONTH($D$12,0)+1
)</f>
        <v>8</v>
      </c>
      <c r="N27" s="285">
        <f>COUNTIFS('Lead Tracker'!$M:$M,D27,'Lead Tracker'!$J:$J,$N$3, 'Lead Tracker'!$B:$B,"&gt;="&amp;EOMONTH($D$12,-1)+1,
'Lead Tracker'!$B:$B,"&lt;"&amp;EOMONTH($D$12,0)+1
)</f>
        <v>12</v>
      </c>
      <c r="O27" s="285">
        <f>COUNTIFS('Lead Tracker'!$M:$M,D27,'Lead Tracker'!$J:$J,$O$3, 'Lead Tracker'!$B:$B,"&gt;="&amp;EOMONTH($D$12,-1)+1,
'Lead Tracker'!$B:$B,"&lt;"&amp;EOMONTH($D$12,0)+1
)</f>
        <v>1</v>
      </c>
      <c r="P27" s="287">
        <f>COUNTIFS('Lead Tracker'!$M:$M,D27,'Lead Tracker'!$J:$J,$P$3, 'Lead Tracker'!$B:$B,"&gt;="&amp;EOMONTH($D$12,-1)+1,
'Lead Tracker'!$B:$B,"&lt;"&amp;EOMONTH($D$12,0)+1)</f>
        <v>2</v>
      </c>
    </row>
    <row r="28" spans="4:18">
      <c r="D28" s="275" t="s">
        <v>44</v>
      </c>
      <c r="E28" s="276">
        <f>COUNTIFS(
'Lead Tracker'!M:M,D28,
'Lead Tracker'!B:B,"&gt;="&amp;EOMONTH($D$12,-1)+1,
'Lead Tracker'!B:B,"&lt;"&amp;EOMONTH($D$12,0)+1
)</f>
        <v>36</v>
      </c>
      <c r="F28" s="293">
        <f>COUNTIFS(
'Lead Tracker'!$M:$M,D28,
'Lead Tracker'!$J:$J,$F$3,
'Lead Tracker'!$B:$B,"&gt;="&amp;EOMONTH($D$12,-1)+1,
'Lead Tracker'!$B:$B,"&lt;"&amp;EOMONTH($D$12,0)+1
)</f>
        <v>2</v>
      </c>
      <c r="G28" s="293">
        <f>COUNTIFS(
'Lead Tracker'!$M:$M,D28,
'Lead Tracker'!$J:$J,$G$3,
'Lead Tracker'!$B:$B,"&gt;="&amp;EOMONTH($D$12,-1)+1,
'Lead Tracker'!$B:$B,"&lt;"&amp;EOMONTH($D$12,0)+1
)</f>
        <v>1</v>
      </c>
      <c r="H28" s="293">
        <f>COUNTIFS(
'Lead Tracker'!$M:$M,D28,
'Lead Tracker'!$J:$J,$H$3,
'Lead Tracker'!$B:$B,"&gt;="&amp;EOMONTH($D$12,-1)+1,
'Lead Tracker'!$B:$B,"&lt;"&amp;EOMONTH($D$12,0)+1
)</f>
        <v>2</v>
      </c>
      <c r="I28" s="293">
        <f>COUNTIFS('Lead Tracker'!$M:$M,D28,'Lead Tracker'!$J:$J,$I$3,'Lead Tracker'!$B:$B,"&gt;="&amp;EOMONTH($D$12,-1)+1,
'Lead Tracker'!$B:$B,"&lt;"&amp;EOMONTH($D$12,0)+1
)</f>
        <v>4</v>
      </c>
      <c r="J28" s="293">
        <f>COUNTIFS('Lead Tracker'!$M:$M,D28,'Lead Tracker'!$J:$J,$J$3, 'Lead Tracker'!$B:$B,"&gt;="&amp;EOMONTH($D$12,-1)+1,
'Lead Tracker'!$B:$B,"&lt;"&amp;EOMONTH($D$12,0)+1
)</f>
        <v>8</v>
      </c>
      <c r="K28" s="293">
        <f>COUNTIFS('Lead Tracker'!$M:$M,D28,'Lead Tracker'!$J:$J,$K$3, 'Lead Tracker'!$B:$B,"&gt;="&amp;EOMONTH($D$12,-1)+1,
'Lead Tracker'!$B:$B,"&lt;"&amp;EOMONTH($D$12,0)+1
)</f>
        <v>1</v>
      </c>
      <c r="L28" s="293">
        <f>COUNTIFS('Lead Tracker'!$M:$M,D28,'Lead Tracker'!$J:$J,$L$3, 'Lead Tracker'!$B:$B,"&gt;="&amp;EOMONTH($D$12,-1)+1,
'Lead Tracker'!$B:$B,"&lt;"&amp;EOMONTH($D$12,0)+1
)</f>
        <v>8</v>
      </c>
      <c r="M28" s="293">
        <f>COUNTIFS('Lead Tracker'!$M:$M,D28,'Lead Tracker'!$J:$J,$M$3, 'Lead Tracker'!$B:$B,"&gt;="&amp;EOMONTH($D$12,-1)+1,
'Lead Tracker'!$B:$B,"&lt;"&amp;EOMONTH($D$12,0)+1
)</f>
        <v>5</v>
      </c>
      <c r="N28" s="293">
        <f>COUNTIFS('Lead Tracker'!$M:$M,D28,'Lead Tracker'!$J:$J,$N$3, 'Lead Tracker'!$B:$B,"&gt;="&amp;EOMONTH($D$12,-1)+1,
'Lead Tracker'!$B:$B,"&lt;"&amp;EOMONTH($D$12,0)+1
)</f>
        <v>4</v>
      </c>
      <c r="O28" s="293">
        <f>COUNTIFS('Lead Tracker'!$M:$M,D28,'Lead Tracker'!$J:$J,$O$3, 'Lead Tracker'!$B:$B,"&gt;="&amp;EOMONTH($D$12,-1)+1,
'Lead Tracker'!$B:$B,"&lt;"&amp;EOMONTH($D$12,0)+1
)</f>
        <v>1</v>
      </c>
      <c r="P28" s="294">
        <f>COUNTIFS('Lead Tracker'!$M:$M,D28,'Lead Tracker'!$J:$J,$P$3, 'Lead Tracker'!$B:$B,"&gt;="&amp;EOMONTH($D$12,-1)+1,
'Lead Tracker'!$B:$B,"&lt;"&amp;EOMONTH($D$12,0)+1)</f>
        <v>0</v>
      </c>
    </row>
    <row r="29" spans="4:18">
      <c r="D29" s="305"/>
      <c r="E29" s="306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300"/>
    </row>
    <row r="30" spans="4:18">
      <c r="D30" s="337" t="s">
        <v>628</v>
      </c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9"/>
    </row>
    <row r="31" spans="4:18">
      <c r="D31" s="333" t="s">
        <v>626</v>
      </c>
      <c r="E31" s="334"/>
      <c r="F31" s="307" t="s">
        <v>145</v>
      </c>
      <c r="G31" s="308" t="s">
        <v>245</v>
      </c>
      <c r="H31" s="308" t="s">
        <v>84</v>
      </c>
      <c r="I31" s="308" t="s">
        <v>54</v>
      </c>
      <c r="J31" s="308" t="s">
        <v>41</v>
      </c>
      <c r="K31" s="308" t="s">
        <v>213</v>
      </c>
      <c r="L31" s="308" t="s">
        <v>25</v>
      </c>
      <c r="M31" s="308" t="s">
        <v>91</v>
      </c>
      <c r="N31" s="308" t="s">
        <v>101</v>
      </c>
      <c r="O31" s="309" t="s">
        <v>345</v>
      </c>
      <c r="P31" s="310" t="s">
        <v>463</v>
      </c>
      <c r="R31" s="271" t="str">
        <f>D30</f>
        <v>PRODUCTS</v>
      </c>
    </row>
    <row r="32" spans="4:18">
      <c r="D32" s="273" t="s">
        <v>605</v>
      </c>
      <c r="E32" s="280">
        <f>COUNTIFS(
'Lead Tracker'!F:F,D32,
'Lead Tracker'!B:B,"&gt;="&amp;EOMONTH($D$12,-1)+1,
'Lead Tracker'!B:B,"&lt;"&amp;EOMONTH($D$12,0)+1
)</f>
        <v>0</v>
      </c>
      <c r="F32" s="291">
        <f>COUNTIFS(
'Lead Tracker'!$F:$F,$D$32,
'Lead Tracker'!$J:$J,$F$3,
'Lead Tracker'!$B:$B,"&gt;="&amp;EOMONTH($D$12,-1)+1,
'Lead Tracker'!$B:$B,"&lt;"&amp;EOMONTH($D$12,0)+1
)</f>
        <v>0</v>
      </c>
      <c r="G32" s="291">
        <f>COUNTIFS(
'Lead Tracker'!$F:$F,$D32,
'Lead Tracker'!$J:$J,G3,
'Lead Tracker'!$B:$B,"&gt;="&amp;EOMONTH($D$12,-1)+1,
'Lead Tracker'!$B:$B,"&lt;"&amp;EOMONTH($D$12,0)+1
)</f>
        <v>0</v>
      </c>
      <c r="H32" s="291">
        <f>COUNTIFS(
'Lead Tracker'!$F:$F,$D32,
'Lead Tracker'!$J:$J,$H$3,
'Lead Tracker'!$B:$B,"&gt;="&amp;EOMONTH($D$12,-1)+1,
'Lead Tracker'!$B:$B,"&lt;"&amp;EOMONTH($D$12,0)+1
)</f>
        <v>0</v>
      </c>
      <c r="I32" s="291">
        <f>COUNTIFS(
'Lead Tracker'!$F:$F,$D32,
'Lead Tracker'!$J:$J,$I$3,
'Lead Tracker'!$B:$B,"&gt;="&amp;EOMONTH($D$12,-1)+1,
'Lead Tracker'!$B:$B,"&lt;"&amp;EOMONTH($D$12,0)+1
)</f>
        <v>0</v>
      </c>
      <c r="J32" s="291">
        <f>COUNTIFS(
'Lead Tracker'!$F:$F,$D32,
'Lead Tracker'!$J:$J,$J$3,
'Lead Tracker'!$B:$B,"&gt;="&amp;EOMONTH($D$12,-1)+1,
'Lead Tracker'!$B:$B,"&lt;"&amp;EOMONTH($D$12,0)+1
)</f>
        <v>0</v>
      </c>
      <c r="K32" s="291">
        <f>COUNTIFS(
'Lead Tracker'!$F:$F,$D32,
'Lead Tracker'!$J:$J,$K$3,
'Lead Tracker'!$B:$B,"&gt;="&amp;EOMONTH($D$12,-1)+1,
'Lead Tracker'!$B:$B,"&lt;"&amp;EOMONTH($D$12,0)+1
)</f>
        <v>0</v>
      </c>
      <c r="L32" s="291">
        <f>COUNTIFS(
'Lead Tracker'!$F:$F,$D32,
'Lead Tracker'!$J:$J,$L$3,
'Lead Tracker'!$B:$B,"&gt;="&amp;EOMONTH($D$12,-1)+1,
'Lead Tracker'!$B:$B,"&lt;"&amp;EOMONTH($D$12,0)+1
)</f>
        <v>0</v>
      </c>
      <c r="M32" s="291">
        <f>COUNTIFS(
'Lead Tracker'!$F:$F,$D32,
'Lead Tracker'!$J:$J,$M$3,
'Lead Tracker'!$B:$B,"&gt;="&amp;EOMONTH($D$12,-1)+1,
'Lead Tracker'!$B:$B,"&lt;"&amp;EOMONTH($D$12,0)+1
)</f>
        <v>0</v>
      </c>
      <c r="N32" s="291">
        <f>COUNTIFS(
'Lead Tracker'!$F:$F,$D32,
'Lead Tracker'!$J:$J,$N$3,
'Lead Tracker'!$B:$B,"&gt;="&amp;EOMONTH($D$12,-1)+1,
'Lead Tracker'!$B:$B,"&lt;"&amp;EOMONTH($D$12,0)+1
)</f>
        <v>0</v>
      </c>
      <c r="O32" s="291">
        <f>COUNTIFS(
'Lead Tracker'!$F:$F,$D32,
'Lead Tracker'!$J:$J,$O$3,
'Lead Tracker'!$B:$B,"&gt;="&amp;EOMONTH($D$12,-1)+1,
'Lead Tracker'!$B:$B,"&lt;"&amp;EOMONTH($D$12,0)+1
)</f>
        <v>0</v>
      </c>
      <c r="P32" s="292">
        <f>COUNTIFS(
'Lead Tracker'!$F:$F,$D32,
'Lead Tracker'!$J:$J,$P$3,
'Lead Tracker'!$B:$B,"&gt;="&amp;EOMONTH($D$12,-1)+1,
'Lead Tracker'!$B:$B,"&lt;"&amp;EOMONTH($D$12,0)+1
)</f>
        <v>0</v>
      </c>
    </row>
    <row r="33" spans="4:16">
      <c r="D33" s="274" t="s">
        <v>259</v>
      </c>
      <c r="E33" s="281">
        <f>COUNTIFS(
'Lead Tracker'!F:F,D33,
'Lead Tracker'!B:B,"&gt;="&amp;EOMONTH($D$12,-1)+1,
'Lead Tracker'!B:B,"&lt;"&amp;EOMONTH($D$12,0)+1
)</f>
        <v>3</v>
      </c>
      <c r="F33" s="293">
        <f>COUNTIFS(
'Lead Tracker'!$F:$F,D33,
'Lead Tracker'!$J:$J,$F$3,
'Lead Tracker'!$B:$B,"&gt;="&amp;EOMONTH($D$12,-1)+1,
'Lead Tracker'!$B:$B,"&lt;"&amp;EOMONTH($D$12,0)+1
)</f>
        <v>0</v>
      </c>
      <c r="G33" s="293">
        <f>COUNTIFS(
'Lead Tracker'!$F:$F,$D33,
'Lead Tracker'!$J:$J,$G$3,
'Lead Tracker'!$B:$B,"&gt;="&amp;EOMONTH($D$12,-1)+1,
'Lead Tracker'!$B:$B,"&lt;"&amp;EOMONTH($D$12,0)+1
)</f>
        <v>0</v>
      </c>
      <c r="H33" s="293">
        <f>COUNTIFS(
'Lead Tracker'!$F:$F,$D33,
'Lead Tracker'!$J:$J,$H$3,
'Lead Tracker'!$B:$B,"&gt;="&amp;EOMONTH($D$12,-1)+1,
'Lead Tracker'!$B:$B,"&lt;"&amp;EOMONTH($D$12,0)+1
)</f>
        <v>0</v>
      </c>
      <c r="I33" s="293">
        <f>COUNTIFS(
'Lead Tracker'!$F:$F,$D33,
'Lead Tracker'!$J:$J,$I$3,
'Lead Tracker'!$B:$B,"&gt;="&amp;EOMONTH($D$12,-1)+1,
'Lead Tracker'!$B:$B,"&lt;"&amp;EOMONTH($D$12,0)+1
)</f>
        <v>0</v>
      </c>
      <c r="J33" s="293">
        <f>COUNTIFS(
'Lead Tracker'!$F:$F,$D33,
'Lead Tracker'!$J:$J,$J$3,
'Lead Tracker'!$B:$B,"&gt;="&amp;EOMONTH($D$12,-1)+1,
'Lead Tracker'!$B:$B,"&lt;"&amp;EOMONTH($D$12,0)+1
)</f>
        <v>0</v>
      </c>
      <c r="K33" s="293">
        <f>COUNTIFS(
'Lead Tracker'!$F:$F,$D33,
'Lead Tracker'!$J:$J,$K$3,
'Lead Tracker'!$B:$B,"&gt;="&amp;EOMONTH($D$12,-1)+1,
'Lead Tracker'!$B:$B,"&lt;"&amp;EOMONTH($D$12,0)+1
)</f>
        <v>0</v>
      </c>
      <c r="L33" s="293">
        <f>COUNTIFS(
'Lead Tracker'!$F:$F,$D33,
'Lead Tracker'!$J:$J,$L$3,
'Lead Tracker'!$B:$B,"&gt;="&amp;EOMONTH($D$12,-1)+1,
'Lead Tracker'!$B:$B,"&lt;"&amp;EOMONTH($D$12,0)+1
)</f>
        <v>3</v>
      </c>
      <c r="M33" s="293">
        <f>COUNTIFS(
'Lead Tracker'!$F:$F,$D33,
'Lead Tracker'!$J:$J,$M$3,
'Lead Tracker'!$B:$B,"&gt;="&amp;EOMONTH($D$12,-1)+1,
'Lead Tracker'!$B:$B,"&lt;"&amp;EOMONTH($D$12,0)+1
)</f>
        <v>0</v>
      </c>
      <c r="N33" s="293">
        <f>COUNTIFS(
'Lead Tracker'!$F:$F,$D33,
'Lead Tracker'!$J:$J,$N$3,
'Lead Tracker'!$B:$B,"&gt;="&amp;EOMONTH($D$12,-1)+1,
'Lead Tracker'!$B:$B,"&lt;"&amp;EOMONTH($D$12,0)+1
)</f>
        <v>0</v>
      </c>
      <c r="O33" s="293">
        <f>COUNTIFS(
'Lead Tracker'!$F:$F,$D33,
'Lead Tracker'!$J:$J,$O$3,
'Lead Tracker'!$B:$B,"&gt;="&amp;EOMONTH($D$12,-1)+1,
'Lead Tracker'!$B:$B,"&lt;"&amp;EOMONTH($D$12,0)+1
)</f>
        <v>0</v>
      </c>
      <c r="P33" s="294">
        <f>COUNTIFS(
'Lead Tracker'!$F:$F,$D33,
'Lead Tracker'!$J:$J,$P$3,
'Lead Tracker'!$B:$B,"&gt;="&amp;EOMONTH($D$12,-1)+1,
'Lead Tracker'!$B:$B,"&lt;"&amp;EOMONTH($D$12,0)+1
)</f>
        <v>0</v>
      </c>
    </row>
    <row r="34" spans="4:16">
      <c r="D34" s="273" t="s">
        <v>607</v>
      </c>
      <c r="E34" s="281">
        <f>COUNTIFS(
'Lead Tracker'!F:F,D34,
'Lead Tracker'!B:B,"&gt;="&amp;EOMONTH($D$12,-1)+1,
'Lead Tracker'!B:B,"&lt;"&amp;EOMONTH($D$12,0)+1
)</f>
        <v>0</v>
      </c>
      <c r="F34" s="293">
        <f>COUNTIFS(
'Lead Tracker'!$F:$F,D34,
'Lead Tracker'!$J:$J,$F$3,
'Lead Tracker'!$B:$B,"&gt;="&amp;EOMONTH($D$12,-1)+1,
'Lead Tracker'!$B:$B,"&lt;"&amp;EOMONTH($D$12,0)+1
)</f>
        <v>0</v>
      </c>
      <c r="G34" s="293">
        <f>COUNTIFS(
'Lead Tracker'!$F:$F,$D34,
'Lead Tracker'!$J:$J,$G$3,
'Lead Tracker'!$B:$B,"&gt;="&amp;EOMONTH($D$12,-1)+1,
'Lead Tracker'!$B:$B,"&lt;"&amp;EOMONTH($D$12,0)+1
)</f>
        <v>0</v>
      </c>
      <c r="H34" s="293">
        <f>COUNTIFS(
'Lead Tracker'!$F:$F,$D34,
'Lead Tracker'!$J:$J,$H$3,
'Lead Tracker'!$B:$B,"&gt;="&amp;EOMONTH($D$12,-1)+1,
'Lead Tracker'!$B:$B,"&lt;"&amp;EOMONTH($D$12,0)+1
)</f>
        <v>0</v>
      </c>
      <c r="I34" s="293">
        <f>COUNTIFS(
'Lead Tracker'!$F:$F,$D34,
'Lead Tracker'!$J:$J,$I$3,
'Lead Tracker'!$B:$B,"&gt;="&amp;EOMONTH($D$12,-1)+1,
'Lead Tracker'!$B:$B,"&lt;"&amp;EOMONTH($D$12,0)+1
)</f>
        <v>0</v>
      </c>
      <c r="J34" s="293">
        <f>COUNTIFS(
'Lead Tracker'!$F:$F,$D34,
'Lead Tracker'!$J:$J,$J$3,
'Lead Tracker'!$B:$B,"&gt;="&amp;EOMONTH($D$12,-1)+1,
'Lead Tracker'!$B:$B,"&lt;"&amp;EOMONTH($D$12,0)+1
)</f>
        <v>0</v>
      </c>
      <c r="K34" s="293">
        <f>COUNTIFS(
'Lead Tracker'!$F:$F,$D34,
'Lead Tracker'!$J:$J,$K$3,
'Lead Tracker'!$B:$B,"&gt;="&amp;EOMONTH($D$12,-1)+1,
'Lead Tracker'!$B:$B,"&lt;"&amp;EOMONTH($D$12,0)+1
)</f>
        <v>0</v>
      </c>
      <c r="L34" s="293">
        <f>COUNTIFS(
'Lead Tracker'!$F:$F,$D34,
'Lead Tracker'!$J:$J,$L$3,
'Lead Tracker'!$B:$B,"&gt;="&amp;EOMONTH($D$12,-1)+1,
'Lead Tracker'!$B:$B,"&lt;"&amp;EOMONTH($D$12,0)+1
)</f>
        <v>0</v>
      </c>
      <c r="M34" s="293">
        <f>COUNTIFS(
'Lead Tracker'!$F:$F,$D34,
'Lead Tracker'!$J:$J,$M$3,
'Lead Tracker'!$B:$B,"&gt;="&amp;EOMONTH($D$12,-1)+1,
'Lead Tracker'!$B:$B,"&lt;"&amp;EOMONTH($D$12,0)+1
)</f>
        <v>0</v>
      </c>
      <c r="N34" s="293">
        <f>COUNTIFS(
'Lead Tracker'!$F:$F,$D34,
'Lead Tracker'!$J:$J,$N$3,
'Lead Tracker'!$B:$B,"&gt;="&amp;EOMONTH($D$12,-1)+1,
'Lead Tracker'!$B:$B,"&lt;"&amp;EOMONTH($D$12,0)+1
)</f>
        <v>0</v>
      </c>
      <c r="O34" s="293">
        <f>COUNTIFS(
'Lead Tracker'!$F:$F,$D34,
'Lead Tracker'!$J:$J,$O$3,
'Lead Tracker'!$B:$B,"&gt;="&amp;EOMONTH($D$12,-1)+1,
'Lead Tracker'!$B:$B,"&lt;"&amp;EOMONTH($D$12,0)+1
)</f>
        <v>0</v>
      </c>
      <c r="P34" s="294">
        <f>COUNTIFS(
'Lead Tracker'!$F:$F,$D34,
'Lead Tracker'!$J:$J,$P$3,
'Lead Tracker'!$B:$B,"&gt;="&amp;EOMONTH($D$12,-1)+1,
'Lead Tracker'!$B:$B,"&lt;"&amp;EOMONTH($D$12,0)+1
)</f>
        <v>0</v>
      </c>
    </row>
    <row r="35" spans="4:16">
      <c r="D35" s="274" t="s">
        <v>47</v>
      </c>
      <c r="E35" s="281">
        <f>COUNTIFS(
'Lead Tracker'!F:F,D35,
'Lead Tracker'!B:B,"&gt;="&amp;EOMONTH($D$12,-1)+1,
'Lead Tracker'!B:B,"&lt;"&amp;EOMONTH($D$12,0)+1
)</f>
        <v>30</v>
      </c>
      <c r="F35" s="293">
        <f>COUNTIFS(
'Lead Tracker'!$F:$F,D35,
'Lead Tracker'!$J:$J,$F$3,
'Lead Tracker'!$B:$B,"&gt;="&amp;EOMONTH($D$12,-1)+1,
'Lead Tracker'!$B:$B,"&lt;"&amp;EOMONTH($D$12,0)+1
)</f>
        <v>2</v>
      </c>
      <c r="G35" s="293">
        <f>COUNTIFS(
'Lead Tracker'!$F:$F,$D35,
'Lead Tracker'!$J:$J,$G$3,
'Lead Tracker'!$B:$B,"&gt;="&amp;EOMONTH($D$12,-1)+1,
'Lead Tracker'!$B:$B,"&lt;"&amp;EOMONTH($D$12,0)+1
)</f>
        <v>0</v>
      </c>
      <c r="H35" s="293">
        <f>COUNTIFS(
'Lead Tracker'!$F:$F,$D35,
'Lead Tracker'!$J:$J,$H$3,
'Lead Tracker'!$B:$B,"&gt;="&amp;EOMONTH($D$12,-1)+1,
'Lead Tracker'!$B:$B,"&lt;"&amp;EOMONTH($D$12,0)+1
)</f>
        <v>1</v>
      </c>
      <c r="I35" s="293">
        <f>COUNTIFS(
'Lead Tracker'!$F:$F,$D35,
'Lead Tracker'!$J:$J,$I$3,
'Lead Tracker'!$B:$B,"&gt;="&amp;EOMONTH($D$12,-1)+1,
'Lead Tracker'!$B:$B,"&lt;"&amp;EOMONTH($D$12,0)+1
)</f>
        <v>2</v>
      </c>
      <c r="J35" s="293">
        <f>COUNTIFS(
'Lead Tracker'!$F:$F,$D35,
'Lead Tracker'!$J:$J,$J$3,
'Lead Tracker'!$B:$B,"&gt;="&amp;EOMONTH($D$12,-1)+1,
'Lead Tracker'!$B:$B,"&lt;"&amp;EOMONTH($D$12,0)+1
)</f>
        <v>5</v>
      </c>
      <c r="K35" s="293">
        <f>COUNTIFS(
'Lead Tracker'!$F:$F,$D35,
'Lead Tracker'!$J:$J,$K$3,
'Lead Tracker'!$B:$B,"&gt;="&amp;EOMONTH($D$12,-1)+1,
'Lead Tracker'!$B:$B,"&lt;"&amp;EOMONTH($D$12,0)+1
)</f>
        <v>0</v>
      </c>
      <c r="L35" s="293">
        <f>COUNTIFS(
'Lead Tracker'!$F:$F,$D35,
'Lead Tracker'!$J:$J,$L$3,
'Lead Tracker'!$B:$B,"&gt;="&amp;EOMONTH($D$12,-1)+1,
'Lead Tracker'!$B:$B,"&lt;"&amp;EOMONTH($D$12,0)+1
)</f>
        <v>9</v>
      </c>
      <c r="M35" s="293">
        <f>COUNTIFS(
'Lead Tracker'!$F:$F,$D35,
'Lead Tracker'!$J:$J,$M$3,
'Lead Tracker'!$B:$B,"&gt;="&amp;EOMONTH($D$12,-1)+1,
'Lead Tracker'!$B:$B,"&lt;"&amp;EOMONTH($D$12,0)+1
)</f>
        <v>4</v>
      </c>
      <c r="N35" s="293">
        <f>COUNTIFS(
'Lead Tracker'!$F:$F,$D35,
'Lead Tracker'!$J:$J,$N$3,
'Lead Tracker'!$B:$B,"&gt;="&amp;EOMONTH($D$12,-1)+1,
'Lead Tracker'!$B:$B,"&lt;"&amp;EOMONTH($D$12,0)+1
)</f>
        <v>6</v>
      </c>
      <c r="O35" s="293">
        <f>COUNTIFS(
'Lead Tracker'!$F:$F,$D35,
'Lead Tracker'!$J:$J,$O$3,
'Lead Tracker'!$B:$B,"&gt;="&amp;EOMONTH($D$12,-1)+1,
'Lead Tracker'!$B:$B,"&lt;"&amp;EOMONTH($D$12,0)+1
)</f>
        <v>1</v>
      </c>
      <c r="P35" s="294">
        <f>COUNTIFS(
'Lead Tracker'!$F:$F,$D35,
'Lead Tracker'!$J:$J,$P$3,
'Lead Tracker'!$B:$B,"&gt;="&amp;EOMONTH($D$12,-1)+1,
'Lead Tracker'!$B:$B,"&lt;"&amp;EOMONTH($D$12,0)+1
)</f>
        <v>0</v>
      </c>
    </row>
    <row r="36" spans="4:16">
      <c r="D36" s="273" t="s">
        <v>32</v>
      </c>
      <c r="E36" s="281">
        <f>COUNTIFS(
'Lead Tracker'!F:F,D36,
'Lead Tracker'!B:B,"&gt;="&amp;EOMONTH($D$12,-1)+1,
'Lead Tracker'!B:B,"&lt;"&amp;EOMONTH($D$12,0)+1
)</f>
        <v>23</v>
      </c>
      <c r="F36" s="293">
        <f>COUNTIFS(
'Lead Tracker'!$F:$F,D36,
'Lead Tracker'!$J:$J,$F$3,
'Lead Tracker'!$B:$B,"&gt;="&amp;EOMONTH($D$12,-1)+1,
'Lead Tracker'!$B:$B,"&lt;"&amp;EOMONTH($D$12,0)+1
)</f>
        <v>6</v>
      </c>
      <c r="G36" s="293">
        <f>COUNTIFS(
'Lead Tracker'!$F:$F,$D36,
'Lead Tracker'!$J:$J,$G$3,
'Lead Tracker'!$B:$B,"&gt;="&amp;EOMONTH($D$12,-1)+1,
'Lead Tracker'!$B:$B,"&lt;"&amp;EOMONTH($D$12,0)+1
)</f>
        <v>1</v>
      </c>
      <c r="H36" s="293">
        <f>COUNTIFS(
'Lead Tracker'!$F:$F,$D36,
'Lead Tracker'!$J:$J,$H$3,
'Lead Tracker'!$B:$B,"&gt;="&amp;EOMONTH($D$12,-1)+1,
'Lead Tracker'!$B:$B,"&lt;"&amp;EOMONTH($D$12,0)+1
)</f>
        <v>1</v>
      </c>
      <c r="I36" s="293">
        <f>COUNTIFS(
'Lead Tracker'!$F:$F,$D36,
'Lead Tracker'!$J:$J,$I$3,
'Lead Tracker'!$B:$B,"&gt;="&amp;EOMONTH($D$12,-1)+1,
'Lead Tracker'!$B:$B,"&lt;"&amp;EOMONTH($D$12,0)+1
)</f>
        <v>1</v>
      </c>
      <c r="J36" s="293">
        <f>COUNTIFS(
'Lead Tracker'!$F:$F,$D36,
'Lead Tracker'!$J:$J,$J$3,
'Lead Tracker'!$B:$B,"&gt;="&amp;EOMONTH($D$12,-1)+1,
'Lead Tracker'!$B:$B,"&lt;"&amp;EOMONTH($D$12,0)+1
)</f>
        <v>1</v>
      </c>
      <c r="K36" s="293">
        <f>COUNTIFS(
'Lead Tracker'!$F:$F,$D36,
'Lead Tracker'!$J:$J,$K$3,
'Lead Tracker'!$B:$B,"&gt;="&amp;EOMONTH($D$12,-1)+1,
'Lead Tracker'!$B:$B,"&lt;"&amp;EOMONTH($D$12,0)+1
)</f>
        <v>0</v>
      </c>
      <c r="L36" s="293">
        <f>COUNTIFS(
'Lead Tracker'!$F:$F,$D36,
'Lead Tracker'!$J:$J,$L$3,
'Lead Tracker'!$B:$B,"&gt;="&amp;EOMONTH($D$12,-1)+1,
'Lead Tracker'!$B:$B,"&lt;"&amp;EOMONTH($D$12,0)+1
)</f>
        <v>6</v>
      </c>
      <c r="M36" s="293">
        <f>COUNTIFS(
'Lead Tracker'!$F:$F,$D36,
'Lead Tracker'!$J:$J,$M$3,
'Lead Tracker'!$B:$B,"&gt;="&amp;EOMONTH($D$12,-1)+1,
'Lead Tracker'!$B:$B,"&lt;"&amp;EOMONTH($D$12,0)+1
)</f>
        <v>3</v>
      </c>
      <c r="N36" s="293">
        <f>COUNTIFS(
'Lead Tracker'!$F:$F,$D36,
'Lead Tracker'!$J:$J,$N$3,
'Lead Tracker'!$B:$B,"&gt;="&amp;EOMONTH($D$12,-1)+1,
'Lead Tracker'!$B:$B,"&lt;"&amp;EOMONTH($D$12,0)+1
)</f>
        <v>3</v>
      </c>
      <c r="O36" s="293">
        <f>COUNTIFS(
'Lead Tracker'!$F:$F,$D36,
'Lead Tracker'!$J:$J,$O$3,
'Lead Tracker'!$B:$B,"&gt;="&amp;EOMONTH($D$12,-1)+1,
'Lead Tracker'!$B:$B,"&lt;"&amp;EOMONTH($D$12,0)+1
)</f>
        <v>0</v>
      </c>
      <c r="P36" s="294">
        <f>COUNTIFS(
'Lead Tracker'!$F:$F,$D36,
'Lead Tracker'!$J:$J,$P$3,
'Lead Tracker'!$B:$B,"&gt;="&amp;EOMONTH($D$12,-1)+1,
'Lead Tracker'!$B:$B,"&lt;"&amp;EOMONTH($D$12,0)+1
)</f>
        <v>1</v>
      </c>
    </row>
    <row r="37" spans="4:16">
      <c r="D37" s="277" t="s">
        <v>38</v>
      </c>
      <c r="E37" s="281">
        <f>COUNTIFS(
'Lead Tracker'!F:F,D37,
'Lead Tracker'!B:B,"&gt;="&amp;EOMONTH($D$12,-1)+1,
'Lead Tracker'!B:B,"&lt;"&amp;EOMONTH($D$12,0)+1
)</f>
        <v>43</v>
      </c>
      <c r="F37" s="293">
        <f>COUNTIFS(
'Lead Tracker'!$F:$F,D37,
'Lead Tracker'!$J:$J,$F$3,
'Lead Tracker'!$B:$B,"&gt;="&amp;EOMONTH($D$12,-1)+1,
'Lead Tracker'!$B:$B,"&lt;"&amp;EOMONTH($D$12,0)+1
)</f>
        <v>1</v>
      </c>
      <c r="G37" s="293">
        <f>COUNTIFS(
'Lead Tracker'!$F:$F,$D37,
'Lead Tracker'!$J:$J,$G$3,
'Lead Tracker'!$B:$B,"&gt;="&amp;EOMONTH($D$12,-1)+1,
'Lead Tracker'!$B:$B,"&lt;"&amp;EOMONTH($D$12,0)+1
)</f>
        <v>1</v>
      </c>
      <c r="H37" s="293">
        <f>COUNTIFS(
'Lead Tracker'!$F:$F,$D37,
'Lead Tracker'!$J:$J,$H$3,
'Lead Tracker'!$B:$B,"&gt;="&amp;EOMONTH($D$12,-1)+1,
'Lead Tracker'!$B:$B,"&lt;"&amp;EOMONTH($D$12,0)+1
)</f>
        <v>2</v>
      </c>
      <c r="I37" s="293">
        <f>COUNTIFS(
'Lead Tracker'!$F:$F,$D37,
'Lead Tracker'!$J:$J,$I$3,
'Lead Tracker'!$B:$B,"&gt;="&amp;EOMONTH($D$12,-1)+1,
'Lead Tracker'!$B:$B,"&lt;"&amp;EOMONTH($D$12,0)+1
)</f>
        <v>5</v>
      </c>
      <c r="J37" s="293">
        <f>COUNTIFS(
'Lead Tracker'!$F:$F,$D37,
'Lead Tracker'!$J:$J,$J$3,
'Lead Tracker'!$B:$B,"&gt;="&amp;EOMONTH($D$12,-1)+1,
'Lead Tracker'!$B:$B,"&lt;"&amp;EOMONTH($D$12,0)+1
)</f>
        <v>8</v>
      </c>
      <c r="K37" s="293">
        <f>COUNTIFS(
'Lead Tracker'!$F:$F,$D37,
'Lead Tracker'!$J:$J,$K$3,
'Lead Tracker'!$B:$B,"&gt;="&amp;EOMONTH($D$12,-1)+1,
'Lead Tracker'!$B:$B,"&lt;"&amp;EOMONTH($D$12,0)+1
)</f>
        <v>1</v>
      </c>
      <c r="L37" s="293">
        <f>COUNTIFS(
'Lead Tracker'!$F:$F,$D37,
'Lead Tracker'!$J:$J,$L$3,
'Lead Tracker'!$B:$B,"&gt;="&amp;EOMONTH($D$12,-1)+1,
'Lead Tracker'!$B:$B,"&lt;"&amp;EOMONTH($D$12,0)+1
)</f>
        <v>13</v>
      </c>
      <c r="M37" s="293">
        <f>COUNTIFS(
'Lead Tracker'!$F:$F,$D37,
'Lead Tracker'!$J:$J,$M$3,
'Lead Tracker'!$B:$B,"&gt;="&amp;EOMONTH($D$12,-1)+1,
'Lead Tracker'!$B:$B,"&lt;"&amp;EOMONTH($D$12,0)+1
)</f>
        <v>6</v>
      </c>
      <c r="N37" s="293">
        <f>COUNTIFS(
'Lead Tracker'!$F:$F,$D37,
'Lead Tracker'!$J:$J,$N$3,
'Lead Tracker'!$B:$B,"&gt;="&amp;EOMONTH($D$12,-1)+1,
'Lead Tracker'!$B:$B,"&lt;"&amp;EOMONTH($D$12,0)+1
)</f>
        <v>4</v>
      </c>
      <c r="O37" s="293">
        <f>COUNTIFS(
'Lead Tracker'!$F:$F,$D37,
'Lead Tracker'!$J:$J,$O$3,
'Lead Tracker'!$B:$B,"&gt;="&amp;EOMONTH($D$12,-1)+1,
'Lead Tracker'!$B:$B,"&lt;"&amp;EOMONTH($D$12,0)+1
)</f>
        <v>1</v>
      </c>
      <c r="P37" s="294">
        <f>COUNTIFS(
'Lead Tracker'!$F:$F,$D37,
'Lead Tracker'!$J:$J,$P$3,
'Lead Tracker'!$B:$B,"&gt;="&amp;EOMONTH($D$12,-1)+1,
'Lead Tracker'!$B:$B,"&lt;"&amp;EOMONTH($D$12,0)+1
)</f>
        <v>1</v>
      </c>
    </row>
    <row r="38" spans="4:16">
      <c r="D38" s="273" t="s">
        <v>128</v>
      </c>
      <c r="E38" s="281">
        <f>COUNTIFS(
'Lead Tracker'!F:F,D38,
'Lead Tracker'!B:B,"&gt;="&amp;EOMONTH($D$12,-1)+1,
'Lead Tracker'!B:B,"&lt;"&amp;EOMONTH($D$12,0)+1
)</f>
        <v>7</v>
      </c>
      <c r="F38" s="293">
        <f>COUNTIFS(
'Lead Tracker'!$F:$F,D38,
'Lead Tracker'!$J:$J,$F$3,
'Lead Tracker'!$B:$B,"&gt;="&amp;EOMONTH($D$12,-1)+1,
'Lead Tracker'!$B:$B,"&lt;"&amp;EOMONTH($D$12,0)+1
)</f>
        <v>2</v>
      </c>
      <c r="G38" s="293">
        <f>COUNTIFS(
'Lead Tracker'!$F:$F,$D38,
'Lead Tracker'!$J:$J,$G$3,
'Lead Tracker'!$B:$B,"&gt;="&amp;EOMONTH($D$12,-1)+1,
'Lead Tracker'!$B:$B,"&lt;"&amp;EOMONTH($D$12,0)+1
)</f>
        <v>0</v>
      </c>
      <c r="H38" s="293">
        <f>COUNTIFS(
'Lead Tracker'!$F:$F,$D38,
'Lead Tracker'!$J:$J,$H$3,
'Lead Tracker'!$B:$B,"&gt;="&amp;EOMONTH($D$12,-1)+1,
'Lead Tracker'!$B:$B,"&lt;"&amp;EOMONTH($D$12,0)+1
)</f>
        <v>0</v>
      </c>
      <c r="I38" s="293">
        <f>COUNTIFS(
'Lead Tracker'!$F:$F,$D38,
'Lead Tracker'!$J:$J,$I$3,
'Lead Tracker'!$B:$B,"&gt;="&amp;EOMONTH($D$12,-1)+1,
'Lead Tracker'!$B:$B,"&lt;"&amp;EOMONTH($D$12,0)+1
)</f>
        <v>1</v>
      </c>
      <c r="J38" s="293">
        <f>COUNTIFS(
'Lead Tracker'!$F:$F,$D38,
'Lead Tracker'!$J:$J,$J$3,
'Lead Tracker'!$B:$B,"&gt;="&amp;EOMONTH($D$12,-1)+1,
'Lead Tracker'!$B:$B,"&lt;"&amp;EOMONTH($D$12,0)+1
)</f>
        <v>0</v>
      </c>
      <c r="K38" s="293">
        <f>COUNTIFS(
'Lead Tracker'!$F:$F,$D38,
'Lead Tracker'!$J:$J,$K$3,
'Lead Tracker'!$B:$B,"&gt;="&amp;EOMONTH($D$12,-1)+1,
'Lead Tracker'!$B:$B,"&lt;"&amp;EOMONTH($D$12,0)+1
)</f>
        <v>0</v>
      </c>
      <c r="L38" s="293">
        <f>COUNTIFS(
'Lead Tracker'!$F:$F,$D38,
'Lead Tracker'!$J:$J,$L$3,
'Lead Tracker'!$B:$B,"&gt;="&amp;EOMONTH($D$12,-1)+1,
'Lead Tracker'!$B:$B,"&lt;"&amp;EOMONTH($D$12,0)+1
)</f>
        <v>1</v>
      </c>
      <c r="M38" s="293">
        <f>COUNTIFS(
'Lead Tracker'!$F:$F,$D38,
'Lead Tracker'!$J:$J,$M$3,
'Lead Tracker'!$B:$B,"&gt;="&amp;EOMONTH($D$12,-1)+1,
'Lead Tracker'!$B:$B,"&lt;"&amp;EOMONTH($D$12,0)+1
)</f>
        <v>1</v>
      </c>
      <c r="N38" s="293">
        <f>COUNTIFS(
'Lead Tracker'!$F:$F,$D38,
'Lead Tracker'!$J:$J,$N$3,
'Lead Tracker'!$B:$B,"&gt;="&amp;EOMONTH($D$12,-1)+1,
'Lead Tracker'!$B:$B,"&lt;"&amp;EOMONTH($D$12,0)+1
)</f>
        <v>2</v>
      </c>
      <c r="O38" s="293">
        <f>COUNTIFS(
'Lead Tracker'!$F:$F,$D38,
'Lead Tracker'!$J:$J,$O$3,
'Lead Tracker'!$B:$B,"&gt;="&amp;EOMONTH($D$12,-1)+1,
'Lead Tracker'!$B:$B,"&lt;"&amp;EOMONTH($D$12,0)+1
)</f>
        <v>0</v>
      </c>
      <c r="P38" s="294">
        <f>COUNTIFS(
'Lead Tracker'!$F:$F,$D38,
'Lead Tracker'!$J:$J,$P$3,
'Lead Tracker'!$B:$B,"&gt;="&amp;EOMONTH($D$12,-1)+1,
'Lead Tracker'!$B:$B,"&lt;"&amp;EOMONTH($D$12,0)+1
)</f>
        <v>0</v>
      </c>
    </row>
    <row r="39" spans="4:16">
      <c r="D39" s="274" t="s">
        <v>64</v>
      </c>
      <c r="E39" s="281">
        <f>COUNTIFS(
'Lead Tracker'!F:F,D39,
'Lead Tracker'!B:B,"&gt;="&amp;EOMONTH($D$12,-1)+1,
'Lead Tracker'!B:B,"&lt;"&amp;EOMONTH($D$12,0)+1
)</f>
        <v>5</v>
      </c>
      <c r="F39" s="293">
        <f>COUNTIFS(
'Lead Tracker'!$F:$F,D39,
'Lead Tracker'!$J:$J,$F$3,
'Lead Tracker'!$B:$B,"&gt;="&amp;EOMONTH($D$12,-1)+1,
'Lead Tracker'!$B:$B,"&lt;"&amp;EOMONTH($D$12,0)+1
)</f>
        <v>3</v>
      </c>
      <c r="G39" s="293">
        <f>COUNTIFS(
'Lead Tracker'!$F:$F,$D39,
'Lead Tracker'!$J:$J,$G$3,
'Lead Tracker'!$B:$B,"&gt;="&amp;EOMONTH($D$12,-1)+1,
'Lead Tracker'!$B:$B,"&lt;"&amp;EOMONTH($D$12,0)+1
)</f>
        <v>0</v>
      </c>
      <c r="H39" s="293">
        <f>COUNTIFS(
'Lead Tracker'!$F:$F,$D39,
'Lead Tracker'!$J:$J,$H$3,
'Lead Tracker'!$B:$B,"&gt;="&amp;EOMONTH($D$12,-1)+1,
'Lead Tracker'!$B:$B,"&lt;"&amp;EOMONTH($D$12,0)+1
)</f>
        <v>0</v>
      </c>
      <c r="I39" s="293">
        <f>COUNTIFS(
'Lead Tracker'!$F:$F,$D39,
'Lead Tracker'!$J:$J,$I$3,
'Lead Tracker'!$B:$B,"&gt;="&amp;EOMONTH($D$12,-1)+1,
'Lead Tracker'!$B:$B,"&lt;"&amp;EOMONTH($D$12,0)+1
)</f>
        <v>0</v>
      </c>
      <c r="J39" s="293">
        <f>COUNTIFS(
'Lead Tracker'!$F:$F,$D39,
'Lead Tracker'!$J:$J,$J$3,
'Lead Tracker'!$B:$B,"&gt;="&amp;EOMONTH($D$12,-1)+1,
'Lead Tracker'!$B:$B,"&lt;"&amp;EOMONTH($D$12,0)+1
)</f>
        <v>0</v>
      </c>
      <c r="K39" s="293">
        <f>COUNTIFS(
'Lead Tracker'!$F:$F,$D39,
'Lead Tracker'!$J:$J,$K$3,
'Lead Tracker'!$B:$B,"&gt;="&amp;EOMONTH($D$12,-1)+1,
'Lead Tracker'!$B:$B,"&lt;"&amp;EOMONTH($D$12,0)+1
)</f>
        <v>0</v>
      </c>
      <c r="L39" s="293">
        <f>COUNTIFS(
'Lead Tracker'!$F:$F,$D39,
'Lead Tracker'!$J:$J,$L$3,
'Lead Tracker'!$B:$B,"&gt;="&amp;EOMONTH($D$12,-1)+1,
'Lead Tracker'!$B:$B,"&lt;"&amp;EOMONTH($D$12,0)+1
)</f>
        <v>1</v>
      </c>
      <c r="M39" s="293">
        <f>COUNTIFS(
'Lead Tracker'!$F:$F,$D39,
'Lead Tracker'!$J:$J,$M$3,
'Lead Tracker'!$B:$B,"&gt;="&amp;EOMONTH($D$12,-1)+1,
'Lead Tracker'!$B:$B,"&lt;"&amp;EOMONTH($D$12,0)+1
)</f>
        <v>0</v>
      </c>
      <c r="N39" s="293">
        <f>COUNTIFS(
'Lead Tracker'!$F:$F,$D39,
'Lead Tracker'!$J:$J,$N$3,
'Lead Tracker'!$B:$B,"&gt;="&amp;EOMONTH($D$12,-1)+1,
'Lead Tracker'!$B:$B,"&lt;"&amp;EOMONTH($D$12,0)+1
)</f>
        <v>1</v>
      </c>
      <c r="O39" s="293">
        <f>COUNTIFS(
'Lead Tracker'!$F:$F,$D39,
'Lead Tracker'!$J:$J,$O$3,
'Lead Tracker'!$B:$B,"&gt;="&amp;EOMONTH($D$12,-1)+1,
'Lead Tracker'!$B:$B,"&lt;"&amp;EOMONTH($D$12,0)+1
)</f>
        <v>0</v>
      </c>
      <c r="P39" s="294">
        <f>COUNTIFS(
'Lead Tracker'!$F:$F,$D39,
'Lead Tracker'!$J:$J,$P$3,
'Lead Tracker'!$B:$B,"&gt;="&amp;EOMONTH($D$12,-1)+1,
'Lead Tracker'!$B:$B,"&lt;"&amp;EOMONTH($D$12,0)+1
)</f>
        <v>0</v>
      </c>
    </row>
    <row r="40" spans="4:16">
      <c r="D40" s="273" t="s">
        <v>616</v>
      </c>
      <c r="E40" s="281">
        <f>COUNTIFS(
'Lead Tracker'!F:F,D40,
'Lead Tracker'!B:B,"&gt;="&amp;EOMONTH($D$12,-1)+1,
'Lead Tracker'!B:B,"&lt;"&amp;EOMONTH($D$12,0)+1
)</f>
        <v>0</v>
      </c>
      <c r="F40" s="293">
        <f>COUNTIFS(
'Lead Tracker'!$F:$F,D40,
'Lead Tracker'!$J:$J,$F$3,
'Lead Tracker'!$B:$B,"&gt;="&amp;EOMONTH($D$12,-1)+1,
'Lead Tracker'!$B:$B,"&lt;"&amp;EOMONTH($D$12,0)+1
)</f>
        <v>0</v>
      </c>
      <c r="G40" s="293">
        <f>COUNTIFS(
'Lead Tracker'!$F:$F,$D40,
'Lead Tracker'!$J:$J,$G$3,
'Lead Tracker'!$B:$B,"&gt;="&amp;EOMONTH($D$12,-1)+1,
'Lead Tracker'!$B:$B,"&lt;"&amp;EOMONTH($D$12,0)+1
)</f>
        <v>0</v>
      </c>
      <c r="H40" s="293">
        <f>COUNTIFS(
'Lead Tracker'!$F:$F,$D40,
'Lead Tracker'!$J:$J,$H$3,
'Lead Tracker'!$B:$B,"&gt;="&amp;EOMONTH($D$12,-1)+1,
'Lead Tracker'!$B:$B,"&lt;"&amp;EOMONTH($D$12,0)+1
)</f>
        <v>0</v>
      </c>
      <c r="I40" s="293">
        <f>COUNTIFS(
'Lead Tracker'!$F:$F,$D40,
'Lead Tracker'!$J:$J,$I$3,
'Lead Tracker'!$B:$B,"&gt;="&amp;EOMONTH($D$12,-1)+1,
'Lead Tracker'!$B:$B,"&lt;"&amp;EOMONTH($D$12,0)+1
)</f>
        <v>0</v>
      </c>
      <c r="J40" s="293">
        <f>COUNTIFS(
'Lead Tracker'!$F:$F,$D40,
'Lead Tracker'!$J:$J,$J$3,
'Lead Tracker'!$B:$B,"&gt;="&amp;EOMONTH($D$12,-1)+1,
'Lead Tracker'!$B:$B,"&lt;"&amp;EOMONTH($D$12,0)+1
)</f>
        <v>0</v>
      </c>
      <c r="K40" s="293">
        <f>COUNTIFS(
'Lead Tracker'!$F:$F,$D40,
'Lead Tracker'!$J:$J,$K$3,
'Lead Tracker'!$B:$B,"&gt;="&amp;EOMONTH($D$12,-1)+1,
'Lead Tracker'!$B:$B,"&lt;"&amp;EOMONTH($D$12,0)+1
)</f>
        <v>0</v>
      </c>
      <c r="L40" s="293">
        <f>COUNTIFS(
'Lead Tracker'!$F:$F,$D40,
'Lead Tracker'!$J:$J,$L$3,
'Lead Tracker'!$B:$B,"&gt;="&amp;EOMONTH($D$12,-1)+1,
'Lead Tracker'!$B:$B,"&lt;"&amp;EOMONTH($D$12,0)+1
)</f>
        <v>0</v>
      </c>
      <c r="M40" s="293">
        <f>COUNTIFS(
'Lead Tracker'!$F:$F,$D40,
'Lead Tracker'!$J:$J,$M$3,
'Lead Tracker'!$B:$B,"&gt;="&amp;EOMONTH($D$12,-1)+1,
'Lead Tracker'!$B:$B,"&lt;"&amp;EOMONTH($D$12,0)+1
)</f>
        <v>0</v>
      </c>
      <c r="N40" s="293">
        <f>COUNTIFS(
'Lead Tracker'!$F:$F,$D40,
'Lead Tracker'!$J:$J,$N$3,
'Lead Tracker'!$B:$B,"&gt;="&amp;EOMONTH($D$12,-1)+1,
'Lead Tracker'!$B:$B,"&lt;"&amp;EOMONTH($D$12,0)+1
)</f>
        <v>0</v>
      </c>
      <c r="O40" s="293">
        <f>COUNTIFS(
'Lead Tracker'!$F:$F,$D40,
'Lead Tracker'!$J:$J,$O$3,
'Lead Tracker'!$B:$B,"&gt;="&amp;EOMONTH($D$12,-1)+1,
'Lead Tracker'!$B:$B,"&lt;"&amp;EOMONTH($D$12,0)+1
)</f>
        <v>0</v>
      </c>
      <c r="P40" s="294">
        <f>COUNTIFS(
'Lead Tracker'!$F:$F,$D40,
'Lead Tracker'!$J:$J,$P$3,
'Lead Tracker'!$B:$B,"&gt;="&amp;EOMONTH($D$12,-1)+1,
'Lead Tracker'!$B:$B,"&lt;"&amp;EOMONTH($D$12,0)+1
)</f>
        <v>0</v>
      </c>
    </row>
    <row r="41" spans="4:16">
      <c r="D41" s="274" t="s">
        <v>22</v>
      </c>
      <c r="E41" s="281">
        <f>COUNTIFS(
'Lead Tracker'!F:F,D41,
'Lead Tracker'!B:B,"&gt;="&amp;EOMONTH($D$12,-1)+1,
'Lead Tracker'!B:B,"&lt;"&amp;EOMONTH($D$12,0)+1
)</f>
        <v>12</v>
      </c>
      <c r="F41" s="293">
        <f>COUNTIFS(
'Lead Tracker'!$F:$F,D41,
'Lead Tracker'!$J:$J,$F$3,
'Lead Tracker'!$B:$B,"&gt;="&amp;EOMONTH($D$12,-1)+1,
'Lead Tracker'!$B:$B,"&lt;"&amp;EOMONTH($D$12,0)+1
)</f>
        <v>3</v>
      </c>
      <c r="G41" s="293">
        <f>COUNTIFS(
'Lead Tracker'!$F:$F,$D41,
'Lead Tracker'!$J:$J,$G$3,
'Lead Tracker'!$B:$B,"&gt;="&amp;EOMONTH($D$12,-1)+1,
'Lead Tracker'!$B:$B,"&lt;"&amp;EOMONTH($D$12,0)+1
)</f>
        <v>0</v>
      </c>
      <c r="H41" s="293">
        <f>COUNTIFS(
'Lead Tracker'!$F:$F,$D41,
'Lead Tracker'!$J:$J,$H$3,
'Lead Tracker'!$B:$B,"&gt;="&amp;EOMONTH($D$12,-1)+1,
'Lead Tracker'!$B:$B,"&lt;"&amp;EOMONTH($D$12,0)+1
)</f>
        <v>0</v>
      </c>
      <c r="I41" s="293">
        <f>COUNTIFS(
'Lead Tracker'!$F:$F,$D41,
'Lead Tracker'!$J:$J,$I$3,
'Lead Tracker'!$B:$B,"&gt;="&amp;EOMONTH($D$12,-1)+1,
'Lead Tracker'!$B:$B,"&lt;"&amp;EOMONTH($D$12,0)+1
)</f>
        <v>0</v>
      </c>
      <c r="J41" s="293">
        <f>COUNTIFS(
'Lead Tracker'!$F:$F,$D41,
'Lead Tracker'!$J:$J,$J$3,
'Lead Tracker'!$B:$B,"&gt;="&amp;EOMONTH($D$12,-1)+1,
'Lead Tracker'!$B:$B,"&lt;"&amp;EOMONTH($D$12,0)+1
)</f>
        <v>0</v>
      </c>
      <c r="K41" s="293">
        <f>COUNTIFS(
'Lead Tracker'!$F:$F,$D41,
'Lead Tracker'!$J:$J,$K$3,
'Lead Tracker'!$B:$B,"&gt;="&amp;EOMONTH($D$12,-1)+1,
'Lead Tracker'!$B:$B,"&lt;"&amp;EOMONTH($D$12,0)+1
)</f>
        <v>0</v>
      </c>
      <c r="L41" s="293">
        <f>COUNTIFS(
'Lead Tracker'!$F:$F,$D41,
'Lead Tracker'!$J:$J,$L$3,
'Lead Tracker'!$B:$B,"&gt;="&amp;EOMONTH($D$12,-1)+1,
'Lead Tracker'!$B:$B,"&lt;"&amp;EOMONTH($D$12,0)+1
)</f>
        <v>9</v>
      </c>
      <c r="M41" s="293">
        <f>COUNTIFS(
'Lead Tracker'!$F:$F,$D41,
'Lead Tracker'!$J:$J,$M$3,
'Lead Tracker'!$B:$B,"&gt;="&amp;EOMONTH($D$12,-1)+1,
'Lead Tracker'!$B:$B,"&lt;"&amp;EOMONTH($D$12,0)+1
)</f>
        <v>0</v>
      </c>
      <c r="N41" s="293">
        <f>COUNTIFS(
'Lead Tracker'!$F:$F,$D41,
'Lead Tracker'!$J:$J,$N$3,
'Lead Tracker'!$B:$B,"&gt;="&amp;EOMONTH($D$12,-1)+1,
'Lead Tracker'!$B:$B,"&lt;"&amp;EOMONTH($D$12,0)+1
)</f>
        <v>0</v>
      </c>
      <c r="O41" s="293">
        <f>COUNTIFS(
'Lead Tracker'!$F:$F,$D41,
'Lead Tracker'!$J:$J,$O$3,
'Lead Tracker'!$B:$B,"&gt;="&amp;EOMONTH($D$12,-1)+1,
'Lead Tracker'!$B:$B,"&lt;"&amp;EOMONTH($D$12,0)+1
)</f>
        <v>0</v>
      </c>
      <c r="P41" s="294">
        <f>COUNTIFS(
'Lead Tracker'!$F:$F,$D41,
'Lead Tracker'!$J:$J,$P$3,
'Lead Tracker'!$B:$B,"&gt;="&amp;EOMONTH($D$12,-1)+1,
'Lead Tracker'!$B:$B,"&lt;"&amp;EOMONTH($D$12,0)+1
)</f>
        <v>0</v>
      </c>
    </row>
    <row r="42" spans="4:16">
      <c r="D42" s="273" t="s">
        <v>619</v>
      </c>
      <c r="E42" s="281">
        <f>COUNTIFS(
'Lead Tracker'!F:F,D42,
'Lead Tracker'!B:B,"&gt;="&amp;EOMONTH($D$12,-1)+1,
'Lead Tracker'!B:B,"&lt;"&amp;EOMONTH($D$12,0)+1
)</f>
        <v>0</v>
      </c>
      <c r="F42" s="293">
        <f>COUNTIFS(
'Lead Tracker'!$F:$F,D42,
'Lead Tracker'!$J:$J,$F$3,
'Lead Tracker'!$B:$B,"&gt;="&amp;EOMONTH($D$12,-1)+1,
'Lead Tracker'!$B:$B,"&lt;"&amp;EOMONTH($D$12,0)+1
)</f>
        <v>0</v>
      </c>
      <c r="G42" s="293">
        <f>COUNTIFS(
'Lead Tracker'!$F:$F,$D42,
'Lead Tracker'!$J:$J,$G$3,
'Lead Tracker'!$B:$B,"&gt;="&amp;EOMONTH($D$12,-1)+1,
'Lead Tracker'!$B:$B,"&lt;"&amp;EOMONTH($D$12,0)+1
)</f>
        <v>0</v>
      </c>
      <c r="H42" s="293">
        <f>COUNTIFS(
'Lead Tracker'!$F:$F,$D42,
'Lead Tracker'!$J:$J,$H$3,
'Lead Tracker'!$B:$B,"&gt;="&amp;EOMONTH($D$12,-1)+1,
'Lead Tracker'!$B:$B,"&lt;"&amp;EOMONTH($D$12,0)+1
)</f>
        <v>0</v>
      </c>
      <c r="I42" s="293">
        <f>COUNTIFS(
'Lead Tracker'!$F:$F,$D42,
'Lead Tracker'!$J:$J,$I$3,
'Lead Tracker'!$B:$B,"&gt;="&amp;EOMONTH($D$12,-1)+1,
'Lead Tracker'!$B:$B,"&lt;"&amp;EOMONTH($D$12,0)+1
)</f>
        <v>0</v>
      </c>
      <c r="J42" s="293">
        <f>COUNTIFS(
'Lead Tracker'!$F:$F,$D42,
'Lead Tracker'!$J:$J,$J$3,
'Lead Tracker'!$B:$B,"&gt;="&amp;EOMONTH($D$12,-1)+1,
'Lead Tracker'!$B:$B,"&lt;"&amp;EOMONTH($D$12,0)+1
)</f>
        <v>0</v>
      </c>
      <c r="K42" s="293">
        <f>COUNTIFS(
'Lead Tracker'!$F:$F,$D42,
'Lead Tracker'!$J:$J,$K$3,
'Lead Tracker'!$B:$B,"&gt;="&amp;EOMONTH($D$12,-1)+1,
'Lead Tracker'!$B:$B,"&lt;"&amp;EOMONTH($D$12,0)+1
)</f>
        <v>0</v>
      </c>
      <c r="L42" s="293">
        <f>COUNTIFS(
'Lead Tracker'!$F:$F,$D42,
'Lead Tracker'!$J:$J,$L$3,
'Lead Tracker'!$B:$B,"&gt;="&amp;EOMONTH($D$12,-1)+1,
'Lead Tracker'!$B:$B,"&lt;"&amp;EOMONTH($D$12,0)+1
)</f>
        <v>0</v>
      </c>
      <c r="M42" s="293">
        <f>COUNTIFS(
'Lead Tracker'!$F:$F,$D42,
'Lead Tracker'!$J:$J,$M$3,
'Lead Tracker'!$B:$B,"&gt;="&amp;EOMONTH($D$12,-1)+1,
'Lead Tracker'!$B:$B,"&lt;"&amp;EOMONTH($D$12,0)+1
)</f>
        <v>0</v>
      </c>
      <c r="N42" s="293">
        <f>COUNTIFS(
'Lead Tracker'!$F:$F,$D42,
'Lead Tracker'!$J:$J,$N$3,
'Lead Tracker'!$B:$B,"&gt;="&amp;EOMONTH($D$12,-1)+1,
'Lead Tracker'!$B:$B,"&lt;"&amp;EOMONTH($D$12,0)+1
)</f>
        <v>0</v>
      </c>
      <c r="O42" s="293">
        <f>COUNTIFS(
'Lead Tracker'!$F:$F,$D42,
'Lead Tracker'!$J:$J,$O$3,
'Lead Tracker'!$B:$B,"&gt;="&amp;EOMONTH($D$12,-1)+1,
'Lead Tracker'!$B:$B,"&lt;"&amp;EOMONTH($D$12,0)+1
)</f>
        <v>0</v>
      </c>
      <c r="P42" s="294">
        <f>COUNTIFS(
'Lead Tracker'!$F:$F,$D42,
'Lead Tracker'!$J:$J,$P$3,
'Lead Tracker'!$B:$B,"&gt;="&amp;EOMONTH($D$12,-1)+1,
'Lead Tracker'!$B:$B,"&lt;"&amp;EOMONTH($D$12,0)+1
)</f>
        <v>0</v>
      </c>
    </row>
    <row r="43" spans="4:16">
      <c r="D43" s="298" t="s">
        <v>81</v>
      </c>
      <c r="E43" s="281">
        <f>COUNTIFS(
'Lead Tracker'!F:F,D43,
'Lead Tracker'!B:B,"&gt;="&amp;EOMONTH($D$12,-1)+1,
'Lead Tracker'!B:B,"&lt;"&amp;EOMONTH($D$12,0)+1
)</f>
        <v>1</v>
      </c>
      <c r="F43" s="293">
        <f>COUNTIFS(
'Lead Tracker'!$F:$F,D43,
'Lead Tracker'!$J:$J,$F$3,
'Lead Tracker'!$B:$B,"&gt;="&amp;EOMONTH($D$12,-1)+1,
'Lead Tracker'!$B:$B,"&lt;"&amp;EOMONTH($D$12,0)+1
)</f>
        <v>0</v>
      </c>
      <c r="G43" s="293">
        <f>COUNTIFS(
'Lead Tracker'!$F:$F,$D43,
'Lead Tracker'!$J:$J,$G$3,
'Lead Tracker'!$B:$B,"&gt;="&amp;EOMONTH($D$12,-1)+1,
'Lead Tracker'!$B:$B,"&lt;"&amp;EOMONTH($D$12,0)+1
)</f>
        <v>0</v>
      </c>
      <c r="H43" s="293">
        <f>COUNTIFS(
'Lead Tracker'!$F:$F,$D43,
'Lead Tracker'!$J:$J,$H$3,
'Lead Tracker'!$B:$B,"&gt;="&amp;EOMONTH($D$12,-1)+1,
'Lead Tracker'!$B:$B,"&lt;"&amp;EOMONTH($D$12,0)+1
)</f>
        <v>1</v>
      </c>
      <c r="I43" s="293">
        <f>COUNTIFS(
'Lead Tracker'!$F:$F,$D43,
'Lead Tracker'!$J:$J,$I$3,
'Lead Tracker'!$B:$B,"&gt;="&amp;EOMONTH($D$12,-1)+1,
'Lead Tracker'!$B:$B,"&lt;"&amp;EOMONTH($D$12,0)+1
)</f>
        <v>0</v>
      </c>
      <c r="J43" s="293">
        <f>COUNTIFS(
'Lead Tracker'!$F:$F,$D43,
'Lead Tracker'!$J:$J,$J$3,
'Lead Tracker'!$B:$B,"&gt;="&amp;EOMONTH($D$12,-1)+1,
'Lead Tracker'!$B:$B,"&lt;"&amp;EOMONTH($D$12,0)+1
)</f>
        <v>0</v>
      </c>
      <c r="K43" s="293">
        <f>COUNTIFS(
'Lead Tracker'!$F:$F,$D43,
'Lead Tracker'!$J:$J,$K$3,
'Lead Tracker'!$B:$B,"&gt;="&amp;EOMONTH($D$12,-1)+1,
'Lead Tracker'!$B:$B,"&lt;"&amp;EOMONTH($D$12,0)+1
)</f>
        <v>0</v>
      </c>
      <c r="L43" s="293">
        <f>COUNTIFS(
'Lead Tracker'!$F:$F,$D43,
'Lead Tracker'!$J:$J,$L$3,
'Lead Tracker'!$B:$B,"&gt;="&amp;EOMONTH($D$12,-1)+1,
'Lead Tracker'!$B:$B,"&lt;"&amp;EOMONTH($D$12,0)+1
)</f>
        <v>0</v>
      </c>
      <c r="M43" s="293">
        <f>COUNTIFS(
'Lead Tracker'!$F:$F,$D43,
'Lead Tracker'!$J:$J,$M$3,
'Lead Tracker'!$B:$B,"&gt;="&amp;EOMONTH($D$12,-1)+1,
'Lead Tracker'!$B:$B,"&lt;"&amp;EOMONTH($D$12,0)+1
)</f>
        <v>0</v>
      </c>
      <c r="N43" s="293">
        <f>COUNTIFS(
'Lead Tracker'!$F:$F,$D43,
'Lead Tracker'!$J:$J,$N$3,
'Lead Tracker'!$B:$B,"&gt;="&amp;EOMONTH($D$12,-1)+1,
'Lead Tracker'!$B:$B,"&lt;"&amp;EOMONTH($D$12,0)+1
)</f>
        <v>0</v>
      </c>
      <c r="O43" s="293">
        <f>COUNTIFS(
'Lead Tracker'!$F:$F,$D43,
'Lead Tracker'!$J:$J,$O$3,
'Lead Tracker'!$B:$B,"&gt;="&amp;EOMONTH($D$12,-1)+1,
'Lead Tracker'!$B:$B,"&lt;"&amp;EOMONTH($D$12,0)+1
)</f>
        <v>0</v>
      </c>
      <c r="P43" s="294">
        <f>COUNTIFS(
'Lead Tracker'!$F:$F,$D43,
'Lead Tracker'!$J:$J,$P$3,
'Lead Tracker'!$B:$B,"&gt;="&amp;EOMONTH($D$12,-1)+1,
'Lead Tracker'!$B:$B,"&lt;"&amp;EOMONTH($D$12,0)+1
)</f>
        <v>0</v>
      </c>
    </row>
  </sheetData>
  <mergeCells count="8">
    <mergeCell ref="D31:E31"/>
    <mergeCell ref="D23:E23"/>
    <mergeCell ref="D30:P30"/>
    <mergeCell ref="D3:E3"/>
    <mergeCell ref="D2:P2"/>
    <mergeCell ref="D12:P12"/>
    <mergeCell ref="D13:E13"/>
    <mergeCell ref="D22:P22"/>
  </mergeCells>
  <dataValidations count="1">
    <dataValidation type="list" allowBlank="1" showInputMessage="1" showErrorMessage="1" sqref="D5:D9 D15:D19" xr:uid="{11CDBEBD-3A2A-4D49-8721-24FB6EEC48FF}">
      <formula1>"INDIAMART, TRADE INDIA,REFRENCE,OUT SOURCE,MAIL,VERBAL, EXISTING CUS."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8CB2A0-3E8D-4B18-8A2D-4310536AFADC}">
          <x14:formula1>
            <xm:f>'DATA SHEET'!$R$4:$R$16</xm:f>
          </x14:formula1>
          <xm:sqref>D12:P12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B97A-0724-40B4-825D-B9BAAF560025}">
  <sheetPr>
    <tabColor rgb="FF7030A0"/>
    <pageSetUpPr fitToPage="1"/>
  </sheetPr>
  <dimension ref="B1:AE20"/>
  <sheetViews>
    <sheetView topLeftCell="D9" zoomScale="55" zoomScaleNormal="55" zoomScaleSheetLayoutView="55" workbookViewId="0">
      <selection activeCell="H25" sqref="H25"/>
    </sheetView>
  </sheetViews>
  <sheetFormatPr defaultColWidth="5.44140625" defaultRowHeight="30" customHeight="1"/>
  <cols>
    <col min="1" max="1" width="10.6640625" customWidth="1"/>
    <col min="2" max="2" width="42.88671875" customWidth="1"/>
    <col min="3" max="3" width="38.88671875" customWidth="1"/>
    <col min="4" max="4" width="31.5546875" customWidth="1"/>
    <col min="5" max="5" width="31.33203125" customWidth="1"/>
    <col min="6" max="6" width="37.5546875" customWidth="1"/>
    <col min="7" max="7" width="38" customWidth="1"/>
    <col min="8" max="8" width="50.109375" customWidth="1"/>
    <col min="9" max="9" width="26.109375" customWidth="1"/>
    <col min="10" max="10" width="30" customWidth="1"/>
    <col min="11" max="11" width="27.5546875" customWidth="1"/>
    <col min="12" max="12" width="28.109375" customWidth="1"/>
    <col min="13" max="13" width="30" customWidth="1"/>
    <col min="14" max="14" width="44.6640625" customWidth="1"/>
    <col min="15" max="15" width="30.109375" customWidth="1"/>
    <col min="16" max="16" width="45.6640625" customWidth="1"/>
    <col min="17" max="17" width="48" customWidth="1"/>
    <col min="18" max="18" width="30.109375" customWidth="1"/>
    <col min="19" max="19" width="34" customWidth="1"/>
    <col min="20" max="20" width="18.44140625" customWidth="1"/>
    <col min="21" max="21" width="26" customWidth="1"/>
    <col min="22" max="22" width="22" customWidth="1"/>
    <col min="23" max="24" width="19.6640625" customWidth="1"/>
    <col min="25" max="25" width="16.88671875" customWidth="1"/>
    <col min="26" max="26" width="12.44140625" customWidth="1"/>
    <col min="27" max="27" width="18.88671875" customWidth="1"/>
    <col min="28" max="28" width="40.88671875" customWidth="1"/>
    <col min="31" max="31" width="28.33203125" customWidth="1"/>
  </cols>
  <sheetData>
    <row r="1" spans="2:31" ht="81.75" customHeight="1" thickBot="1">
      <c r="S1" s="177"/>
      <c r="AE1" t="s">
        <v>629</v>
      </c>
    </row>
    <row r="2" spans="2:31" ht="27" customHeight="1" thickBot="1">
      <c r="B2" s="139" t="s">
        <v>630</v>
      </c>
      <c r="C2" s="138" t="e">
        <f>SUMIFS([1]ORDERS!G:G,[1]ORDERS!K:K,"&lt;&gt;DISPATCHED")</f>
        <v>#VALUE!</v>
      </c>
      <c r="D2" s="137" t="s">
        <v>631</v>
      </c>
      <c r="E2" s="136">
        <v>400000000</v>
      </c>
      <c r="F2" s="135"/>
      <c r="G2" s="139" t="s">
        <v>632</v>
      </c>
      <c r="H2" s="176">
        <f>E2/12</f>
        <v>33333333.333333332</v>
      </c>
      <c r="J2" s="349" t="s">
        <v>625</v>
      </c>
      <c r="K2" s="350"/>
      <c r="L2" s="351"/>
      <c r="M2" s="1"/>
      <c r="N2" s="352" t="s">
        <v>633</v>
      </c>
      <c r="O2" s="353"/>
      <c r="Q2" s="352" t="s">
        <v>634</v>
      </c>
      <c r="R2" s="353"/>
      <c r="AE2" t="s">
        <v>635</v>
      </c>
    </row>
    <row r="3" spans="2:31" ht="30" customHeight="1">
      <c r="B3" s="175" t="s">
        <v>595</v>
      </c>
      <c r="C3" s="175" t="s">
        <v>591</v>
      </c>
      <c r="D3" s="175" t="s">
        <v>636</v>
      </c>
      <c r="E3" s="175" t="s">
        <v>637</v>
      </c>
      <c r="F3" s="175" t="s">
        <v>638</v>
      </c>
      <c r="G3" s="175" t="s">
        <v>639</v>
      </c>
      <c r="H3" s="174" t="s">
        <v>640</v>
      </c>
      <c r="I3" s="1"/>
      <c r="J3" s="173" t="s">
        <v>641</v>
      </c>
      <c r="K3" s="172" t="s">
        <v>642</v>
      </c>
      <c r="L3" s="171" t="s">
        <v>643</v>
      </c>
      <c r="N3" s="170"/>
      <c r="O3" s="169"/>
      <c r="Q3" s="168"/>
      <c r="R3" s="167"/>
    </row>
    <row r="4" spans="2:31" ht="30" customHeight="1">
      <c r="B4" s="134">
        <v>46113</v>
      </c>
      <c r="C4" s="155" t="e">
        <f>SUMIFS(
[1]ORDERS!G:G,
[1]ORDERS!H:H,"&gt;="&amp;B4,
[1]ORDERS!H:H,"&lt;"&amp;EOMONTH(B4,0)+1
)</f>
        <v>#VALUE!</v>
      </c>
      <c r="D4" s="151" t="e">
        <f>SUMIFS(
[1]ORDERS!G:G,
[1]ORDERS!I:I,"&gt;="&amp;B4,
[1]ORDERS!I:I,"&lt;"&amp;EOMONTH(B4,0)+1,
[1]ORDERS!K:K,"&lt;&gt;DISPATCHED"
)</f>
        <v>#VALUE!</v>
      </c>
      <c r="E4" s="155" t="e">
        <f>SUMIFS(
[1]ORDERS!G:G,
[1]ORDERS!J:J,"&gt;="&amp;B4,
[1]ORDERS!J:J,"&lt;"&amp;EOMONTH(B4,0)+1,
[1]ORDERS!K:K,"DISPATCHED"
)</f>
        <v>#VALUE!</v>
      </c>
      <c r="F4" s="132" t="e">
        <f t="shared" ref="F4:F15" si="0">D4-E4</f>
        <v>#VALUE!</v>
      </c>
      <c r="G4" s="155" t="e">
        <f t="shared" ref="G4:G15" si="1">ABS($H$2-C4)</f>
        <v>#VALUE!</v>
      </c>
      <c r="H4" s="133" t="e">
        <f t="shared" ref="H4:H15" si="2">IF(C4&lt;$H$2,"MORE ORDER REQUIRED",
IF(C4&gt;$H$2,"OVER ORDER",
"TARGET MATCHED"))</f>
        <v>#VALUE!</v>
      </c>
      <c r="I4">
        <v>1</v>
      </c>
      <c r="J4" s="164" t="s">
        <v>644</v>
      </c>
      <c r="K4" s="163" t="e">
        <f>COUNTIFS([1]ORDERS!K2:K916,J4)</f>
        <v>#VALUE!</v>
      </c>
      <c r="L4" s="162" t="e">
        <f>SUMIFS([1]ORDERS!G:G,[1]ORDERS!K:K,J4)</f>
        <v>#VALUE!</v>
      </c>
      <c r="N4" s="147" t="s">
        <v>645</v>
      </c>
      <c r="O4" s="146">
        <f>COUNTIF(M17:M927,"HOLD")</f>
        <v>0</v>
      </c>
      <c r="Q4" s="166" t="s">
        <v>646</v>
      </c>
      <c r="R4" s="165" t="e" cm="1">
        <f t="array" ref="R4">SUMPRODUCT((TEXT(K17:K19, "mmmm") = "August") * (M17:M19 = "DISPATCHED") * E17:E18)</f>
        <v>#N/A</v>
      </c>
      <c r="AE4" t="s">
        <v>647</v>
      </c>
    </row>
    <row r="5" spans="2:31" ht="30" customHeight="1">
      <c r="B5" s="134">
        <v>46143</v>
      </c>
      <c r="C5" s="155" t="e">
        <f>SUMIFS(
[1]ORDERS!G:G,
[1]ORDERS!H:H,"&gt;="&amp;B5,
[1]ORDERS!H:H,"&lt;"&amp;EOMONTH(B5,0)+1
)</f>
        <v>#VALUE!</v>
      </c>
      <c r="D5" s="151" t="e">
        <f>SUMIFS(
[1]ORDERS!G:G,
[1]ORDERS!I:I,"&gt;="&amp;B5,
[1]ORDERS!I:I,"&lt;"&amp;EOMONTH(B5,0)+1,
[1]ORDERS!K:K,"&lt;&gt;DISPATCHED"
)</f>
        <v>#VALUE!</v>
      </c>
      <c r="E5" s="155" t="e">
        <f>SUMIFS(
[1]ORDERS!G:G,
[1]ORDERS!J:J,"&gt;="&amp;B5,
[1]ORDERS!J:J,"&lt;"&amp;EOMONTH(B5,0)+1,
[1]ORDERS!K:K,"DISPATCHED"
)</f>
        <v>#VALUE!</v>
      </c>
      <c r="F5" s="132" t="e">
        <f t="shared" si="0"/>
        <v>#VALUE!</v>
      </c>
      <c r="G5" s="155" t="e">
        <f t="shared" si="1"/>
        <v>#VALUE!</v>
      </c>
      <c r="H5" s="133" t="e">
        <f t="shared" si="2"/>
        <v>#VALUE!</v>
      </c>
      <c r="I5">
        <v>2</v>
      </c>
      <c r="J5" s="164" t="s">
        <v>648</v>
      </c>
      <c r="K5" s="163" t="e">
        <f>COUNTIFS([1]ORDERS!K3:K917,J5)</f>
        <v>#VALUE!</v>
      </c>
      <c r="L5" s="162" t="e">
        <f>SUMIFS([1]ORDERS!G:G,[1]ORDERS!K:K,J5)</f>
        <v>#VALUE!</v>
      </c>
      <c r="N5" s="147"/>
      <c r="O5" s="146"/>
      <c r="Q5" s="145"/>
      <c r="R5" s="144"/>
      <c r="AE5" t="s">
        <v>649</v>
      </c>
    </row>
    <row r="6" spans="2:31" ht="30" customHeight="1">
      <c r="B6" s="134">
        <v>46174</v>
      </c>
      <c r="C6" s="155" t="e">
        <f>SUMIFS(
[1]ORDERS!G:G,
[1]ORDERS!H:H,"&gt;="&amp;B6,
[1]ORDERS!H:H,"&lt;"&amp;EOMONTH(B6,0)+1
)</f>
        <v>#VALUE!</v>
      </c>
      <c r="D6" s="151" t="e">
        <f>SUMIFS(
[1]ORDERS!G:G,
[1]ORDERS!I:I,"&gt;="&amp;B6,
[1]ORDERS!I:I,"&lt;"&amp;EOMONTH(B6,0)+1,
[1]ORDERS!K:K,"&lt;&gt;DISPATCHED"
)</f>
        <v>#VALUE!</v>
      </c>
      <c r="E6" s="155" t="e">
        <f>SUMIFS(
[1]ORDERS!G:G,
[1]ORDERS!J:J,"&gt;="&amp;B6,
[1]ORDERS!J:J,"&lt;"&amp;EOMONTH(B6,0)+1,
[1]ORDERS!K:K,"DISPATCHED"
)</f>
        <v>#VALUE!</v>
      </c>
      <c r="F6" s="132" t="e">
        <f t="shared" si="0"/>
        <v>#VALUE!</v>
      </c>
      <c r="G6" s="155" t="e">
        <f t="shared" si="1"/>
        <v>#VALUE!</v>
      </c>
      <c r="H6" s="133" t="e">
        <f t="shared" si="2"/>
        <v>#VALUE!</v>
      </c>
      <c r="I6">
        <v>3</v>
      </c>
      <c r="J6" s="164" t="s">
        <v>637</v>
      </c>
      <c r="K6" s="163" t="e">
        <f>COUNTIFS([1]ORDERS!K4:K918,J6)</f>
        <v>#VALUE!</v>
      </c>
      <c r="L6" s="162" t="e">
        <f>SUMIFS([1]ORDERS!G:G,[1]ORDERS!K:K,J6)</f>
        <v>#VALUE!</v>
      </c>
      <c r="N6" s="147"/>
      <c r="O6" s="146"/>
      <c r="Q6" s="145"/>
      <c r="R6" s="144"/>
      <c r="AE6" t="s">
        <v>650</v>
      </c>
    </row>
    <row r="7" spans="2:31" ht="30" customHeight="1">
      <c r="B7" s="134">
        <v>46204</v>
      </c>
      <c r="C7" s="155" t="e">
        <f>SUMIFS(
[1]ORDERS!G:G,
[1]ORDERS!H:H,"&gt;="&amp;B7,
[1]ORDERS!H:H,"&lt;"&amp;EOMONTH(B7,0)+1
)</f>
        <v>#VALUE!</v>
      </c>
      <c r="D7" s="151" t="e">
        <f>SUMIFS(
[1]ORDERS!G:G,
[1]ORDERS!I:I,"&gt;="&amp;B7,
[1]ORDERS!I:I,"&lt;"&amp;EOMONTH(B7,0)+1,
[1]ORDERS!K:K,"&lt;&gt;DISPATCHED"
)</f>
        <v>#VALUE!</v>
      </c>
      <c r="E7" s="155" t="e">
        <f>SUMIFS(
[1]ORDERS!G:G,
[1]ORDERS!J:J,"&gt;="&amp;B7,
[1]ORDERS!J:J,"&lt;"&amp;EOMONTH(B7,0)+1,
[1]ORDERS!K:K,"DISPATCHED"
)</f>
        <v>#VALUE!</v>
      </c>
      <c r="F7" s="132" t="e">
        <f t="shared" si="0"/>
        <v>#VALUE!</v>
      </c>
      <c r="G7" s="155" t="e">
        <f t="shared" si="1"/>
        <v>#VALUE!</v>
      </c>
      <c r="H7" s="133" t="e">
        <f t="shared" si="2"/>
        <v>#VALUE!</v>
      </c>
      <c r="I7">
        <v>4</v>
      </c>
      <c r="J7" s="164" t="s">
        <v>651</v>
      </c>
      <c r="K7" s="163" t="e">
        <f>COUNTIFS([1]ORDERS!K5:K919,J7)</f>
        <v>#VALUE!</v>
      </c>
      <c r="L7" s="162" t="e">
        <f>SUMIFS([1]ORDERS!G:G,[1]ORDERS!K:K,J7)</f>
        <v>#VALUE!</v>
      </c>
      <c r="N7" s="147"/>
      <c r="O7" s="146"/>
      <c r="Q7" s="145"/>
      <c r="R7" s="144"/>
      <c r="AE7" t="s">
        <v>652</v>
      </c>
    </row>
    <row r="8" spans="2:31" ht="30" customHeight="1">
      <c r="B8" s="134">
        <v>46235</v>
      </c>
      <c r="C8" s="155" t="e">
        <f>SUMIFS(
[1]ORDERS!G:G,
[1]ORDERS!H:H,"&gt;="&amp;B8,
[1]ORDERS!H:H,"&lt;"&amp;EOMONTH(B8,0)+1
)</f>
        <v>#VALUE!</v>
      </c>
      <c r="D8" s="151" t="e">
        <f>SUMIFS(
[1]ORDERS!G:G,
[1]ORDERS!I:I,"&gt;="&amp;B8,
[1]ORDERS!I:I,"&lt;"&amp;EOMONTH(B8,0)+1,
[1]ORDERS!K:K,"&lt;&gt;DISPATCHED"
)</f>
        <v>#VALUE!</v>
      </c>
      <c r="E8" s="155" t="e">
        <f>SUMIFS(
[1]ORDERS!G:G,
[1]ORDERS!J:J,"&gt;="&amp;B8,
[1]ORDERS!J:J,"&lt;"&amp;EOMONTH(B8,0)+1,
[1]ORDERS!K:K,"DISPATCHED"
)</f>
        <v>#VALUE!</v>
      </c>
      <c r="F8" s="132" t="e">
        <f t="shared" si="0"/>
        <v>#VALUE!</v>
      </c>
      <c r="G8" s="155" t="e">
        <f t="shared" si="1"/>
        <v>#VALUE!</v>
      </c>
      <c r="H8" s="133" t="e">
        <f t="shared" si="2"/>
        <v>#VALUE!</v>
      </c>
      <c r="I8">
        <v>5</v>
      </c>
      <c r="J8" s="164" t="s">
        <v>653</v>
      </c>
      <c r="K8" s="163" t="e">
        <f>COUNTIFS([1]ORDERS!K6:K920,J8)</f>
        <v>#VALUE!</v>
      </c>
      <c r="L8" s="162" t="e">
        <f>SUMIFS([1]ORDERS!G:G,[1]ORDERS!K:K,J8)</f>
        <v>#VALUE!</v>
      </c>
      <c r="N8" s="147"/>
      <c r="O8" s="146"/>
      <c r="Q8" s="145"/>
      <c r="R8" s="144"/>
      <c r="AE8" t="s">
        <v>654</v>
      </c>
    </row>
    <row r="9" spans="2:31" ht="30" customHeight="1">
      <c r="B9" s="134">
        <v>46266</v>
      </c>
      <c r="C9" s="155" t="e">
        <f>SUMIFS(
[1]ORDERS!G:G,
[1]ORDERS!H:H,"&gt;="&amp;B9,
[1]ORDERS!H:H,"&lt;"&amp;EOMONTH(B9,0)+1
)</f>
        <v>#VALUE!</v>
      </c>
      <c r="D9" s="151" t="e">
        <f>SUMIFS(
[1]ORDERS!G:G,
[1]ORDERS!I:I,"&gt;="&amp;B9,
[1]ORDERS!I:I,"&lt;"&amp;EOMONTH(B9,0)+1,
[1]ORDERS!K:K,"&lt;&gt;DISPATCHED"
)</f>
        <v>#VALUE!</v>
      </c>
      <c r="E9" s="155" t="e">
        <f>SUMIFS(
[1]ORDERS!G:G,
[1]ORDERS!J:J,"&gt;="&amp;B9,
[1]ORDERS!J:J,"&lt;"&amp;EOMONTH(B9,0)+1,
[1]ORDERS!K:K,"DISPATCHED"
)</f>
        <v>#VALUE!</v>
      </c>
      <c r="F9" s="132" t="e">
        <f t="shared" si="0"/>
        <v>#VALUE!</v>
      </c>
      <c r="G9" s="155" t="e">
        <f t="shared" si="1"/>
        <v>#VALUE!</v>
      </c>
      <c r="H9" s="133" t="e">
        <f t="shared" si="2"/>
        <v>#VALUE!</v>
      </c>
      <c r="I9">
        <v>6</v>
      </c>
      <c r="J9" s="164" t="s">
        <v>655</v>
      </c>
      <c r="K9" s="163" t="e">
        <f>COUNTIFS([1]ORDERS!K7:K921,J9)</f>
        <v>#VALUE!</v>
      </c>
      <c r="L9" s="162" t="e">
        <f>SUMIFS([1]ORDERS!G:G,[1]ORDERS!K:K,J9)</f>
        <v>#VALUE!</v>
      </c>
      <c r="N9" s="147"/>
      <c r="O9" s="146"/>
      <c r="Q9" s="145"/>
      <c r="R9" s="144"/>
      <c r="AE9" t="s">
        <v>656</v>
      </c>
    </row>
    <row r="10" spans="2:31" ht="30" customHeight="1">
      <c r="B10" s="134">
        <v>46296</v>
      </c>
      <c r="C10" s="155" t="e">
        <f>SUMIFS(
[1]ORDERS!G:G,
[1]ORDERS!H:H,"&gt;="&amp;B10,
[1]ORDERS!H:H,"&lt;"&amp;EOMONTH(B10,0)+1
)</f>
        <v>#VALUE!</v>
      </c>
      <c r="D10" s="151" t="e">
        <f>SUMIFS(
[1]ORDERS!G:G,
[1]ORDERS!I:I,"&gt;="&amp;B10,
[1]ORDERS!I:I,"&lt;"&amp;EOMONTH(B10,0)+1,
[1]ORDERS!K:K,"&lt;&gt;DISPATCHED"
)</f>
        <v>#VALUE!</v>
      </c>
      <c r="E10" s="155" t="e">
        <f>SUMIFS(
[1]ORDERS!G:G,
[1]ORDERS!J:J,"&gt;="&amp;B10,
[1]ORDERS!J:J,"&lt;"&amp;EOMONTH(B10,0)+1,
[1]ORDERS!K:K,"DISPATCHED"
)</f>
        <v>#VALUE!</v>
      </c>
      <c r="F10" s="132" t="e">
        <f t="shared" si="0"/>
        <v>#VALUE!</v>
      </c>
      <c r="G10" s="155" t="e">
        <f t="shared" si="1"/>
        <v>#VALUE!</v>
      </c>
      <c r="H10" s="133" t="e">
        <f t="shared" si="2"/>
        <v>#VALUE!</v>
      </c>
      <c r="I10">
        <v>7</v>
      </c>
      <c r="J10" s="164" t="s">
        <v>645</v>
      </c>
      <c r="K10" s="163" t="e">
        <f>COUNTIFS([1]ORDERS!K8:K922,J10)</f>
        <v>#VALUE!</v>
      </c>
      <c r="L10" s="162" t="e">
        <f>SUMIFS([1]ORDERS!G:G,[1]ORDERS!K:K,J10)</f>
        <v>#VALUE!</v>
      </c>
      <c r="N10" s="147"/>
      <c r="O10" s="146"/>
      <c r="Q10" s="145"/>
      <c r="R10" s="144"/>
      <c r="AE10" t="s">
        <v>657</v>
      </c>
    </row>
    <row r="11" spans="2:31" ht="30" customHeight="1">
      <c r="B11" s="134">
        <v>46327</v>
      </c>
      <c r="C11" s="155" t="e">
        <f>SUMIFS(
[1]ORDERS!G:G,
[1]ORDERS!H:H,"&gt;="&amp;B11,
[1]ORDERS!H:H,"&lt;"&amp;EOMONTH(B11,0)+1
)</f>
        <v>#VALUE!</v>
      </c>
      <c r="D11" s="151" t="e">
        <f>SUMIFS(
[1]ORDERS!G:G,
[1]ORDERS!I:I,"&gt;="&amp;B11,
[1]ORDERS!I:I,"&lt;"&amp;EOMONTH(B11,0)+1,
[1]ORDERS!K:K,"&lt;&gt;DISPATCHED"
)</f>
        <v>#VALUE!</v>
      </c>
      <c r="E11" s="155" t="e">
        <f>SUMIFS(
[1]ORDERS!G:G,
[1]ORDERS!J:J,"&gt;="&amp;B11,
[1]ORDERS!J:J,"&lt;"&amp;EOMONTH(B11,0)+1,
[1]ORDERS!K:K,"DISPATCHED"
)</f>
        <v>#VALUE!</v>
      </c>
      <c r="F11" s="132" t="e">
        <f t="shared" si="0"/>
        <v>#VALUE!</v>
      </c>
      <c r="G11" s="155" t="e">
        <f t="shared" si="1"/>
        <v>#VALUE!</v>
      </c>
      <c r="H11" s="133" t="e">
        <f t="shared" si="2"/>
        <v>#VALUE!</v>
      </c>
      <c r="I11">
        <v>8</v>
      </c>
      <c r="J11" s="164" t="s">
        <v>658</v>
      </c>
      <c r="K11" s="163" t="e">
        <f>COUNTIFS([1]ORDERS!K9:K923,J11)</f>
        <v>#VALUE!</v>
      </c>
      <c r="L11" s="162" t="e">
        <f>SUMIFS([1]ORDERS!G:G,[1]ORDERS!K:K,J11)</f>
        <v>#VALUE!</v>
      </c>
      <c r="N11" s="147"/>
      <c r="O11" s="146"/>
      <c r="Q11" s="145"/>
      <c r="R11" s="144"/>
      <c r="AE11" t="s">
        <v>659</v>
      </c>
    </row>
    <row r="12" spans="2:31" ht="30" customHeight="1" thickBot="1">
      <c r="B12" s="134">
        <v>46357</v>
      </c>
      <c r="C12" s="155" t="e">
        <f>SUMIFS(
[1]ORDERS!G:G,
[1]ORDERS!H:H,"&gt;="&amp;B12,
[1]ORDERS!H:H,"&lt;"&amp;EOMONTH(B12,0)+1
)</f>
        <v>#VALUE!</v>
      </c>
      <c r="D12" s="151" t="e">
        <f>SUMIFS(
[1]ORDERS!G:G,
[1]ORDERS!I:I,"&gt;="&amp;B12,
[1]ORDERS!I:I,"&lt;"&amp;EOMONTH(B12,0)+1,
[1]ORDERS!K:K,"&lt;&gt;DISPATCHED"
)</f>
        <v>#VALUE!</v>
      </c>
      <c r="E12" s="155" t="e">
        <f>SUMIFS(
[1]ORDERS!G:G,
[1]ORDERS!J:J,"&gt;="&amp;B12,
[1]ORDERS!J:J,"&lt;"&amp;EOMONTH(B12,0)+1,
[1]ORDERS!K:K,"DISPATCHED"
)</f>
        <v>#VALUE!</v>
      </c>
      <c r="F12" s="132" t="e">
        <f t="shared" si="0"/>
        <v>#VALUE!</v>
      </c>
      <c r="G12" s="155" t="e">
        <f t="shared" si="1"/>
        <v>#VALUE!</v>
      </c>
      <c r="H12" s="133" t="e">
        <f t="shared" si="2"/>
        <v>#VALUE!</v>
      </c>
      <c r="I12">
        <v>9</v>
      </c>
      <c r="J12" s="161" t="s">
        <v>660</v>
      </c>
      <c r="K12" s="160" t="e">
        <f>COUNTIFS([1]ORDERS!K10:K924,J12)</f>
        <v>#VALUE!</v>
      </c>
      <c r="L12" s="159" t="e">
        <f>SUMIFS([1]ORDERS!G:G,[1]ORDERS!K:K,J12)</f>
        <v>#VALUE!</v>
      </c>
      <c r="N12" s="147"/>
      <c r="O12" s="146"/>
      <c r="Q12" s="145"/>
      <c r="R12" s="144"/>
      <c r="AE12" t="s">
        <v>661</v>
      </c>
    </row>
    <row r="13" spans="2:31" ht="30" customHeight="1">
      <c r="B13" s="134">
        <v>46388</v>
      </c>
      <c r="C13" s="155" t="e">
        <f>SUMIFS(
[1]ORDERS!G:G,
[1]ORDERS!H:H,"&gt;="&amp;B13,
[1]ORDERS!H:H,"&lt;"&amp;EOMONTH(B13,0)+1
)</f>
        <v>#VALUE!</v>
      </c>
      <c r="D13" s="151" t="e">
        <f>SUMIFS(
[1]ORDERS!G:G,
[1]ORDERS!I:I,"&gt;="&amp;B13,
[1]ORDERS!I:I,"&lt;"&amp;EOMONTH(B13,0)+1,
[1]ORDERS!K:K,"&lt;&gt;DISPATCHED"
)</f>
        <v>#VALUE!</v>
      </c>
      <c r="E13" s="155" t="e">
        <f>SUMIFS(
[1]ORDERS!G:G,
[1]ORDERS!J:J,"&gt;="&amp;B13,
[1]ORDERS!J:J,"&lt;"&amp;EOMONTH(B13,0)+1,
[1]ORDERS!K:K,"DISPATCHED"
)</f>
        <v>#VALUE!</v>
      </c>
      <c r="F13" s="132" t="e">
        <f t="shared" si="0"/>
        <v>#VALUE!</v>
      </c>
      <c r="G13" s="155" t="e">
        <f t="shared" si="1"/>
        <v>#VALUE!</v>
      </c>
      <c r="H13" s="133" t="e">
        <f t="shared" si="2"/>
        <v>#VALUE!</v>
      </c>
      <c r="I13">
        <v>10</v>
      </c>
      <c r="J13" s="158"/>
      <c r="K13" s="157"/>
      <c r="L13" s="156"/>
      <c r="N13" s="147"/>
      <c r="O13" s="146"/>
      <c r="Q13" s="145"/>
      <c r="R13" s="144"/>
    </row>
    <row r="14" spans="2:31" ht="30" customHeight="1">
      <c r="B14" s="134">
        <v>46419</v>
      </c>
      <c r="C14" s="155" t="e">
        <f>SUMIFS(
[1]ORDERS!G:G,
[1]ORDERS!H:H,"&gt;="&amp;B14,
[1]ORDERS!H:H,"&lt;"&amp;EOMONTH(B14,0)+1
)</f>
        <v>#VALUE!</v>
      </c>
      <c r="D14" s="151" t="e">
        <f>SUMIFS(
[1]ORDERS!G:G,
[1]ORDERS!I:I,"&gt;="&amp;B14,
[1]ORDERS!I:I,"&lt;"&amp;EOMONTH(B14,0)+1,
[1]ORDERS!K:K,"&lt;&gt;DISPATCHED"
)</f>
        <v>#VALUE!</v>
      </c>
      <c r="E14" s="155" t="e">
        <f>SUMIFS(
[1]ORDERS!G:G,
[1]ORDERS!J:J,"&gt;="&amp;B14,
[1]ORDERS!J:J,"&lt;"&amp;EOMONTH(B14,0)+1,
[1]ORDERS!K:K,"DISPATCHED"
)</f>
        <v>#VALUE!</v>
      </c>
      <c r="F14" s="132" t="e">
        <f t="shared" si="0"/>
        <v>#VALUE!</v>
      </c>
      <c r="G14" s="155" t="e">
        <f t="shared" si="1"/>
        <v>#VALUE!</v>
      </c>
      <c r="H14" s="133" t="e">
        <f t="shared" si="2"/>
        <v>#VALUE!</v>
      </c>
      <c r="I14">
        <v>11</v>
      </c>
      <c r="J14" s="154"/>
      <c r="K14" s="153" t="s">
        <v>597</v>
      </c>
      <c r="L14" s="152" t="e">
        <f>L12+L11+L10+L9+L8+L7+L5</f>
        <v>#VALUE!</v>
      </c>
      <c r="N14" s="147"/>
      <c r="O14" s="146"/>
      <c r="Q14" s="145"/>
      <c r="R14" s="144"/>
    </row>
    <row r="15" spans="2:31" ht="30" customHeight="1" thickBot="1">
      <c r="B15" s="134">
        <v>46447</v>
      </c>
      <c r="C15" s="151" t="e">
        <f>SUMIFS(
[1]ORDERS!G:G,
[1]ORDERS!H:H,"&gt;="&amp;B15,
[1]ORDERS!H:H,"&lt;"&amp;EOMONTH(B15,0)+1
)</f>
        <v>#VALUE!</v>
      </c>
      <c r="D15" s="151" t="e">
        <f>SUMIFS(
[1]ORDERS!G:G,
[1]ORDERS!I:I,"&gt;="&amp;B15,
[1]ORDERS!I:I,"&lt;"&amp;EOMONTH(B15,0)+1,
[1]ORDERS!K:K,"&lt;&gt;DISPATCHED"
)</f>
        <v>#VALUE!</v>
      </c>
      <c r="E15" s="151" t="e">
        <f>SUMIFS(
[1]ORDERS!G:G,
[1]ORDERS!J:J,"&gt;="&amp;B15,
[1]ORDERS!J:J,"&lt;"&amp;EOMONTH(B15,0)+1,
[1]ORDERS!K:K,"DISPATCHED"
)</f>
        <v>#VALUE!</v>
      </c>
      <c r="F15" s="132" t="e">
        <f t="shared" si="0"/>
        <v>#VALUE!</v>
      </c>
      <c r="G15" s="151" t="e">
        <f t="shared" si="1"/>
        <v>#VALUE!</v>
      </c>
      <c r="H15" s="132" t="e">
        <f t="shared" si="2"/>
        <v>#VALUE!</v>
      </c>
      <c r="J15" s="150"/>
      <c r="K15" s="149"/>
      <c r="L15" s="148"/>
      <c r="N15" s="147"/>
      <c r="O15" s="146"/>
      <c r="Q15" s="145"/>
      <c r="R15" s="144"/>
    </row>
    <row r="16" spans="2:31" ht="27" customHeight="1" thickBot="1">
      <c r="B16" s="131" t="s">
        <v>662</v>
      </c>
      <c r="C16" s="130" t="e">
        <f>SUM(C4:C15)</f>
        <v>#VALUE!</v>
      </c>
      <c r="D16" s="130" t="e">
        <f>SUM(D4:D15)</f>
        <v>#VALUE!</v>
      </c>
      <c r="E16" s="130" t="e">
        <f>SUM(E4:E15)</f>
        <v>#VALUE!</v>
      </c>
      <c r="F16" s="129" t="e">
        <f>SUM(F4:F15)</f>
        <v>#VALUE!</v>
      </c>
      <c r="G16" s="129" t="e">
        <f>SUM(G4:G15)</f>
        <v>#VALUE!</v>
      </c>
      <c r="H16" s="129"/>
      <c r="L16" s="15" t="e">
        <f>SUM(Table43[AMOUNT])</f>
        <v>#VALUE!</v>
      </c>
      <c r="N16" s="143" t="s">
        <v>663</v>
      </c>
      <c r="O16" s="142">
        <f>SUBTOTAL(103, A17:A920)</f>
        <v>0</v>
      </c>
      <c r="Q16" s="141" t="s">
        <v>646</v>
      </c>
      <c r="R16" s="140" t="e" cm="1">
        <f t="array" ref="R16">SUMPRODUCT((TEXT(K17:K19, "mmmm") = "September") * (M17:M19 = "DISPATCHED") * E17:E18)</f>
        <v>#N/A</v>
      </c>
    </row>
    <row r="20" spans="3:12" ht="30" customHeight="1">
      <c r="C20" s="178" t="s">
        <v>145</v>
      </c>
      <c r="D20" s="179" t="s">
        <v>245</v>
      </c>
      <c r="E20" s="180" t="s">
        <v>84</v>
      </c>
      <c r="F20" s="179" t="s">
        <v>54</v>
      </c>
      <c r="G20" s="180" t="s">
        <v>41</v>
      </c>
      <c r="H20" s="179" t="s">
        <v>213</v>
      </c>
      <c r="I20" s="180" t="s">
        <v>25</v>
      </c>
      <c r="J20" s="180" t="s">
        <v>91</v>
      </c>
      <c r="K20" s="179" t="s">
        <v>101</v>
      </c>
      <c r="L20" s="5" t="s">
        <v>345</v>
      </c>
    </row>
  </sheetData>
  <mergeCells count="3">
    <mergeCell ref="J2:L2"/>
    <mergeCell ref="N2:O2"/>
    <mergeCell ref="Q2:R2"/>
  </mergeCells>
  <conditionalFormatting sqref="M17:M558">
    <cfRule type="expression" dxfId="7" priority="1">
      <formula>M17="UPDATE IT"</formula>
    </cfRule>
    <cfRule type="expression" dxfId="6" priority="2">
      <formula>M17="BILL PENDING"</formula>
    </cfRule>
    <cfRule type="expression" dxfId="5" priority="3">
      <formula>M17="IN DESIGN"</formula>
    </cfRule>
    <cfRule type="expression" dxfId="4" priority="4">
      <formula>M17="HOLD"</formula>
    </cfRule>
    <cfRule type="expression" dxfId="3" priority="5">
      <formula>M17="IN PRODUCTION"</formula>
    </cfRule>
    <cfRule type="expression" dxfId="2" priority="6">
      <formula>M17="PO PENDING"</formula>
    </cfRule>
    <cfRule type="expression" dxfId="1" priority="7">
      <formula>M17="DISPATCHED"</formula>
    </cfRule>
    <cfRule type="expression" dxfId="0" priority="8">
      <formula>M17="UNDER APPROVAL"</formula>
    </cfRule>
  </conditionalFormatting>
  <dataValidations count="1">
    <dataValidation type="list" allowBlank="1" showInputMessage="1" showErrorMessage="1" sqref="J4:J15" xr:uid="{5CCA661D-4C69-42FE-9070-93E8FAE7A56E}">
      <formula1>"PO PENDING,IN DESIGN,DISPATCHED, IN PRODUCTION, BILLED, BILL PENDING, UNDER APPROVAL, HOLD, UPDATE IT, ORDERED"</formula1>
    </dataValidation>
  </dataValidations>
  <pageMargins left="0.31496062992125984" right="0.31496062992125984" top="0.55118110236220474" bottom="0" header="0" footer="0"/>
  <pageSetup paperSize="9" scale="14" fitToHeight="0" orientation="landscape" r:id="rId1"/>
  <colBreaks count="1" manualBreakCount="1">
    <brk id="13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Lead Tracker</vt:lpstr>
      <vt:lpstr>Dashboard</vt:lpstr>
      <vt:lpstr>DATA SHEET</vt:lpstr>
      <vt:lpstr>SUMMARY</vt:lpstr>
      <vt:lpstr>DASHBOARD (2)</vt:lpstr>
      <vt:lpstr>'DASHBOARD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Project Engineer</cp:lastModifiedBy>
  <cp:revision/>
  <dcterms:created xsi:type="dcterms:W3CDTF">2025-12-30T11:06:59Z</dcterms:created>
  <dcterms:modified xsi:type="dcterms:W3CDTF">2026-04-19T20:09:28Z</dcterms:modified>
  <cp:category/>
  <cp:contentStatus/>
</cp:coreProperties>
</file>